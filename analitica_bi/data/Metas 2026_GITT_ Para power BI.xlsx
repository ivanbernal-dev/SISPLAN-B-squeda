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F4A21B10-A625-4495-A725-0D40529E7240}" xr6:coauthVersionLast="47" xr6:coauthVersionMax="47" xr10:uidLastSave="{00000000-0000-0000-0000-000000000000}"/>
  <bookViews>
    <workbookView xWindow="-108" yWindow="-108" windowWidth="23256" windowHeight="12456" activeTab="1" xr2:uid="{DC12B97C-6D0D-42E9-8025-0BB836C281B4}"/>
  </bookViews>
  <sheets>
    <sheet name="Hoja2" sheetId="2" r:id="rId1"/>
    <sheet name="Historico" sheetId="5" r:id="rId2"/>
    <sheet name="PRB" sheetId="3" r:id="rId3"/>
    <sheet name="EstructuraIndicadores" sheetId="4" r:id="rId4"/>
  </sheets>
  <definedNames>
    <definedName name="_xlnm._FilterDatabase" localSheetId="0" hidden="1">Hoja2!$A$1:$AD$132</definedName>
    <definedName name="_xlnm._FilterDatabase" localSheetId="2" hidden="1">PRB!$A$1:$B$132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T1692" i="5" l="1"/>
  <c r="T1693" i="5"/>
  <c r="T1694" i="5"/>
  <c r="T1695" i="5"/>
  <c r="T1696" i="5"/>
  <c r="T1697" i="5"/>
  <c r="T1698" i="5"/>
  <c r="T1699" i="5"/>
  <c r="T1700" i="5"/>
  <c r="T1701" i="5"/>
  <c r="T1702" i="5"/>
  <c r="T1703" i="5"/>
  <c r="T1704" i="5"/>
  <c r="U1692" i="5"/>
  <c r="U1693" i="5"/>
  <c r="U1694" i="5"/>
  <c r="U1695" i="5"/>
  <c r="U1696" i="5"/>
  <c r="U1697" i="5"/>
  <c r="U1698" i="5"/>
  <c r="U1699" i="5"/>
  <c r="U1700" i="5"/>
  <c r="U1701" i="5"/>
  <c r="U1702" i="5"/>
  <c r="U1703" i="5"/>
  <c r="U1704" i="5"/>
  <c r="V1692" i="5"/>
  <c r="V1693" i="5"/>
  <c r="V1694" i="5"/>
  <c r="V1695" i="5"/>
  <c r="V1696" i="5"/>
  <c r="V1697" i="5"/>
  <c r="V1698" i="5"/>
  <c r="V1699" i="5"/>
  <c r="V1700" i="5"/>
  <c r="V1701" i="5"/>
  <c r="V1702" i="5"/>
  <c r="V1703" i="5"/>
  <c r="V1704" i="5"/>
  <c r="W1692" i="5"/>
  <c r="W1693" i="5"/>
  <c r="W1694" i="5"/>
  <c r="W1695" i="5"/>
  <c r="W1696" i="5"/>
  <c r="W1697" i="5"/>
  <c r="W1698" i="5"/>
  <c r="W1699" i="5"/>
  <c r="W1700" i="5"/>
  <c r="W1701" i="5"/>
  <c r="W1702" i="5"/>
  <c r="W1703" i="5"/>
  <c r="W1704" i="5"/>
  <c r="T1679" i="5"/>
  <c r="T1680" i="5"/>
  <c r="T1681" i="5"/>
  <c r="T1682" i="5"/>
  <c r="T1683" i="5"/>
  <c r="T1684" i="5"/>
  <c r="T1685" i="5"/>
  <c r="T1686" i="5"/>
  <c r="T1687" i="5"/>
  <c r="T1688" i="5"/>
  <c r="T1689" i="5"/>
  <c r="T1690" i="5"/>
  <c r="T1691" i="5"/>
  <c r="U1679" i="5"/>
  <c r="U1680" i="5"/>
  <c r="U1681" i="5"/>
  <c r="U1682" i="5"/>
  <c r="U1683" i="5"/>
  <c r="U1684" i="5"/>
  <c r="U1685" i="5"/>
  <c r="U1686" i="5"/>
  <c r="U1687" i="5"/>
  <c r="U1688" i="5"/>
  <c r="U1689" i="5"/>
  <c r="U1690" i="5"/>
  <c r="U1691" i="5"/>
  <c r="V1679" i="5"/>
  <c r="V1680" i="5"/>
  <c r="V1681" i="5"/>
  <c r="V1682" i="5"/>
  <c r="V1683" i="5"/>
  <c r="V1684" i="5"/>
  <c r="V1685" i="5"/>
  <c r="V1686" i="5"/>
  <c r="V1687" i="5"/>
  <c r="V1688" i="5"/>
  <c r="V1689" i="5"/>
  <c r="V1690" i="5"/>
  <c r="V1691" i="5"/>
  <c r="W1679" i="5"/>
  <c r="W1680" i="5"/>
  <c r="W1681" i="5"/>
  <c r="W1682" i="5"/>
  <c r="W1683" i="5"/>
  <c r="W1684" i="5"/>
  <c r="W1685" i="5"/>
  <c r="W1686" i="5"/>
  <c r="W1687" i="5"/>
  <c r="W1688" i="5"/>
  <c r="W1689" i="5"/>
  <c r="W1690" i="5"/>
  <c r="W1691" i="5"/>
  <c r="T1666" i="5"/>
  <c r="T1667" i="5"/>
  <c r="T1668" i="5"/>
  <c r="T1669" i="5"/>
  <c r="T1670" i="5"/>
  <c r="T1671" i="5"/>
  <c r="T1672" i="5"/>
  <c r="T1673" i="5"/>
  <c r="T1674" i="5"/>
  <c r="T1675" i="5"/>
  <c r="T1676" i="5"/>
  <c r="T1677" i="5"/>
  <c r="T1678" i="5"/>
  <c r="U1666" i="5"/>
  <c r="U1667" i="5"/>
  <c r="U1668" i="5"/>
  <c r="U1669" i="5"/>
  <c r="U1670" i="5"/>
  <c r="U1671" i="5"/>
  <c r="U1672" i="5"/>
  <c r="U1673" i="5"/>
  <c r="U1674" i="5"/>
  <c r="U1675" i="5"/>
  <c r="U1676" i="5"/>
  <c r="U1677" i="5"/>
  <c r="U1678" i="5"/>
  <c r="V1666" i="5"/>
  <c r="V1667" i="5"/>
  <c r="V1668" i="5"/>
  <c r="V1669" i="5"/>
  <c r="V1670" i="5"/>
  <c r="V1671" i="5"/>
  <c r="V1672" i="5"/>
  <c r="V1673" i="5"/>
  <c r="V1674" i="5"/>
  <c r="V1675" i="5"/>
  <c r="V1676" i="5"/>
  <c r="V1677" i="5"/>
  <c r="V1678" i="5"/>
  <c r="W1666" i="5"/>
  <c r="W1667" i="5"/>
  <c r="W1668" i="5"/>
  <c r="W1669" i="5"/>
  <c r="W1670" i="5"/>
  <c r="W1671" i="5"/>
  <c r="W1672" i="5"/>
  <c r="W1673" i="5"/>
  <c r="W1674" i="5"/>
  <c r="W1675" i="5"/>
  <c r="W1676" i="5"/>
  <c r="W1677" i="5"/>
  <c r="W1678" i="5"/>
  <c r="T1653" i="5"/>
  <c r="T1654" i="5"/>
  <c r="T1655" i="5"/>
  <c r="T1656" i="5"/>
  <c r="T1657" i="5"/>
  <c r="T1658" i="5"/>
  <c r="T1659" i="5"/>
  <c r="T1660" i="5"/>
  <c r="T1661" i="5"/>
  <c r="T1662" i="5"/>
  <c r="T1663" i="5"/>
  <c r="T1664" i="5"/>
  <c r="T1665" i="5"/>
  <c r="U1653" i="5"/>
  <c r="U1654" i="5"/>
  <c r="U1655" i="5"/>
  <c r="U1656" i="5"/>
  <c r="U1657" i="5"/>
  <c r="U1658" i="5"/>
  <c r="U1659" i="5"/>
  <c r="U1660" i="5"/>
  <c r="U1661" i="5"/>
  <c r="U1662" i="5"/>
  <c r="U1663" i="5"/>
  <c r="U1664" i="5"/>
  <c r="U1665" i="5"/>
  <c r="V1653" i="5"/>
  <c r="V1654" i="5"/>
  <c r="V1655" i="5"/>
  <c r="V1656" i="5"/>
  <c r="V1657" i="5"/>
  <c r="V1658" i="5"/>
  <c r="V1659" i="5"/>
  <c r="V1660" i="5"/>
  <c r="V1661" i="5"/>
  <c r="V1662" i="5"/>
  <c r="V1663" i="5"/>
  <c r="V1664" i="5"/>
  <c r="V1665" i="5"/>
  <c r="W1653" i="5"/>
  <c r="W1654" i="5"/>
  <c r="W1655" i="5"/>
  <c r="W1656" i="5"/>
  <c r="W1657" i="5"/>
  <c r="W1658" i="5"/>
  <c r="W1659" i="5"/>
  <c r="W1660" i="5"/>
  <c r="W1661" i="5"/>
  <c r="W1662" i="5"/>
  <c r="W1663" i="5"/>
  <c r="W1664" i="5"/>
  <c r="W1665" i="5"/>
  <c r="T1640" i="5"/>
  <c r="T1641" i="5"/>
  <c r="T1642" i="5"/>
  <c r="T1643" i="5"/>
  <c r="T1644" i="5"/>
  <c r="T1645" i="5"/>
  <c r="T1646" i="5"/>
  <c r="T1647" i="5"/>
  <c r="T1648" i="5"/>
  <c r="T1649" i="5"/>
  <c r="T1650" i="5"/>
  <c r="T1651" i="5"/>
  <c r="T1652" i="5"/>
  <c r="U1640" i="5"/>
  <c r="U1641" i="5"/>
  <c r="U1642" i="5"/>
  <c r="U1643" i="5"/>
  <c r="U1644" i="5"/>
  <c r="U1645" i="5"/>
  <c r="U1646" i="5"/>
  <c r="U1647" i="5"/>
  <c r="U1648" i="5"/>
  <c r="U1649" i="5"/>
  <c r="U1650" i="5"/>
  <c r="U1651" i="5"/>
  <c r="U1652" i="5"/>
  <c r="V1640" i="5"/>
  <c r="V1641" i="5"/>
  <c r="V1642" i="5"/>
  <c r="V1643" i="5"/>
  <c r="V1644" i="5"/>
  <c r="V1645" i="5"/>
  <c r="V1646" i="5"/>
  <c r="V1647" i="5"/>
  <c r="V1648" i="5"/>
  <c r="V1649" i="5"/>
  <c r="V1650" i="5"/>
  <c r="V1651" i="5"/>
  <c r="V1652" i="5"/>
  <c r="W1640" i="5"/>
  <c r="W1641" i="5"/>
  <c r="W1642" i="5"/>
  <c r="W1643" i="5"/>
  <c r="W1644" i="5"/>
  <c r="W1645" i="5"/>
  <c r="W1646" i="5"/>
  <c r="W1647" i="5"/>
  <c r="W1648" i="5"/>
  <c r="W1649" i="5"/>
  <c r="W1650" i="5"/>
  <c r="W1651" i="5"/>
  <c r="W1652" i="5"/>
  <c r="T1627" i="5"/>
  <c r="T1628" i="5"/>
  <c r="T1629" i="5"/>
  <c r="T1630" i="5"/>
  <c r="T1631" i="5"/>
  <c r="T1632" i="5"/>
  <c r="T1633" i="5"/>
  <c r="T1634" i="5"/>
  <c r="T1635" i="5"/>
  <c r="T1636" i="5"/>
  <c r="T1637" i="5"/>
  <c r="T1638" i="5"/>
  <c r="T1639" i="5"/>
  <c r="U1627" i="5"/>
  <c r="U1628" i="5"/>
  <c r="U1629" i="5"/>
  <c r="U1630" i="5"/>
  <c r="U1631" i="5"/>
  <c r="U1632" i="5"/>
  <c r="U1633" i="5"/>
  <c r="U1634" i="5"/>
  <c r="U1635" i="5"/>
  <c r="U1636" i="5"/>
  <c r="U1637" i="5"/>
  <c r="U1638" i="5"/>
  <c r="U1639" i="5"/>
  <c r="V1627" i="5"/>
  <c r="V1628" i="5"/>
  <c r="V1629" i="5"/>
  <c r="V1630" i="5"/>
  <c r="V1631" i="5"/>
  <c r="V1632" i="5"/>
  <c r="V1633" i="5"/>
  <c r="V1634" i="5"/>
  <c r="V1635" i="5"/>
  <c r="V1636" i="5"/>
  <c r="V1637" i="5"/>
  <c r="V1638" i="5"/>
  <c r="V1639" i="5"/>
  <c r="W1627" i="5"/>
  <c r="W1628" i="5"/>
  <c r="W1629" i="5"/>
  <c r="W1630" i="5"/>
  <c r="W1631" i="5"/>
  <c r="W1632" i="5"/>
  <c r="W1633" i="5"/>
  <c r="W1634" i="5"/>
  <c r="W1635" i="5"/>
  <c r="W1636" i="5"/>
  <c r="W1637" i="5"/>
  <c r="W1638" i="5"/>
  <c r="W1639" i="5"/>
  <c r="T1614" i="5"/>
  <c r="T1615" i="5"/>
  <c r="T1616" i="5"/>
  <c r="T1617" i="5"/>
  <c r="T1618" i="5"/>
  <c r="T1619" i="5"/>
  <c r="T1620" i="5"/>
  <c r="T1621" i="5"/>
  <c r="T1622" i="5"/>
  <c r="T1623" i="5"/>
  <c r="T1624" i="5"/>
  <c r="T1625" i="5"/>
  <c r="T1626" i="5"/>
  <c r="U1614" i="5"/>
  <c r="U1615" i="5"/>
  <c r="U1616" i="5"/>
  <c r="U1617" i="5"/>
  <c r="U1618" i="5"/>
  <c r="U1619" i="5"/>
  <c r="U1620" i="5"/>
  <c r="U1621" i="5"/>
  <c r="U1622" i="5"/>
  <c r="U1623" i="5"/>
  <c r="U1624" i="5"/>
  <c r="U1625" i="5"/>
  <c r="U1626" i="5"/>
  <c r="V1614" i="5"/>
  <c r="V1615" i="5"/>
  <c r="V1616" i="5"/>
  <c r="V1617" i="5"/>
  <c r="V1618" i="5"/>
  <c r="V1619" i="5"/>
  <c r="V1620" i="5"/>
  <c r="V1621" i="5"/>
  <c r="V1622" i="5"/>
  <c r="V1623" i="5"/>
  <c r="V1624" i="5"/>
  <c r="V1625" i="5"/>
  <c r="V1626" i="5"/>
  <c r="W1614" i="5"/>
  <c r="W1615" i="5"/>
  <c r="W1616" i="5"/>
  <c r="W1617" i="5"/>
  <c r="W1618" i="5"/>
  <c r="W1619" i="5"/>
  <c r="W1620" i="5"/>
  <c r="W1621" i="5"/>
  <c r="W1622" i="5"/>
  <c r="W1623" i="5"/>
  <c r="W1624" i="5"/>
  <c r="W1625" i="5"/>
  <c r="W1626" i="5"/>
  <c r="T1601" i="5"/>
  <c r="T1602" i="5"/>
  <c r="T1603" i="5"/>
  <c r="T1604" i="5"/>
  <c r="T1605" i="5"/>
  <c r="T1606" i="5"/>
  <c r="T1607" i="5"/>
  <c r="T1608" i="5"/>
  <c r="T1609" i="5"/>
  <c r="T1610" i="5"/>
  <c r="T1611" i="5"/>
  <c r="T1612" i="5"/>
  <c r="T1613" i="5"/>
  <c r="U1601" i="5"/>
  <c r="U1602" i="5"/>
  <c r="U1603" i="5"/>
  <c r="U1604" i="5"/>
  <c r="U1605" i="5"/>
  <c r="U1606" i="5"/>
  <c r="U1607" i="5"/>
  <c r="U1608" i="5"/>
  <c r="U1609" i="5"/>
  <c r="U1610" i="5"/>
  <c r="U1611" i="5"/>
  <c r="U1612" i="5"/>
  <c r="U1613" i="5"/>
  <c r="V1601" i="5"/>
  <c r="V1602" i="5"/>
  <c r="V1603" i="5"/>
  <c r="V1604" i="5"/>
  <c r="V1605" i="5"/>
  <c r="V1606" i="5"/>
  <c r="V1607" i="5"/>
  <c r="V1608" i="5"/>
  <c r="V1609" i="5"/>
  <c r="V1610" i="5"/>
  <c r="V1611" i="5"/>
  <c r="V1612" i="5"/>
  <c r="V1613" i="5"/>
  <c r="W1601" i="5"/>
  <c r="W1602" i="5"/>
  <c r="W1603" i="5"/>
  <c r="W1604" i="5"/>
  <c r="W1605" i="5"/>
  <c r="W1606" i="5"/>
  <c r="W1607" i="5"/>
  <c r="W1608" i="5"/>
  <c r="W1609" i="5"/>
  <c r="W1610" i="5"/>
  <c r="W1611" i="5"/>
  <c r="W1612" i="5"/>
  <c r="W1613" i="5"/>
  <c r="T1588" i="5"/>
  <c r="T1589" i="5"/>
  <c r="T1590" i="5"/>
  <c r="T1591" i="5"/>
  <c r="T1592" i="5"/>
  <c r="T1593" i="5"/>
  <c r="T1594" i="5"/>
  <c r="T1595" i="5"/>
  <c r="T1596" i="5"/>
  <c r="T1597" i="5"/>
  <c r="T1598" i="5"/>
  <c r="T1599" i="5"/>
  <c r="T1600" i="5"/>
  <c r="U1588" i="5"/>
  <c r="U1589" i="5"/>
  <c r="U1590" i="5"/>
  <c r="U1591" i="5"/>
  <c r="U1592" i="5"/>
  <c r="U1593" i="5"/>
  <c r="U1594" i="5"/>
  <c r="U1595" i="5"/>
  <c r="U1596" i="5"/>
  <c r="U1597" i="5"/>
  <c r="U1598" i="5"/>
  <c r="U1599" i="5"/>
  <c r="U1600" i="5"/>
  <c r="V1588" i="5"/>
  <c r="V1589" i="5"/>
  <c r="V1590" i="5"/>
  <c r="V1591" i="5"/>
  <c r="V1592" i="5"/>
  <c r="V1593" i="5"/>
  <c r="V1594" i="5"/>
  <c r="V1595" i="5"/>
  <c r="V1596" i="5"/>
  <c r="V1597" i="5"/>
  <c r="V1598" i="5"/>
  <c r="V1599" i="5"/>
  <c r="V1600" i="5"/>
  <c r="W1588" i="5"/>
  <c r="W1589" i="5"/>
  <c r="W1590" i="5"/>
  <c r="W1591" i="5"/>
  <c r="W1592" i="5"/>
  <c r="W1593" i="5"/>
  <c r="W1594" i="5"/>
  <c r="W1595" i="5"/>
  <c r="W1596" i="5"/>
  <c r="W1597" i="5"/>
  <c r="W1598" i="5"/>
  <c r="W1599" i="5"/>
  <c r="W1600" i="5"/>
  <c r="T1575" i="5"/>
  <c r="T1576" i="5"/>
  <c r="T1577" i="5"/>
  <c r="T1578" i="5"/>
  <c r="T1579" i="5"/>
  <c r="T1580" i="5"/>
  <c r="T1581" i="5"/>
  <c r="T1582" i="5"/>
  <c r="T1583" i="5"/>
  <c r="T1584" i="5"/>
  <c r="T1585" i="5"/>
  <c r="T1586" i="5"/>
  <c r="T1587" i="5"/>
  <c r="U1575" i="5"/>
  <c r="U1576" i="5"/>
  <c r="U1577" i="5"/>
  <c r="U1578" i="5"/>
  <c r="U1579" i="5"/>
  <c r="U1580" i="5"/>
  <c r="U1581" i="5"/>
  <c r="U1582" i="5"/>
  <c r="U1583" i="5"/>
  <c r="U1584" i="5"/>
  <c r="U1585" i="5"/>
  <c r="U1586" i="5"/>
  <c r="U1587" i="5"/>
  <c r="V1575" i="5"/>
  <c r="V1576" i="5"/>
  <c r="V1577" i="5"/>
  <c r="V1578" i="5"/>
  <c r="V1579" i="5"/>
  <c r="V1580" i="5"/>
  <c r="V1581" i="5"/>
  <c r="V1582" i="5"/>
  <c r="V1583" i="5"/>
  <c r="V1584" i="5"/>
  <c r="V1585" i="5"/>
  <c r="V1586" i="5"/>
  <c r="V1587" i="5"/>
  <c r="W1575" i="5"/>
  <c r="W1576" i="5"/>
  <c r="W1577" i="5"/>
  <c r="W1578" i="5"/>
  <c r="W1579" i="5"/>
  <c r="W1580" i="5"/>
  <c r="W1581" i="5"/>
  <c r="W1582" i="5"/>
  <c r="W1583" i="5"/>
  <c r="W1584" i="5"/>
  <c r="W1585" i="5"/>
  <c r="W1586" i="5"/>
  <c r="W1587" i="5"/>
  <c r="T1562" i="5"/>
  <c r="T1563" i="5"/>
  <c r="T1564" i="5"/>
  <c r="T1565" i="5"/>
  <c r="T1566" i="5"/>
  <c r="T1567" i="5"/>
  <c r="T1568" i="5"/>
  <c r="T1569" i="5"/>
  <c r="T1570" i="5"/>
  <c r="T1571" i="5"/>
  <c r="T1572" i="5"/>
  <c r="T1573" i="5"/>
  <c r="T1574" i="5"/>
  <c r="U1562" i="5"/>
  <c r="U1563" i="5"/>
  <c r="U1564" i="5"/>
  <c r="U1565" i="5"/>
  <c r="U1566" i="5"/>
  <c r="U1567" i="5"/>
  <c r="U1568" i="5"/>
  <c r="U1569" i="5"/>
  <c r="U1570" i="5"/>
  <c r="U1571" i="5"/>
  <c r="U1572" i="5"/>
  <c r="U1573" i="5"/>
  <c r="U1574" i="5"/>
  <c r="V1562" i="5"/>
  <c r="V1563" i="5"/>
  <c r="V1564" i="5"/>
  <c r="V1565" i="5"/>
  <c r="V1566" i="5"/>
  <c r="V1567" i="5"/>
  <c r="V1568" i="5"/>
  <c r="V1569" i="5"/>
  <c r="V1570" i="5"/>
  <c r="V1571" i="5"/>
  <c r="V1572" i="5"/>
  <c r="V1573" i="5"/>
  <c r="V1574" i="5"/>
  <c r="W1562" i="5"/>
  <c r="W1563" i="5"/>
  <c r="W1564" i="5"/>
  <c r="W1565" i="5"/>
  <c r="W1566" i="5"/>
  <c r="W1567" i="5"/>
  <c r="W1568" i="5"/>
  <c r="W1569" i="5"/>
  <c r="W1570" i="5"/>
  <c r="W1571" i="5"/>
  <c r="W1572" i="5"/>
  <c r="W1573" i="5"/>
  <c r="W1574" i="5"/>
  <c r="T1549" i="5"/>
  <c r="T1550" i="5"/>
  <c r="T1551" i="5"/>
  <c r="T1552" i="5"/>
  <c r="T1553" i="5"/>
  <c r="T1554" i="5"/>
  <c r="T1555" i="5"/>
  <c r="T1556" i="5"/>
  <c r="T1557" i="5"/>
  <c r="T1558" i="5"/>
  <c r="T1559" i="5"/>
  <c r="T1560" i="5"/>
  <c r="T1561" i="5"/>
  <c r="U1549" i="5"/>
  <c r="U1550" i="5"/>
  <c r="U1551" i="5"/>
  <c r="U1552" i="5"/>
  <c r="U1553" i="5"/>
  <c r="U1554" i="5"/>
  <c r="U1555" i="5"/>
  <c r="U1556" i="5"/>
  <c r="U1557" i="5"/>
  <c r="U1558" i="5"/>
  <c r="U1559" i="5"/>
  <c r="U1560" i="5"/>
  <c r="U1561" i="5"/>
  <c r="V1549" i="5"/>
  <c r="V1550" i="5"/>
  <c r="V1551" i="5"/>
  <c r="V1552" i="5"/>
  <c r="V1553" i="5"/>
  <c r="V1554" i="5"/>
  <c r="V1555" i="5"/>
  <c r="V1556" i="5"/>
  <c r="V1557" i="5"/>
  <c r="V1558" i="5"/>
  <c r="V1559" i="5"/>
  <c r="V1560" i="5"/>
  <c r="V1561" i="5"/>
  <c r="W1549" i="5"/>
  <c r="W1550" i="5"/>
  <c r="W1551" i="5"/>
  <c r="W1552" i="5"/>
  <c r="W1553" i="5"/>
  <c r="W1554" i="5"/>
  <c r="W1555" i="5"/>
  <c r="W1556" i="5"/>
  <c r="W1557" i="5"/>
  <c r="W1558" i="5"/>
  <c r="W1559" i="5"/>
  <c r="W1560" i="5"/>
  <c r="W1561" i="5"/>
  <c r="T1536" i="5"/>
  <c r="T1537" i="5"/>
  <c r="T1538" i="5"/>
  <c r="T1539" i="5"/>
  <c r="T1540" i="5"/>
  <c r="T1541" i="5"/>
  <c r="T1542" i="5"/>
  <c r="T1543" i="5"/>
  <c r="T1544" i="5"/>
  <c r="T1545" i="5"/>
  <c r="T1546" i="5"/>
  <c r="T1547" i="5"/>
  <c r="T1548" i="5"/>
  <c r="U1536" i="5"/>
  <c r="U1537" i="5"/>
  <c r="U1538" i="5"/>
  <c r="U1539" i="5"/>
  <c r="U1540" i="5"/>
  <c r="U1541" i="5"/>
  <c r="U1542" i="5"/>
  <c r="U1543" i="5"/>
  <c r="U1544" i="5"/>
  <c r="U1545" i="5"/>
  <c r="U1546" i="5"/>
  <c r="U1547" i="5"/>
  <c r="U1548" i="5"/>
  <c r="V1536" i="5"/>
  <c r="V1537" i="5"/>
  <c r="V1538" i="5"/>
  <c r="V1539" i="5"/>
  <c r="V1540" i="5"/>
  <c r="V1541" i="5"/>
  <c r="V1542" i="5"/>
  <c r="V1543" i="5"/>
  <c r="V1544" i="5"/>
  <c r="V1545" i="5"/>
  <c r="V1546" i="5"/>
  <c r="V1547" i="5"/>
  <c r="V1548" i="5"/>
  <c r="W1536" i="5"/>
  <c r="W1537" i="5"/>
  <c r="W1538" i="5"/>
  <c r="W1539" i="5"/>
  <c r="W1540" i="5"/>
  <c r="W1541" i="5"/>
  <c r="W1542" i="5"/>
  <c r="W1543" i="5"/>
  <c r="W1544" i="5"/>
  <c r="W1545" i="5"/>
  <c r="W1546" i="5"/>
  <c r="W1547" i="5"/>
  <c r="W1548" i="5"/>
  <c r="T1523" i="5"/>
  <c r="T1524" i="5"/>
  <c r="T1525" i="5"/>
  <c r="T1526" i="5"/>
  <c r="T1527" i="5"/>
  <c r="T1528" i="5"/>
  <c r="T1529" i="5"/>
  <c r="T1530" i="5"/>
  <c r="T1531" i="5"/>
  <c r="T1532" i="5"/>
  <c r="T1533" i="5"/>
  <c r="T1534" i="5"/>
  <c r="T1535" i="5"/>
  <c r="U1523" i="5"/>
  <c r="U1524" i="5"/>
  <c r="U1525" i="5"/>
  <c r="U1526" i="5"/>
  <c r="U1527" i="5"/>
  <c r="U1528" i="5"/>
  <c r="U1529" i="5"/>
  <c r="U1530" i="5"/>
  <c r="U1531" i="5"/>
  <c r="U1532" i="5"/>
  <c r="U1533" i="5"/>
  <c r="U1534" i="5"/>
  <c r="U1535" i="5"/>
  <c r="V1523" i="5"/>
  <c r="V1524" i="5"/>
  <c r="V1525" i="5"/>
  <c r="V1526" i="5"/>
  <c r="V1527" i="5"/>
  <c r="V1528" i="5"/>
  <c r="V1529" i="5"/>
  <c r="V1530" i="5"/>
  <c r="V1531" i="5"/>
  <c r="V1532" i="5"/>
  <c r="V1533" i="5"/>
  <c r="V1534" i="5"/>
  <c r="V1535" i="5"/>
  <c r="W1523" i="5"/>
  <c r="W1524" i="5"/>
  <c r="W1525" i="5"/>
  <c r="W1526" i="5"/>
  <c r="W1527" i="5"/>
  <c r="W1528" i="5"/>
  <c r="W1529" i="5"/>
  <c r="W1530" i="5"/>
  <c r="W1531" i="5"/>
  <c r="W1532" i="5"/>
  <c r="W1533" i="5"/>
  <c r="W1534" i="5"/>
  <c r="W1535" i="5"/>
  <c r="T1510" i="5"/>
  <c r="T1511" i="5"/>
  <c r="T1512" i="5"/>
  <c r="T1513" i="5"/>
  <c r="T1514" i="5"/>
  <c r="T1515" i="5"/>
  <c r="T1516" i="5"/>
  <c r="T1517" i="5"/>
  <c r="T1518" i="5"/>
  <c r="T1519" i="5"/>
  <c r="T1520" i="5"/>
  <c r="T1521" i="5"/>
  <c r="T1522" i="5"/>
  <c r="U1510" i="5"/>
  <c r="U1511" i="5"/>
  <c r="U1512" i="5"/>
  <c r="U1513" i="5"/>
  <c r="U1514" i="5"/>
  <c r="U1515" i="5"/>
  <c r="U1516" i="5"/>
  <c r="U1517" i="5"/>
  <c r="U1518" i="5"/>
  <c r="U1519" i="5"/>
  <c r="U1520" i="5"/>
  <c r="U1521" i="5"/>
  <c r="U1522" i="5"/>
  <c r="V1510" i="5"/>
  <c r="V1511" i="5"/>
  <c r="V1512" i="5"/>
  <c r="V1513" i="5"/>
  <c r="V1514" i="5"/>
  <c r="V1515" i="5"/>
  <c r="V1516" i="5"/>
  <c r="V1517" i="5"/>
  <c r="V1518" i="5"/>
  <c r="V1519" i="5"/>
  <c r="V1520" i="5"/>
  <c r="V1521" i="5"/>
  <c r="V1522" i="5"/>
  <c r="W1510" i="5"/>
  <c r="W1511" i="5"/>
  <c r="W1512" i="5"/>
  <c r="W1513" i="5"/>
  <c r="W1514" i="5"/>
  <c r="W1515" i="5"/>
  <c r="W1516" i="5"/>
  <c r="W1517" i="5"/>
  <c r="W1518" i="5"/>
  <c r="W1519" i="5"/>
  <c r="W1520" i="5"/>
  <c r="W1521" i="5"/>
  <c r="W1522" i="5"/>
  <c r="T1497" i="5"/>
  <c r="T1498" i="5"/>
  <c r="T1499" i="5"/>
  <c r="T1500" i="5"/>
  <c r="T1501" i="5"/>
  <c r="T1502" i="5"/>
  <c r="T1503" i="5"/>
  <c r="T1504" i="5"/>
  <c r="T1505" i="5"/>
  <c r="T1506" i="5"/>
  <c r="T1507" i="5"/>
  <c r="T1508" i="5"/>
  <c r="T1509" i="5"/>
  <c r="U1497" i="5"/>
  <c r="U1498" i="5"/>
  <c r="U1499" i="5"/>
  <c r="U1500" i="5"/>
  <c r="U1501" i="5"/>
  <c r="U1502" i="5"/>
  <c r="U1503" i="5"/>
  <c r="U1504" i="5"/>
  <c r="U1505" i="5"/>
  <c r="U1506" i="5"/>
  <c r="U1507" i="5"/>
  <c r="U1508" i="5"/>
  <c r="U1509" i="5"/>
  <c r="V1497" i="5"/>
  <c r="V1498" i="5"/>
  <c r="V1499" i="5"/>
  <c r="V1500" i="5"/>
  <c r="V1501" i="5"/>
  <c r="V1502" i="5"/>
  <c r="V1503" i="5"/>
  <c r="V1504" i="5"/>
  <c r="V1505" i="5"/>
  <c r="V1506" i="5"/>
  <c r="V1507" i="5"/>
  <c r="V1508" i="5"/>
  <c r="V1509" i="5"/>
  <c r="W1497" i="5"/>
  <c r="W1498" i="5"/>
  <c r="W1499" i="5"/>
  <c r="W1500" i="5"/>
  <c r="W1501" i="5"/>
  <c r="W1502" i="5"/>
  <c r="W1503" i="5"/>
  <c r="W1504" i="5"/>
  <c r="W1505" i="5"/>
  <c r="W1506" i="5"/>
  <c r="W1507" i="5"/>
  <c r="W1508" i="5"/>
  <c r="W1509" i="5"/>
  <c r="T1484" i="5"/>
  <c r="T1485" i="5"/>
  <c r="T1486" i="5"/>
  <c r="T1487" i="5"/>
  <c r="T1488" i="5"/>
  <c r="T1489" i="5"/>
  <c r="T1490" i="5"/>
  <c r="T1491" i="5"/>
  <c r="T1492" i="5"/>
  <c r="T1493" i="5"/>
  <c r="T1494" i="5"/>
  <c r="T1495" i="5"/>
  <c r="T1496" i="5"/>
  <c r="U1484" i="5"/>
  <c r="U1485" i="5"/>
  <c r="U1486" i="5"/>
  <c r="U1487" i="5"/>
  <c r="U1488" i="5"/>
  <c r="U1489" i="5"/>
  <c r="U1490" i="5"/>
  <c r="U1491" i="5"/>
  <c r="U1492" i="5"/>
  <c r="U1493" i="5"/>
  <c r="U1494" i="5"/>
  <c r="U1495" i="5"/>
  <c r="U1496" i="5"/>
  <c r="V1484" i="5"/>
  <c r="V1485" i="5"/>
  <c r="V1486" i="5"/>
  <c r="V1487" i="5"/>
  <c r="V1488" i="5"/>
  <c r="V1489" i="5"/>
  <c r="V1490" i="5"/>
  <c r="V1491" i="5"/>
  <c r="V1492" i="5"/>
  <c r="V1493" i="5"/>
  <c r="V1494" i="5"/>
  <c r="V1495" i="5"/>
  <c r="V1496" i="5"/>
  <c r="W1484" i="5"/>
  <c r="W1485" i="5"/>
  <c r="W1486" i="5"/>
  <c r="W1487" i="5"/>
  <c r="W1488" i="5"/>
  <c r="W1489" i="5"/>
  <c r="W1490" i="5"/>
  <c r="W1491" i="5"/>
  <c r="W1492" i="5"/>
  <c r="W1493" i="5"/>
  <c r="W1494" i="5"/>
  <c r="W1495" i="5"/>
  <c r="W1496" i="5"/>
  <c r="T1471" i="5"/>
  <c r="T1472" i="5"/>
  <c r="T1473" i="5"/>
  <c r="T1474" i="5"/>
  <c r="T1475" i="5"/>
  <c r="T1476" i="5"/>
  <c r="T1477" i="5"/>
  <c r="T1478" i="5"/>
  <c r="T1479" i="5"/>
  <c r="T1480" i="5"/>
  <c r="T1481" i="5"/>
  <c r="T1482" i="5"/>
  <c r="T1483" i="5"/>
  <c r="U1471" i="5"/>
  <c r="U1472" i="5"/>
  <c r="U1473" i="5"/>
  <c r="U1474" i="5"/>
  <c r="U1475" i="5"/>
  <c r="U1476" i="5"/>
  <c r="U1477" i="5"/>
  <c r="U1478" i="5"/>
  <c r="U1479" i="5"/>
  <c r="U1480" i="5"/>
  <c r="U1481" i="5"/>
  <c r="U1482" i="5"/>
  <c r="U1483" i="5"/>
  <c r="V1471" i="5"/>
  <c r="V1472" i="5"/>
  <c r="V1473" i="5"/>
  <c r="V1474" i="5"/>
  <c r="V1475" i="5"/>
  <c r="V1476" i="5"/>
  <c r="V1477" i="5"/>
  <c r="V1478" i="5"/>
  <c r="V1479" i="5"/>
  <c r="V1480" i="5"/>
  <c r="V1481" i="5"/>
  <c r="V1482" i="5"/>
  <c r="V1483" i="5"/>
  <c r="W1471" i="5"/>
  <c r="W1472" i="5"/>
  <c r="W1473" i="5"/>
  <c r="W1474" i="5"/>
  <c r="W1475" i="5"/>
  <c r="W1476" i="5"/>
  <c r="W1477" i="5"/>
  <c r="W1478" i="5"/>
  <c r="W1479" i="5"/>
  <c r="W1480" i="5"/>
  <c r="W1481" i="5"/>
  <c r="W1482" i="5"/>
  <c r="W1483" i="5"/>
  <c r="T1458" i="5"/>
  <c r="T1459" i="5"/>
  <c r="T1460" i="5"/>
  <c r="T1461" i="5"/>
  <c r="T1462" i="5"/>
  <c r="T1463" i="5"/>
  <c r="T1464" i="5"/>
  <c r="T1465" i="5"/>
  <c r="T1466" i="5"/>
  <c r="T1467" i="5"/>
  <c r="T1468" i="5"/>
  <c r="T1469" i="5"/>
  <c r="T1470" i="5"/>
  <c r="U1458" i="5"/>
  <c r="U1459" i="5"/>
  <c r="U1460" i="5"/>
  <c r="U1461" i="5"/>
  <c r="U1462" i="5"/>
  <c r="U1463" i="5"/>
  <c r="U1464" i="5"/>
  <c r="U1465" i="5"/>
  <c r="U1466" i="5"/>
  <c r="U1467" i="5"/>
  <c r="U1468" i="5"/>
  <c r="U1469" i="5"/>
  <c r="U1470" i="5"/>
  <c r="V1458" i="5"/>
  <c r="V1459" i="5"/>
  <c r="V1460" i="5"/>
  <c r="V1461" i="5"/>
  <c r="V1462" i="5"/>
  <c r="V1463" i="5"/>
  <c r="V1464" i="5"/>
  <c r="V1465" i="5"/>
  <c r="V1466" i="5"/>
  <c r="V1467" i="5"/>
  <c r="V1468" i="5"/>
  <c r="V1469" i="5"/>
  <c r="V1470" i="5"/>
  <c r="W1458" i="5"/>
  <c r="W1459" i="5"/>
  <c r="W1460" i="5"/>
  <c r="W1461" i="5"/>
  <c r="W1462" i="5"/>
  <c r="W1463" i="5"/>
  <c r="W1464" i="5"/>
  <c r="W1465" i="5"/>
  <c r="W1466" i="5"/>
  <c r="W1467" i="5"/>
  <c r="W1468" i="5"/>
  <c r="W1469" i="5"/>
  <c r="W1470" i="5"/>
  <c r="T1445" i="5"/>
  <c r="T1446" i="5"/>
  <c r="T1447" i="5"/>
  <c r="T1448" i="5"/>
  <c r="T1449" i="5"/>
  <c r="T1450" i="5"/>
  <c r="T1451" i="5"/>
  <c r="T1452" i="5"/>
  <c r="T1453" i="5"/>
  <c r="T1454" i="5"/>
  <c r="T1455" i="5"/>
  <c r="T1456" i="5"/>
  <c r="T1457" i="5"/>
  <c r="U1445" i="5"/>
  <c r="U1446" i="5"/>
  <c r="U1447" i="5"/>
  <c r="U1448" i="5"/>
  <c r="U1449" i="5"/>
  <c r="U1450" i="5"/>
  <c r="U1451" i="5"/>
  <c r="U1452" i="5"/>
  <c r="U1453" i="5"/>
  <c r="U1454" i="5"/>
  <c r="U1455" i="5"/>
  <c r="U1456" i="5"/>
  <c r="U1457" i="5"/>
  <c r="V1445" i="5"/>
  <c r="V1446" i="5"/>
  <c r="V1447" i="5"/>
  <c r="V1448" i="5"/>
  <c r="V1449" i="5"/>
  <c r="V1450" i="5"/>
  <c r="V1451" i="5"/>
  <c r="V1452" i="5"/>
  <c r="V1453" i="5"/>
  <c r="V1454" i="5"/>
  <c r="V1455" i="5"/>
  <c r="V1456" i="5"/>
  <c r="V1457" i="5"/>
  <c r="W1445" i="5"/>
  <c r="W1446" i="5"/>
  <c r="W1447" i="5"/>
  <c r="W1448" i="5"/>
  <c r="W1449" i="5"/>
  <c r="W1450" i="5"/>
  <c r="W1451" i="5"/>
  <c r="W1452" i="5"/>
  <c r="W1453" i="5"/>
  <c r="W1454" i="5"/>
  <c r="W1455" i="5"/>
  <c r="W1456" i="5"/>
  <c r="W1457" i="5"/>
  <c r="T1432" i="5"/>
  <c r="T1433" i="5"/>
  <c r="T1434" i="5"/>
  <c r="T1435" i="5"/>
  <c r="T1436" i="5"/>
  <c r="T1437" i="5"/>
  <c r="T1438" i="5"/>
  <c r="T1439" i="5"/>
  <c r="T1440" i="5"/>
  <c r="T1441" i="5"/>
  <c r="T1442" i="5"/>
  <c r="T1443" i="5"/>
  <c r="T1444" i="5"/>
  <c r="U1432" i="5"/>
  <c r="U1433" i="5"/>
  <c r="U1434" i="5"/>
  <c r="U1435" i="5"/>
  <c r="U1436" i="5"/>
  <c r="U1437" i="5"/>
  <c r="U1438" i="5"/>
  <c r="U1439" i="5"/>
  <c r="U1440" i="5"/>
  <c r="U1441" i="5"/>
  <c r="U1442" i="5"/>
  <c r="U1443" i="5"/>
  <c r="U1444" i="5"/>
  <c r="V1432" i="5"/>
  <c r="V1433" i="5"/>
  <c r="V1434" i="5"/>
  <c r="V1435" i="5"/>
  <c r="V1436" i="5"/>
  <c r="V1437" i="5"/>
  <c r="V1438" i="5"/>
  <c r="V1439" i="5"/>
  <c r="V1440" i="5"/>
  <c r="V1441" i="5"/>
  <c r="V1442" i="5"/>
  <c r="V1443" i="5"/>
  <c r="V1444" i="5"/>
  <c r="W1432" i="5"/>
  <c r="W1433" i="5"/>
  <c r="W1434" i="5"/>
  <c r="W1435" i="5"/>
  <c r="W1436" i="5"/>
  <c r="W1437" i="5"/>
  <c r="W1438" i="5"/>
  <c r="W1439" i="5"/>
  <c r="W1440" i="5"/>
  <c r="W1441" i="5"/>
  <c r="W1442" i="5"/>
  <c r="W1443" i="5"/>
  <c r="W1444" i="5"/>
  <c r="T1419" i="5"/>
  <c r="T1420" i="5"/>
  <c r="T1421" i="5"/>
  <c r="T1422" i="5"/>
  <c r="T1423" i="5"/>
  <c r="T1424" i="5"/>
  <c r="T1425" i="5"/>
  <c r="T1426" i="5"/>
  <c r="T1427" i="5"/>
  <c r="T1428" i="5"/>
  <c r="T1429" i="5"/>
  <c r="T1430" i="5"/>
  <c r="T1431" i="5"/>
  <c r="U1419" i="5"/>
  <c r="U1420" i="5"/>
  <c r="U1421" i="5"/>
  <c r="U1422" i="5"/>
  <c r="U1423" i="5"/>
  <c r="U1424" i="5"/>
  <c r="U1425" i="5"/>
  <c r="U1426" i="5"/>
  <c r="U1427" i="5"/>
  <c r="U1428" i="5"/>
  <c r="U1429" i="5"/>
  <c r="U1430" i="5"/>
  <c r="U1431" i="5"/>
  <c r="V1419" i="5"/>
  <c r="V1420" i="5"/>
  <c r="V1421" i="5"/>
  <c r="V1422" i="5"/>
  <c r="V1423" i="5"/>
  <c r="V1424" i="5"/>
  <c r="V1425" i="5"/>
  <c r="V1426" i="5"/>
  <c r="V1427" i="5"/>
  <c r="V1428" i="5"/>
  <c r="V1429" i="5"/>
  <c r="V1430" i="5"/>
  <c r="V1431" i="5"/>
  <c r="W1419" i="5"/>
  <c r="W1420" i="5"/>
  <c r="W1421" i="5"/>
  <c r="W1422" i="5"/>
  <c r="W1423" i="5"/>
  <c r="W1424" i="5"/>
  <c r="W1425" i="5"/>
  <c r="W1426" i="5"/>
  <c r="W1427" i="5"/>
  <c r="W1428" i="5"/>
  <c r="W1429" i="5"/>
  <c r="W1430" i="5"/>
  <c r="W1431" i="5"/>
  <c r="T1406" i="5"/>
  <c r="T1407" i="5"/>
  <c r="T1408" i="5"/>
  <c r="T1409" i="5"/>
  <c r="T1410" i="5"/>
  <c r="T1411" i="5"/>
  <c r="T1412" i="5"/>
  <c r="T1413" i="5"/>
  <c r="T1414" i="5"/>
  <c r="T1415" i="5"/>
  <c r="T1416" i="5"/>
  <c r="T1417" i="5"/>
  <c r="T1418" i="5"/>
  <c r="U1406" i="5"/>
  <c r="U1407" i="5"/>
  <c r="U1408" i="5"/>
  <c r="U1409" i="5"/>
  <c r="U1410" i="5"/>
  <c r="U1411" i="5"/>
  <c r="U1412" i="5"/>
  <c r="U1413" i="5"/>
  <c r="U1414" i="5"/>
  <c r="U1415" i="5"/>
  <c r="U1416" i="5"/>
  <c r="U1417" i="5"/>
  <c r="U1418" i="5"/>
  <c r="V1406" i="5"/>
  <c r="V1407" i="5"/>
  <c r="V1408" i="5"/>
  <c r="V1409" i="5"/>
  <c r="V1410" i="5"/>
  <c r="V1411" i="5"/>
  <c r="V1412" i="5"/>
  <c r="V1413" i="5"/>
  <c r="V1414" i="5"/>
  <c r="V1415" i="5"/>
  <c r="V1416" i="5"/>
  <c r="V1417" i="5"/>
  <c r="V1418" i="5"/>
  <c r="W1406" i="5"/>
  <c r="W1407" i="5"/>
  <c r="W1408" i="5"/>
  <c r="W1409" i="5"/>
  <c r="W1410" i="5"/>
  <c r="W1411" i="5"/>
  <c r="W1412" i="5"/>
  <c r="W1413" i="5"/>
  <c r="W1414" i="5"/>
  <c r="W1415" i="5"/>
  <c r="W1416" i="5"/>
  <c r="W1417" i="5"/>
  <c r="W1418" i="5"/>
  <c r="T1393" i="5"/>
  <c r="T1394" i="5"/>
  <c r="T1395" i="5"/>
  <c r="T1396" i="5"/>
  <c r="T1397" i="5"/>
  <c r="T1398" i="5"/>
  <c r="T1399" i="5"/>
  <c r="T1400" i="5"/>
  <c r="T1401" i="5"/>
  <c r="T1402" i="5"/>
  <c r="T1403" i="5"/>
  <c r="T1404" i="5"/>
  <c r="T1405" i="5"/>
  <c r="U1393" i="5"/>
  <c r="U1394" i="5"/>
  <c r="U1395" i="5"/>
  <c r="U1396" i="5"/>
  <c r="U1397" i="5"/>
  <c r="U1398" i="5"/>
  <c r="U1399" i="5"/>
  <c r="U1400" i="5"/>
  <c r="U1401" i="5"/>
  <c r="U1402" i="5"/>
  <c r="U1403" i="5"/>
  <c r="U1404" i="5"/>
  <c r="U1405" i="5"/>
  <c r="V1393" i="5"/>
  <c r="V1394" i="5"/>
  <c r="V1395" i="5"/>
  <c r="V1396" i="5"/>
  <c r="V1397" i="5"/>
  <c r="V1398" i="5"/>
  <c r="V1399" i="5"/>
  <c r="V1400" i="5"/>
  <c r="V1401" i="5"/>
  <c r="V1402" i="5"/>
  <c r="V1403" i="5"/>
  <c r="V1404" i="5"/>
  <c r="V1405" i="5"/>
  <c r="W1393" i="5"/>
  <c r="W1394" i="5"/>
  <c r="W1395" i="5"/>
  <c r="W1396" i="5"/>
  <c r="W1397" i="5"/>
  <c r="W1398" i="5"/>
  <c r="W1399" i="5"/>
  <c r="W1400" i="5"/>
  <c r="W1401" i="5"/>
  <c r="W1402" i="5"/>
  <c r="W1403" i="5"/>
  <c r="W1404" i="5"/>
  <c r="W1405" i="5"/>
  <c r="T1380" i="5"/>
  <c r="T1381" i="5"/>
  <c r="T1382" i="5"/>
  <c r="T1383" i="5"/>
  <c r="T1384" i="5"/>
  <c r="T1385" i="5"/>
  <c r="T1386" i="5"/>
  <c r="T1387" i="5"/>
  <c r="T1388" i="5"/>
  <c r="T1389" i="5"/>
  <c r="T1390" i="5"/>
  <c r="T1391" i="5"/>
  <c r="T1392" i="5"/>
  <c r="U1380" i="5"/>
  <c r="U1381" i="5"/>
  <c r="U1382" i="5"/>
  <c r="U1383" i="5"/>
  <c r="U1384" i="5"/>
  <c r="U1385" i="5"/>
  <c r="U1386" i="5"/>
  <c r="U1387" i="5"/>
  <c r="U1388" i="5"/>
  <c r="U1389" i="5"/>
  <c r="U1390" i="5"/>
  <c r="U1391" i="5"/>
  <c r="U1392" i="5"/>
  <c r="V1380" i="5"/>
  <c r="V1381" i="5"/>
  <c r="V1382" i="5"/>
  <c r="V1383" i="5"/>
  <c r="V1384" i="5"/>
  <c r="V1385" i="5"/>
  <c r="V1386" i="5"/>
  <c r="V1387" i="5"/>
  <c r="V1388" i="5"/>
  <c r="V1389" i="5"/>
  <c r="V1390" i="5"/>
  <c r="V1391" i="5"/>
  <c r="V1392" i="5"/>
  <c r="W1380" i="5"/>
  <c r="W1381" i="5"/>
  <c r="W1382" i="5"/>
  <c r="W1383" i="5"/>
  <c r="W1384" i="5"/>
  <c r="W1385" i="5"/>
  <c r="W1386" i="5"/>
  <c r="W1387" i="5"/>
  <c r="W1388" i="5"/>
  <c r="W1389" i="5"/>
  <c r="W1390" i="5"/>
  <c r="W1391" i="5"/>
  <c r="W1392" i="5"/>
  <c r="T1367" i="5"/>
  <c r="T1368" i="5"/>
  <c r="T1369" i="5"/>
  <c r="T1370" i="5"/>
  <c r="T1371" i="5"/>
  <c r="T1372" i="5"/>
  <c r="T1373" i="5"/>
  <c r="T1374" i="5"/>
  <c r="T1375" i="5"/>
  <c r="T1376" i="5"/>
  <c r="T1377" i="5"/>
  <c r="T1378" i="5"/>
  <c r="T1379" i="5"/>
  <c r="U1367" i="5"/>
  <c r="U1368" i="5"/>
  <c r="U1369" i="5"/>
  <c r="U1370" i="5"/>
  <c r="U1371" i="5"/>
  <c r="U1372" i="5"/>
  <c r="U1373" i="5"/>
  <c r="U1374" i="5"/>
  <c r="U1375" i="5"/>
  <c r="U1376" i="5"/>
  <c r="U1377" i="5"/>
  <c r="U1378" i="5"/>
  <c r="U1379" i="5"/>
  <c r="V1367" i="5"/>
  <c r="V1368" i="5"/>
  <c r="V1369" i="5"/>
  <c r="V1370" i="5"/>
  <c r="V1371" i="5"/>
  <c r="V1372" i="5"/>
  <c r="V1373" i="5"/>
  <c r="V1374" i="5"/>
  <c r="V1375" i="5"/>
  <c r="V1376" i="5"/>
  <c r="V1377" i="5"/>
  <c r="V1378" i="5"/>
  <c r="V1379" i="5"/>
  <c r="W1367" i="5"/>
  <c r="W1368" i="5"/>
  <c r="W1369" i="5"/>
  <c r="W1370" i="5"/>
  <c r="W1371" i="5"/>
  <c r="W1372" i="5"/>
  <c r="W1373" i="5"/>
  <c r="W1374" i="5"/>
  <c r="W1375" i="5"/>
  <c r="W1376" i="5"/>
  <c r="W1377" i="5"/>
  <c r="W1378" i="5"/>
  <c r="W1379" i="5"/>
  <c r="T1354" i="5"/>
  <c r="T1355" i="5"/>
  <c r="T1356" i="5"/>
  <c r="T1357" i="5"/>
  <c r="T1358" i="5"/>
  <c r="T1359" i="5"/>
  <c r="T1360" i="5"/>
  <c r="T1361" i="5"/>
  <c r="T1362" i="5"/>
  <c r="T1363" i="5"/>
  <c r="T1364" i="5"/>
  <c r="T1365" i="5"/>
  <c r="T1366" i="5"/>
  <c r="U1354" i="5"/>
  <c r="U1355" i="5"/>
  <c r="U1356" i="5"/>
  <c r="U1357" i="5"/>
  <c r="U1358" i="5"/>
  <c r="U1359" i="5"/>
  <c r="U1360" i="5"/>
  <c r="U1361" i="5"/>
  <c r="U1362" i="5"/>
  <c r="U1363" i="5"/>
  <c r="U1364" i="5"/>
  <c r="U1365" i="5"/>
  <c r="U1366" i="5"/>
  <c r="V1354" i="5"/>
  <c r="V1355" i="5"/>
  <c r="V1356" i="5"/>
  <c r="V1357" i="5"/>
  <c r="V1358" i="5"/>
  <c r="V1359" i="5"/>
  <c r="V1360" i="5"/>
  <c r="V1361" i="5"/>
  <c r="V1362" i="5"/>
  <c r="V1363" i="5"/>
  <c r="V1364" i="5"/>
  <c r="V1365" i="5"/>
  <c r="V1366" i="5"/>
  <c r="W1354" i="5"/>
  <c r="W1355" i="5"/>
  <c r="W1356" i="5"/>
  <c r="W1357" i="5"/>
  <c r="W1358" i="5"/>
  <c r="W1359" i="5"/>
  <c r="W1360" i="5"/>
  <c r="W1361" i="5"/>
  <c r="W1362" i="5"/>
  <c r="W1363" i="5"/>
  <c r="W1364" i="5"/>
  <c r="W1365" i="5"/>
  <c r="W1366" i="5"/>
  <c r="T1341" i="5"/>
  <c r="T1342" i="5"/>
  <c r="T1343" i="5"/>
  <c r="T1344" i="5"/>
  <c r="T1345" i="5"/>
  <c r="T1346" i="5"/>
  <c r="T1347" i="5"/>
  <c r="T1348" i="5"/>
  <c r="T1349" i="5"/>
  <c r="T1350" i="5"/>
  <c r="T1351" i="5"/>
  <c r="T1352" i="5"/>
  <c r="T1353" i="5"/>
  <c r="U1341" i="5"/>
  <c r="U1342" i="5"/>
  <c r="U1343" i="5"/>
  <c r="U1344" i="5"/>
  <c r="U1345" i="5"/>
  <c r="U1346" i="5"/>
  <c r="U1347" i="5"/>
  <c r="U1348" i="5"/>
  <c r="U1349" i="5"/>
  <c r="U1350" i="5"/>
  <c r="U1351" i="5"/>
  <c r="U1352" i="5"/>
  <c r="U1353" i="5"/>
  <c r="V1341" i="5"/>
  <c r="V1342" i="5"/>
  <c r="V1343" i="5"/>
  <c r="V1344" i="5"/>
  <c r="V1345" i="5"/>
  <c r="V1346" i="5"/>
  <c r="V1347" i="5"/>
  <c r="V1348" i="5"/>
  <c r="V1349" i="5"/>
  <c r="V1350" i="5"/>
  <c r="V1351" i="5"/>
  <c r="V1352" i="5"/>
  <c r="V1353" i="5"/>
  <c r="W1341" i="5"/>
  <c r="W1342" i="5"/>
  <c r="W1343" i="5"/>
  <c r="W1344" i="5"/>
  <c r="W1345" i="5"/>
  <c r="W1346" i="5"/>
  <c r="W1347" i="5"/>
  <c r="W1348" i="5"/>
  <c r="W1349" i="5"/>
  <c r="W1350" i="5"/>
  <c r="W1351" i="5"/>
  <c r="W1352" i="5"/>
  <c r="W1353" i="5"/>
  <c r="T1333" i="5"/>
  <c r="T1334" i="5"/>
  <c r="T1335" i="5"/>
  <c r="T1336" i="5"/>
  <c r="T1337" i="5"/>
  <c r="T1338" i="5"/>
  <c r="T1339" i="5"/>
  <c r="T1340" i="5"/>
  <c r="U1333" i="5"/>
  <c r="U1334" i="5"/>
  <c r="U1335" i="5"/>
  <c r="U1336" i="5"/>
  <c r="U1337" i="5"/>
  <c r="U1338" i="5"/>
  <c r="U1339" i="5"/>
  <c r="U1340" i="5"/>
  <c r="V1333" i="5"/>
  <c r="V1334" i="5"/>
  <c r="V1335" i="5"/>
  <c r="V1336" i="5"/>
  <c r="V1337" i="5"/>
  <c r="V1338" i="5"/>
  <c r="V1339" i="5"/>
  <c r="V1340" i="5"/>
  <c r="W1333" i="5"/>
  <c r="W1334" i="5"/>
  <c r="W1335" i="5"/>
  <c r="W1336" i="5"/>
  <c r="W1337" i="5"/>
  <c r="W1338" i="5"/>
  <c r="W1339" i="5"/>
  <c r="W1340" i="5"/>
  <c r="T1321" i="5"/>
  <c r="T1322" i="5"/>
  <c r="T1323" i="5"/>
  <c r="T1324" i="5"/>
  <c r="T1325" i="5"/>
  <c r="T1326" i="5"/>
  <c r="T1327" i="5"/>
  <c r="T1328" i="5"/>
  <c r="T1329" i="5"/>
  <c r="T1330" i="5"/>
  <c r="T1331" i="5"/>
  <c r="T1332" i="5"/>
  <c r="U1321" i="5"/>
  <c r="U1322" i="5"/>
  <c r="U1323" i="5"/>
  <c r="U1324" i="5"/>
  <c r="U1325" i="5"/>
  <c r="U1326" i="5"/>
  <c r="U1327" i="5"/>
  <c r="U1328" i="5"/>
  <c r="U1329" i="5"/>
  <c r="U1330" i="5"/>
  <c r="U1331" i="5"/>
  <c r="U1332" i="5"/>
  <c r="V1321" i="5"/>
  <c r="V1322" i="5"/>
  <c r="V1323" i="5"/>
  <c r="V1324" i="5"/>
  <c r="V1325" i="5"/>
  <c r="V1326" i="5"/>
  <c r="V1327" i="5"/>
  <c r="V1328" i="5"/>
  <c r="V1329" i="5"/>
  <c r="V1330" i="5"/>
  <c r="V1331" i="5"/>
  <c r="V1332" i="5"/>
  <c r="W1321" i="5"/>
  <c r="W1322" i="5"/>
  <c r="W1323" i="5"/>
  <c r="W1324" i="5"/>
  <c r="W1325" i="5"/>
  <c r="W1326" i="5"/>
  <c r="W1327" i="5"/>
  <c r="W1328" i="5"/>
  <c r="W1329" i="5"/>
  <c r="W1330" i="5"/>
  <c r="W1331" i="5"/>
  <c r="W1332" i="5"/>
  <c r="T1309" i="5"/>
  <c r="T1310" i="5"/>
  <c r="T1311" i="5"/>
  <c r="T1312" i="5"/>
  <c r="T1313" i="5"/>
  <c r="T1314" i="5"/>
  <c r="T1315" i="5"/>
  <c r="T1316" i="5"/>
  <c r="T1317" i="5"/>
  <c r="T1318" i="5"/>
  <c r="T1319" i="5"/>
  <c r="T1320" i="5"/>
  <c r="U1309" i="5"/>
  <c r="U1310" i="5"/>
  <c r="U1311" i="5"/>
  <c r="U1312" i="5"/>
  <c r="U1313" i="5"/>
  <c r="U1314" i="5"/>
  <c r="U1315" i="5"/>
  <c r="U1316" i="5"/>
  <c r="U1317" i="5"/>
  <c r="U1318" i="5"/>
  <c r="U1319" i="5"/>
  <c r="U1320" i="5"/>
  <c r="V1309" i="5"/>
  <c r="V1310" i="5"/>
  <c r="V1311" i="5"/>
  <c r="V1312" i="5"/>
  <c r="V1313" i="5"/>
  <c r="V1314" i="5"/>
  <c r="V1315" i="5"/>
  <c r="V1316" i="5"/>
  <c r="V1317" i="5"/>
  <c r="V1318" i="5"/>
  <c r="V1319" i="5"/>
  <c r="V1320" i="5"/>
  <c r="W1309" i="5"/>
  <c r="W1310" i="5"/>
  <c r="W1311" i="5"/>
  <c r="W1312" i="5"/>
  <c r="W1313" i="5"/>
  <c r="W1314" i="5"/>
  <c r="W1315" i="5"/>
  <c r="W1316" i="5"/>
  <c r="W1317" i="5"/>
  <c r="W1318" i="5"/>
  <c r="W1319" i="5"/>
  <c r="W1320" i="5"/>
  <c r="T1302" i="5"/>
  <c r="T1303" i="5"/>
  <c r="T1304" i="5"/>
  <c r="T1305" i="5"/>
  <c r="T1306" i="5"/>
  <c r="T1307" i="5"/>
  <c r="T1308" i="5"/>
  <c r="U1302" i="5"/>
  <c r="U1303" i="5"/>
  <c r="U1304" i="5"/>
  <c r="U1305" i="5"/>
  <c r="U1306" i="5"/>
  <c r="U1307" i="5"/>
  <c r="U1308" i="5"/>
  <c r="V1302" i="5"/>
  <c r="V1303" i="5"/>
  <c r="V1304" i="5"/>
  <c r="V1305" i="5"/>
  <c r="V1306" i="5"/>
  <c r="V1307" i="5"/>
  <c r="V1308" i="5"/>
  <c r="W1302" i="5"/>
  <c r="W1303" i="5"/>
  <c r="W1304" i="5"/>
  <c r="W1305" i="5"/>
  <c r="W1306" i="5"/>
  <c r="W1307" i="5"/>
  <c r="W1308" i="5"/>
  <c r="T197" i="5"/>
  <c r="T198" i="5"/>
  <c r="T199" i="5"/>
  <c r="T200" i="5"/>
  <c r="T201" i="5"/>
  <c r="T202" i="5"/>
  <c r="T203" i="5"/>
  <c r="T204" i="5"/>
  <c r="T205" i="5"/>
  <c r="T206" i="5"/>
  <c r="T207" i="5"/>
  <c r="T208" i="5"/>
  <c r="T209" i="5"/>
  <c r="U197" i="5"/>
  <c r="U198" i="5"/>
  <c r="U199" i="5"/>
  <c r="U200" i="5"/>
  <c r="U201" i="5"/>
  <c r="U202" i="5"/>
  <c r="U203" i="5"/>
  <c r="U204" i="5"/>
  <c r="U205" i="5"/>
  <c r="U206" i="5"/>
  <c r="U207" i="5"/>
  <c r="U208" i="5"/>
  <c r="U209" i="5"/>
  <c r="V197" i="5"/>
  <c r="V198" i="5"/>
  <c r="V199" i="5"/>
  <c r="V200" i="5"/>
  <c r="V201" i="5"/>
  <c r="V202" i="5"/>
  <c r="V203" i="5"/>
  <c r="V204" i="5"/>
  <c r="V205" i="5"/>
  <c r="V206" i="5"/>
  <c r="V207" i="5"/>
  <c r="V208" i="5"/>
  <c r="V209" i="5"/>
  <c r="W197" i="5"/>
  <c r="W198" i="5"/>
  <c r="W199" i="5"/>
  <c r="W200" i="5"/>
  <c r="W201" i="5"/>
  <c r="W202" i="5"/>
  <c r="W203" i="5"/>
  <c r="W204" i="5"/>
  <c r="W205" i="5"/>
  <c r="W206" i="5"/>
  <c r="W207" i="5"/>
  <c r="W208" i="5"/>
  <c r="W209" i="5"/>
  <c r="T145" i="5"/>
  <c r="T146" i="5"/>
  <c r="T147" i="5"/>
  <c r="T148" i="5"/>
  <c r="T149" i="5"/>
  <c r="T150" i="5"/>
  <c r="T151" i="5"/>
  <c r="T152" i="5"/>
  <c r="T153" i="5"/>
  <c r="T154" i="5"/>
  <c r="T155" i="5"/>
  <c r="T156" i="5"/>
  <c r="T157" i="5"/>
  <c r="U145" i="5"/>
  <c r="U146" i="5"/>
  <c r="U147" i="5"/>
  <c r="U148" i="5"/>
  <c r="U149" i="5"/>
  <c r="U150" i="5"/>
  <c r="U151" i="5"/>
  <c r="U152" i="5"/>
  <c r="U153" i="5"/>
  <c r="U154" i="5"/>
  <c r="U155" i="5"/>
  <c r="U156" i="5"/>
  <c r="U157" i="5"/>
  <c r="V145" i="5"/>
  <c r="V146" i="5"/>
  <c r="V147" i="5"/>
  <c r="V148" i="5"/>
  <c r="V149" i="5"/>
  <c r="V150" i="5"/>
  <c r="V151" i="5"/>
  <c r="V152" i="5"/>
  <c r="V153" i="5"/>
  <c r="V154" i="5"/>
  <c r="V155" i="5"/>
  <c r="V156" i="5"/>
  <c r="V157" i="5"/>
  <c r="W145" i="5"/>
  <c r="W146" i="5"/>
  <c r="W147" i="5"/>
  <c r="W148" i="5"/>
  <c r="W149" i="5"/>
  <c r="W150" i="5"/>
  <c r="W151" i="5"/>
  <c r="W152" i="5"/>
  <c r="W153" i="5"/>
  <c r="W154" i="5"/>
  <c r="W155" i="5"/>
  <c r="W156" i="5"/>
  <c r="W157" i="5"/>
  <c r="T80" i="5"/>
  <c r="T81" i="5"/>
  <c r="T82" i="5"/>
  <c r="T83" i="5"/>
  <c r="T84" i="5"/>
  <c r="T85" i="5"/>
  <c r="T86" i="5"/>
  <c r="T87" i="5"/>
  <c r="T88" i="5"/>
  <c r="T89" i="5"/>
  <c r="T90" i="5"/>
  <c r="T91" i="5"/>
  <c r="T92" i="5"/>
  <c r="U80" i="5"/>
  <c r="U81" i="5"/>
  <c r="U82" i="5"/>
  <c r="U83" i="5"/>
  <c r="U84" i="5"/>
  <c r="U85" i="5"/>
  <c r="U86" i="5"/>
  <c r="U87" i="5"/>
  <c r="U88" i="5"/>
  <c r="U89" i="5"/>
  <c r="U90" i="5"/>
  <c r="U91" i="5"/>
  <c r="U92" i="5"/>
  <c r="V80" i="5"/>
  <c r="V81" i="5"/>
  <c r="V82" i="5"/>
  <c r="V83" i="5"/>
  <c r="V84" i="5"/>
  <c r="V85" i="5"/>
  <c r="V86" i="5"/>
  <c r="V87" i="5"/>
  <c r="V88" i="5"/>
  <c r="V89" i="5"/>
  <c r="V90" i="5"/>
  <c r="V91" i="5"/>
  <c r="V92" i="5"/>
  <c r="W80" i="5"/>
  <c r="W81" i="5"/>
  <c r="W82" i="5"/>
  <c r="W83" i="5"/>
  <c r="W84" i="5"/>
  <c r="W85" i="5"/>
  <c r="W86" i="5"/>
  <c r="W87" i="5"/>
  <c r="W88" i="5"/>
  <c r="W89" i="5"/>
  <c r="W90" i="5"/>
  <c r="W91" i="5"/>
  <c r="W92" i="5"/>
  <c r="T41" i="5"/>
  <c r="T42" i="5"/>
  <c r="T43" i="5"/>
  <c r="T44" i="5"/>
  <c r="T45" i="5"/>
  <c r="T46" i="5"/>
  <c r="T47" i="5"/>
  <c r="T48" i="5"/>
  <c r="T49" i="5"/>
  <c r="T50" i="5"/>
  <c r="T51" i="5"/>
  <c r="T52" i="5"/>
  <c r="T53" i="5"/>
  <c r="U41" i="5"/>
  <c r="U42" i="5"/>
  <c r="U43" i="5"/>
  <c r="U44" i="5"/>
  <c r="U45" i="5"/>
  <c r="U46" i="5"/>
  <c r="U47" i="5"/>
  <c r="U48" i="5"/>
  <c r="U49" i="5"/>
  <c r="U50" i="5"/>
  <c r="U51" i="5"/>
  <c r="U52" i="5"/>
  <c r="U53" i="5"/>
  <c r="V41" i="5"/>
  <c r="V42" i="5"/>
  <c r="V43" i="5"/>
  <c r="V44" i="5"/>
  <c r="V45" i="5"/>
  <c r="V46" i="5"/>
  <c r="V47" i="5"/>
  <c r="V48" i="5"/>
  <c r="V49" i="5"/>
  <c r="V50" i="5"/>
  <c r="V51" i="5"/>
  <c r="V52" i="5"/>
  <c r="V53" i="5"/>
  <c r="W41" i="5"/>
  <c r="W42" i="5"/>
  <c r="W43" i="5"/>
  <c r="W44" i="5"/>
  <c r="W45" i="5"/>
  <c r="W46" i="5"/>
  <c r="W47" i="5"/>
  <c r="W48" i="5"/>
  <c r="W49" i="5"/>
  <c r="W50" i="5"/>
  <c r="W51" i="5"/>
  <c r="W52" i="5"/>
  <c r="W53" i="5"/>
  <c r="W2" i="5"/>
  <c r="W3" i="5"/>
  <c r="W4" i="5"/>
  <c r="W5" i="5"/>
  <c r="W6" i="5"/>
  <c r="W7" i="5"/>
  <c r="W8" i="5"/>
  <c r="W9" i="5"/>
  <c r="W10" i="5"/>
  <c r="W11" i="5"/>
  <c r="W12" i="5"/>
  <c r="W13" i="5"/>
  <c r="W14" i="5"/>
  <c r="W15" i="5"/>
  <c r="W16" i="5"/>
  <c r="W17" i="5"/>
  <c r="W18" i="5"/>
  <c r="W19" i="5"/>
  <c r="W20" i="5"/>
  <c r="W21" i="5"/>
  <c r="W22" i="5"/>
  <c r="W23" i="5"/>
  <c r="W24" i="5"/>
  <c r="W25" i="5"/>
  <c r="W26" i="5"/>
  <c r="W27" i="5"/>
  <c r="W28" i="5"/>
  <c r="W29" i="5"/>
  <c r="W30" i="5"/>
  <c r="W31" i="5"/>
  <c r="W32" i="5"/>
  <c r="W33" i="5"/>
  <c r="W34" i="5"/>
  <c r="W35" i="5"/>
  <c r="W36" i="5"/>
  <c r="W37" i="5"/>
  <c r="W38" i="5"/>
  <c r="W39" i="5"/>
  <c r="W40" i="5"/>
  <c r="W54" i="5"/>
  <c r="W55" i="5"/>
  <c r="W56" i="5"/>
  <c r="W57" i="5"/>
  <c r="W58" i="5"/>
  <c r="W59" i="5"/>
  <c r="W60" i="5"/>
  <c r="W61" i="5"/>
  <c r="W62" i="5"/>
  <c r="W63" i="5"/>
  <c r="W64" i="5"/>
  <c r="W65" i="5"/>
  <c r="W66" i="5"/>
  <c r="W67" i="5"/>
  <c r="W68" i="5"/>
  <c r="W69" i="5"/>
  <c r="W70" i="5"/>
  <c r="W71" i="5"/>
  <c r="W72" i="5"/>
  <c r="W73" i="5"/>
  <c r="W74" i="5"/>
  <c r="W75" i="5"/>
  <c r="W76" i="5"/>
  <c r="W77" i="5"/>
  <c r="W78" i="5"/>
  <c r="W79" i="5"/>
  <c r="W93" i="5"/>
  <c r="W94" i="5"/>
  <c r="W95" i="5"/>
  <c r="W96" i="5"/>
  <c r="W97" i="5"/>
  <c r="W98" i="5"/>
  <c r="W99" i="5"/>
  <c r="W100" i="5"/>
  <c r="W101" i="5"/>
  <c r="W102" i="5"/>
  <c r="W103" i="5"/>
  <c r="W104" i="5"/>
  <c r="W105" i="5"/>
  <c r="W106" i="5"/>
  <c r="W107" i="5"/>
  <c r="W108" i="5"/>
  <c r="W109" i="5"/>
  <c r="W110" i="5"/>
  <c r="W111" i="5"/>
  <c r="W112" i="5"/>
  <c r="W113" i="5"/>
  <c r="W114" i="5"/>
  <c r="W115" i="5"/>
  <c r="W116" i="5"/>
  <c r="W117" i="5"/>
  <c r="W118" i="5"/>
  <c r="W119" i="5"/>
  <c r="W120" i="5"/>
  <c r="W121" i="5"/>
  <c r="W122" i="5"/>
  <c r="W123" i="5"/>
  <c r="W124" i="5"/>
  <c r="W125" i="5"/>
  <c r="W126" i="5"/>
  <c r="W127" i="5"/>
  <c r="W128" i="5"/>
  <c r="W129" i="5"/>
  <c r="W130" i="5"/>
  <c r="W131" i="5"/>
  <c r="W132" i="5"/>
  <c r="W133" i="5"/>
  <c r="W134" i="5"/>
  <c r="W135" i="5"/>
  <c r="W136" i="5"/>
  <c r="W137" i="5"/>
  <c r="W138" i="5"/>
  <c r="W139" i="5"/>
  <c r="W140" i="5"/>
  <c r="W141" i="5"/>
  <c r="W142" i="5"/>
  <c r="W143" i="5"/>
  <c r="W144" i="5"/>
  <c r="W158" i="5"/>
  <c r="W159" i="5"/>
  <c r="W160" i="5"/>
  <c r="W161" i="5"/>
  <c r="W162" i="5"/>
  <c r="W163" i="5"/>
  <c r="W164" i="5"/>
  <c r="W165" i="5"/>
  <c r="W166" i="5"/>
  <c r="W167" i="5"/>
  <c r="W168" i="5"/>
  <c r="W169" i="5"/>
  <c r="W170" i="5"/>
  <c r="W171" i="5"/>
  <c r="W172" i="5"/>
  <c r="W173" i="5"/>
  <c r="W174" i="5"/>
  <c r="W175" i="5"/>
  <c r="W176" i="5"/>
  <c r="W177" i="5"/>
  <c r="W178" i="5"/>
  <c r="W179" i="5"/>
  <c r="W180" i="5"/>
  <c r="W181" i="5"/>
  <c r="W182" i="5"/>
  <c r="W183" i="5"/>
  <c r="W184" i="5"/>
  <c r="W185" i="5"/>
  <c r="W186" i="5"/>
  <c r="W187" i="5"/>
  <c r="W188" i="5"/>
  <c r="W189" i="5"/>
  <c r="W190" i="5"/>
  <c r="W191" i="5"/>
  <c r="W192" i="5"/>
  <c r="W193" i="5"/>
  <c r="W194" i="5"/>
  <c r="W195" i="5"/>
  <c r="W196" i="5"/>
  <c r="W210" i="5"/>
  <c r="W211" i="5"/>
  <c r="W212" i="5"/>
  <c r="W213" i="5"/>
  <c r="W214" i="5"/>
  <c r="W215" i="5"/>
  <c r="W216" i="5"/>
  <c r="W217" i="5"/>
  <c r="W218" i="5"/>
  <c r="W219" i="5"/>
  <c r="W220" i="5"/>
  <c r="W221" i="5"/>
  <c r="W222" i="5"/>
  <c r="W223" i="5"/>
  <c r="W224" i="5"/>
  <c r="W225" i="5"/>
  <c r="W226" i="5"/>
  <c r="W227" i="5"/>
  <c r="W228" i="5"/>
  <c r="W229" i="5"/>
  <c r="W230" i="5"/>
  <c r="W231" i="5"/>
  <c r="W232" i="5"/>
  <c r="W233" i="5"/>
  <c r="W234" i="5"/>
  <c r="W235" i="5"/>
  <c r="W236" i="5"/>
  <c r="W237" i="5"/>
  <c r="W238" i="5"/>
  <c r="W239" i="5"/>
  <c r="W240" i="5"/>
  <c r="W241" i="5"/>
  <c r="W242" i="5"/>
  <c r="W243" i="5"/>
  <c r="W244" i="5"/>
  <c r="W245" i="5"/>
  <c r="W246" i="5"/>
  <c r="W247" i="5"/>
  <c r="W248" i="5"/>
  <c r="W249" i="5"/>
  <c r="W250" i="5"/>
  <c r="W251" i="5"/>
  <c r="W252" i="5"/>
  <c r="W253" i="5"/>
  <c r="W254" i="5"/>
  <c r="W255" i="5"/>
  <c r="W256" i="5"/>
  <c r="W257" i="5"/>
  <c r="W258" i="5"/>
  <c r="W259" i="5"/>
  <c r="W260" i="5"/>
  <c r="W261" i="5"/>
  <c r="W262" i="5"/>
  <c r="W263" i="5"/>
  <c r="W264" i="5"/>
  <c r="W265" i="5"/>
  <c r="W266" i="5"/>
  <c r="W267" i="5"/>
  <c r="W268" i="5"/>
  <c r="W269" i="5"/>
  <c r="W270" i="5"/>
  <c r="W271" i="5"/>
  <c r="W272" i="5"/>
  <c r="W273" i="5"/>
  <c r="W274" i="5"/>
  <c r="W275" i="5"/>
  <c r="W276" i="5"/>
  <c r="W277" i="5"/>
  <c r="W278" i="5"/>
  <c r="W279" i="5"/>
  <c r="W280" i="5"/>
  <c r="W281" i="5"/>
  <c r="W282" i="5"/>
  <c r="W283" i="5"/>
  <c r="W284" i="5"/>
  <c r="W285" i="5"/>
  <c r="W286" i="5"/>
  <c r="W287" i="5"/>
  <c r="W288" i="5"/>
  <c r="W289" i="5"/>
  <c r="W290" i="5"/>
  <c r="W291" i="5"/>
  <c r="W292" i="5"/>
  <c r="W293" i="5"/>
  <c r="W294" i="5"/>
  <c r="W295" i="5"/>
  <c r="W296" i="5"/>
  <c r="W297" i="5"/>
  <c r="W298" i="5"/>
  <c r="W299" i="5"/>
  <c r="W300" i="5"/>
  <c r="W301" i="5"/>
  <c r="W302" i="5"/>
  <c r="W303" i="5"/>
  <c r="W304" i="5"/>
  <c r="W305" i="5"/>
  <c r="W306" i="5"/>
  <c r="W307" i="5"/>
  <c r="W308" i="5"/>
  <c r="W309" i="5"/>
  <c r="W310" i="5"/>
  <c r="W311" i="5"/>
  <c r="W312" i="5"/>
  <c r="W313" i="5"/>
  <c r="W314" i="5"/>
  <c r="W315" i="5"/>
  <c r="W316" i="5"/>
  <c r="W317" i="5"/>
  <c r="W318" i="5"/>
  <c r="W319" i="5"/>
  <c r="W320" i="5"/>
  <c r="W321" i="5"/>
  <c r="W322" i="5"/>
  <c r="W323" i="5"/>
  <c r="W324" i="5"/>
  <c r="W325" i="5"/>
  <c r="W326" i="5"/>
  <c r="W327" i="5"/>
  <c r="W328" i="5"/>
  <c r="W329" i="5"/>
  <c r="W330" i="5"/>
  <c r="W331" i="5"/>
  <c r="W332" i="5"/>
  <c r="W333" i="5"/>
  <c r="W334" i="5"/>
  <c r="W335" i="5"/>
  <c r="W336" i="5"/>
  <c r="W337" i="5"/>
  <c r="W338" i="5"/>
  <c r="W339" i="5"/>
  <c r="W340" i="5"/>
  <c r="W341" i="5"/>
  <c r="W342" i="5"/>
  <c r="W343" i="5"/>
  <c r="W344" i="5"/>
  <c r="W345" i="5"/>
  <c r="W346" i="5"/>
  <c r="W347" i="5"/>
  <c r="W348" i="5"/>
  <c r="W349" i="5"/>
  <c r="W350" i="5"/>
  <c r="W351" i="5"/>
  <c r="W352" i="5"/>
  <c r="W353" i="5"/>
  <c r="W354" i="5"/>
  <c r="W355" i="5"/>
  <c r="W356" i="5"/>
  <c r="W357" i="5"/>
  <c r="W358" i="5"/>
  <c r="W359" i="5"/>
  <c r="W360" i="5"/>
  <c r="W361" i="5"/>
  <c r="W362" i="5"/>
  <c r="W363" i="5"/>
  <c r="W364" i="5"/>
  <c r="W365" i="5"/>
  <c r="W366" i="5"/>
  <c r="W367" i="5"/>
  <c r="W368" i="5"/>
  <c r="W369" i="5"/>
  <c r="W370" i="5"/>
  <c r="W371" i="5"/>
  <c r="W372" i="5"/>
  <c r="W373" i="5"/>
  <c r="W374" i="5"/>
  <c r="W375" i="5"/>
  <c r="W376" i="5"/>
  <c r="W377" i="5"/>
  <c r="W378" i="5"/>
  <c r="W379" i="5"/>
  <c r="W380" i="5"/>
  <c r="W381" i="5"/>
  <c r="W382" i="5"/>
  <c r="W383" i="5"/>
  <c r="W384" i="5"/>
  <c r="W385" i="5"/>
  <c r="W386" i="5"/>
  <c r="W387" i="5"/>
  <c r="W388" i="5"/>
  <c r="W389" i="5"/>
  <c r="W390" i="5"/>
  <c r="W391" i="5"/>
  <c r="W392" i="5"/>
  <c r="W393" i="5"/>
  <c r="W394" i="5"/>
  <c r="W395" i="5"/>
  <c r="W396" i="5"/>
  <c r="W397" i="5"/>
  <c r="W398" i="5"/>
  <c r="W399" i="5"/>
  <c r="W400" i="5"/>
  <c r="W401" i="5"/>
  <c r="W402" i="5"/>
  <c r="W403" i="5"/>
  <c r="W404" i="5"/>
  <c r="W405" i="5"/>
  <c r="W406" i="5"/>
  <c r="W407" i="5"/>
  <c r="W408" i="5"/>
  <c r="W409" i="5"/>
  <c r="W410" i="5"/>
  <c r="W411" i="5"/>
  <c r="W412" i="5"/>
  <c r="W413" i="5"/>
  <c r="W414" i="5"/>
  <c r="W415" i="5"/>
  <c r="W416" i="5"/>
  <c r="W417" i="5"/>
  <c r="W418" i="5"/>
  <c r="W419" i="5"/>
  <c r="W420" i="5"/>
  <c r="W421" i="5"/>
  <c r="W422" i="5"/>
  <c r="W423" i="5"/>
  <c r="W424" i="5"/>
  <c r="W425" i="5"/>
  <c r="W426" i="5"/>
  <c r="W427" i="5"/>
  <c r="W428" i="5"/>
  <c r="W429" i="5"/>
  <c r="W430" i="5"/>
  <c r="W431" i="5"/>
  <c r="W432" i="5"/>
  <c r="W433" i="5"/>
  <c r="W434" i="5"/>
  <c r="W435" i="5"/>
  <c r="W436" i="5"/>
  <c r="W437" i="5"/>
  <c r="W438" i="5"/>
  <c r="W439" i="5"/>
  <c r="W440" i="5"/>
  <c r="W441" i="5"/>
  <c r="W442" i="5"/>
  <c r="W443" i="5"/>
  <c r="W444" i="5"/>
  <c r="W445" i="5"/>
  <c r="W446" i="5"/>
  <c r="W447" i="5"/>
  <c r="W448" i="5"/>
  <c r="W449" i="5"/>
  <c r="W450" i="5"/>
  <c r="W451" i="5"/>
  <c r="W452" i="5"/>
  <c r="W453" i="5"/>
  <c r="W454" i="5"/>
  <c r="W455" i="5"/>
  <c r="W456" i="5"/>
  <c r="W457" i="5"/>
  <c r="W458" i="5"/>
  <c r="W459" i="5"/>
  <c r="W460" i="5"/>
  <c r="W461" i="5"/>
  <c r="W462" i="5"/>
  <c r="W463" i="5"/>
  <c r="W464" i="5"/>
  <c r="W465" i="5"/>
  <c r="W466" i="5"/>
  <c r="W467" i="5"/>
  <c r="W468" i="5"/>
  <c r="W469" i="5"/>
  <c r="W470" i="5"/>
  <c r="W471" i="5"/>
  <c r="W472" i="5"/>
  <c r="W473" i="5"/>
  <c r="W474" i="5"/>
  <c r="W475" i="5"/>
  <c r="W476" i="5"/>
  <c r="W477" i="5"/>
  <c r="W478" i="5"/>
  <c r="W479" i="5"/>
  <c r="W480" i="5"/>
  <c r="W481" i="5"/>
  <c r="W482" i="5"/>
  <c r="W483" i="5"/>
  <c r="W484" i="5"/>
  <c r="W485" i="5"/>
  <c r="W486" i="5"/>
  <c r="W487" i="5"/>
  <c r="W488" i="5"/>
  <c r="W489" i="5"/>
  <c r="W490" i="5"/>
  <c r="W491" i="5"/>
  <c r="W492" i="5"/>
  <c r="W493" i="5"/>
  <c r="W494" i="5"/>
  <c r="W495" i="5"/>
  <c r="W496" i="5"/>
  <c r="W497" i="5"/>
  <c r="W498" i="5"/>
  <c r="W499" i="5"/>
  <c r="W500" i="5"/>
  <c r="W501" i="5"/>
  <c r="W502" i="5"/>
  <c r="W503" i="5"/>
  <c r="W504" i="5"/>
  <c r="W505" i="5"/>
  <c r="W506" i="5"/>
  <c r="W507" i="5"/>
  <c r="W508" i="5"/>
  <c r="W509" i="5"/>
  <c r="W510" i="5"/>
  <c r="W511" i="5"/>
  <c r="W512" i="5"/>
  <c r="W513" i="5"/>
  <c r="W514" i="5"/>
  <c r="W515" i="5"/>
  <c r="W516" i="5"/>
  <c r="W517" i="5"/>
  <c r="W518" i="5"/>
  <c r="W519" i="5"/>
  <c r="W520" i="5"/>
  <c r="W521" i="5"/>
  <c r="W522" i="5"/>
  <c r="W523" i="5"/>
  <c r="W524" i="5"/>
  <c r="W525" i="5"/>
  <c r="W526" i="5"/>
  <c r="W527" i="5"/>
  <c r="W528" i="5"/>
  <c r="W529" i="5"/>
  <c r="W530" i="5"/>
  <c r="W531" i="5"/>
  <c r="W532" i="5"/>
  <c r="W533" i="5"/>
  <c r="W534" i="5"/>
  <c r="W535" i="5"/>
  <c r="W536" i="5"/>
  <c r="W537" i="5"/>
  <c r="W538" i="5"/>
  <c r="W539" i="5"/>
  <c r="W540" i="5"/>
  <c r="W541" i="5"/>
  <c r="W542" i="5"/>
  <c r="W543" i="5"/>
  <c r="W544" i="5"/>
  <c r="W545" i="5"/>
  <c r="W546" i="5"/>
  <c r="W547" i="5"/>
  <c r="W548" i="5"/>
  <c r="W549" i="5"/>
  <c r="W550" i="5"/>
  <c r="W551" i="5"/>
  <c r="W552" i="5"/>
  <c r="W553" i="5"/>
  <c r="W554" i="5"/>
  <c r="W555" i="5"/>
  <c r="W556" i="5"/>
  <c r="W557" i="5"/>
  <c r="W558" i="5"/>
  <c r="W559" i="5"/>
  <c r="W560" i="5"/>
  <c r="W561" i="5"/>
  <c r="W562" i="5"/>
  <c r="W563" i="5"/>
  <c r="W564" i="5"/>
  <c r="W565" i="5"/>
  <c r="W566" i="5"/>
  <c r="W567" i="5"/>
  <c r="W568" i="5"/>
  <c r="W569" i="5"/>
  <c r="W570" i="5"/>
  <c r="W571" i="5"/>
  <c r="W572" i="5"/>
  <c r="W573" i="5"/>
  <c r="W574" i="5"/>
  <c r="W575" i="5"/>
  <c r="W576" i="5"/>
  <c r="W577" i="5"/>
  <c r="W578" i="5"/>
  <c r="W579" i="5"/>
  <c r="W580" i="5"/>
  <c r="W581" i="5"/>
  <c r="W582" i="5"/>
  <c r="W583" i="5"/>
  <c r="W584" i="5"/>
  <c r="W585" i="5"/>
  <c r="W586" i="5"/>
  <c r="W587" i="5"/>
  <c r="W588" i="5"/>
  <c r="W589" i="5"/>
  <c r="W590" i="5"/>
  <c r="W591" i="5"/>
  <c r="W592" i="5"/>
  <c r="W593" i="5"/>
  <c r="W594" i="5"/>
  <c r="W595" i="5"/>
  <c r="W596" i="5"/>
  <c r="W597" i="5"/>
  <c r="W598" i="5"/>
  <c r="W599" i="5"/>
  <c r="W600" i="5"/>
  <c r="W601" i="5"/>
  <c r="W602" i="5"/>
  <c r="W603" i="5"/>
  <c r="W604" i="5"/>
  <c r="W605" i="5"/>
  <c r="W606" i="5"/>
  <c r="W607" i="5"/>
  <c r="W608" i="5"/>
  <c r="W609" i="5"/>
  <c r="W610" i="5"/>
  <c r="W611" i="5"/>
  <c r="W612" i="5"/>
  <c r="W613" i="5"/>
  <c r="W614" i="5"/>
  <c r="W615" i="5"/>
  <c r="W616" i="5"/>
  <c r="W617" i="5"/>
  <c r="W618" i="5"/>
  <c r="W619" i="5"/>
  <c r="W620" i="5"/>
  <c r="W621" i="5"/>
  <c r="W622" i="5"/>
  <c r="W623" i="5"/>
  <c r="W624" i="5"/>
  <c r="W625" i="5"/>
  <c r="W626" i="5"/>
  <c r="W627" i="5"/>
  <c r="W628" i="5"/>
  <c r="W629" i="5"/>
  <c r="W630" i="5"/>
  <c r="W631" i="5"/>
  <c r="W632" i="5"/>
  <c r="W633" i="5"/>
  <c r="W634" i="5"/>
  <c r="W635" i="5"/>
  <c r="W636" i="5"/>
  <c r="W637" i="5"/>
  <c r="W638" i="5"/>
  <c r="W639" i="5"/>
  <c r="W640" i="5"/>
  <c r="W641" i="5"/>
  <c r="W642" i="5"/>
  <c r="W643" i="5"/>
  <c r="W644" i="5"/>
  <c r="W645" i="5"/>
  <c r="W646" i="5"/>
  <c r="W647" i="5"/>
  <c r="W648" i="5"/>
  <c r="W649" i="5"/>
  <c r="W650" i="5"/>
  <c r="W651" i="5"/>
  <c r="W652" i="5"/>
  <c r="W653" i="5"/>
  <c r="W654" i="5"/>
  <c r="W655" i="5"/>
  <c r="W656" i="5"/>
  <c r="W657" i="5"/>
  <c r="W658" i="5"/>
  <c r="W659" i="5"/>
  <c r="W660" i="5"/>
  <c r="W661" i="5"/>
  <c r="W662" i="5"/>
  <c r="W663" i="5"/>
  <c r="W664" i="5"/>
  <c r="W665" i="5"/>
  <c r="W666" i="5"/>
  <c r="W667" i="5"/>
  <c r="W668" i="5"/>
  <c r="W669" i="5"/>
  <c r="W670" i="5"/>
  <c r="W671" i="5"/>
  <c r="W672" i="5"/>
  <c r="W673" i="5"/>
  <c r="W674" i="5"/>
  <c r="W675" i="5"/>
  <c r="W676" i="5"/>
  <c r="W677" i="5"/>
  <c r="W678" i="5"/>
  <c r="W679" i="5"/>
  <c r="W680" i="5"/>
  <c r="W681" i="5"/>
  <c r="W682" i="5"/>
  <c r="W683" i="5"/>
  <c r="W684" i="5"/>
  <c r="W685" i="5"/>
  <c r="W686" i="5"/>
  <c r="W687" i="5"/>
  <c r="W688" i="5"/>
  <c r="W689" i="5"/>
  <c r="W690" i="5"/>
  <c r="W691" i="5"/>
  <c r="W692" i="5"/>
  <c r="W693" i="5"/>
  <c r="W694" i="5"/>
  <c r="W695" i="5"/>
  <c r="W696" i="5"/>
  <c r="W697" i="5"/>
  <c r="W698" i="5"/>
  <c r="W699" i="5"/>
  <c r="W700" i="5"/>
  <c r="W701" i="5"/>
  <c r="W702" i="5"/>
  <c r="W703" i="5"/>
  <c r="W704" i="5"/>
  <c r="W705" i="5"/>
  <c r="W706" i="5"/>
  <c r="W707" i="5"/>
  <c r="W708" i="5"/>
  <c r="W709" i="5"/>
  <c r="W710" i="5"/>
  <c r="W711" i="5"/>
  <c r="W712" i="5"/>
  <c r="W713" i="5"/>
  <c r="W714" i="5"/>
  <c r="W715" i="5"/>
  <c r="W716" i="5"/>
  <c r="W717" i="5"/>
  <c r="W718" i="5"/>
  <c r="W719" i="5"/>
  <c r="W720" i="5"/>
  <c r="W721" i="5"/>
  <c r="W722" i="5"/>
  <c r="W723" i="5"/>
  <c r="W724" i="5"/>
  <c r="W725" i="5"/>
  <c r="W726" i="5"/>
  <c r="W727" i="5"/>
  <c r="W728" i="5"/>
  <c r="W729" i="5"/>
  <c r="W730" i="5"/>
  <c r="W731" i="5"/>
  <c r="W732" i="5"/>
  <c r="W733" i="5"/>
  <c r="W734" i="5"/>
  <c r="W735" i="5"/>
  <c r="W736" i="5"/>
  <c r="W737" i="5"/>
  <c r="W738" i="5"/>
  <c r="W739" i="5"/>
  <c r="W740" i="5"/>
  <c r="W741" i="5"/>
  <c r="W742" i="5"/>
  <c r="W743" i="5"/>
  <c r="W744" i="5"/>
  <c r="W745" i="5"/>
  <c r="W746" i="5"/>
  <c r="W747" i="5"/>
  <c r="W748" i="5"/>
  <c r="W749" i="5"/>
  <c r="W750" i="5"/>
  <c r="W751" i="5"/>
  <c r="W752" i="5"/>
  <c r="W753" i="5"/>
  <c r="W754" i="5"/>
  <c r="W755" i="5"/>
  <c r="W756" i="5"/>
  <c r="W757" i="5"/>
  <c r="W758" i="5"/>
  <c r="W759" i="5"/>
  <c r="W760" i="5"/>
  <c r="W761" i="5"/>
  <c r="W762" i="5"/>
  <c r="W763" i="5"/>
  <c r="W764" i="5"/>
  <c r="W765" i="5"/>
  <c r="W766" i="5"/>
  <c r="W767" i="5"/>
  <c r="W768" i="5"/>
  <c r="W769" i="5"/>
  <c r="W770" i="5"/>
  <c r="W771" i="5"/>
  <c r="W772" i="5"/>
  <c r="W773" i="5"/>
  <c r="W774" i="5"/>
  <c r="W775" i="5"/>
  <c r="W776" i="5"/>
  <c r="W777" i="5"/>
  <c r="W778" i="5"/>
  <c r="W779" i="5"/>
  <c r="W780" i="5"/>
  <c r="W781" i="5"/>
  <c r="W782" i="5"/>
  <c r="W783" i="5"/>
  <c r="W784" i="5"/>
  <c r="W785" i="5"/>
  <c r="W786" i="5"/>
  <c r="W787" i="5"/>
  <c r="W788" i="5"/>
  <c r="W789" i="5"/>
  <c r="W790" i="5"/>
  <c r="W791" i="5"/>
  <c r="W792" i="5"/>
  <c r="W793" i="5"/>
  <c r="W794" i="5"/>
  <c r="W795" i="5"/>
  <c r="W796" i="5"/>
  <c r="W797" i="5"/>
  <c r="W798" i="5"/>
  <c r="W799" i="5"/>
  <c r="W800" i="5"/>
  <c r="W801" i="5"/>
  <c r="W802" i="5"/>
  <c r="W803" i="5"/>
  <c r="W804" i="5"/>
  <c r="W805" i="5"/>
  <c r="W806" i="5"/>
  <c r="W807" i="5"/>
  <c r="W808" i="5"/>
  <c r="W809" i="5"/>
  <c r="W810" i="5"/>
  <c r="W811" i="5"/>
  <c r="W812" i="5"/>
  <c r="W813" i="5"/>
  <c r="W814" i="5"/>
  <c r="W815" i="5"/>
  <c r="W816" i="5"/>
  <c r="W817" i="5"/>
  <c r="W818" i="5"/>
  <c r="W819" i="5"/>
  <c r="W820" i="5"/>
  <c r="W821" i="5"/>
  <c r="W822" i="5"/>
  <c r="W823" i="5"/>
  <c r="W824" i="5"/>
  <c r="W825" i="5"/>
  <c r="W826" i="5"/>
  <c r="W827" i="5"/>
  <c r="W828" i="5"/>
  <c r="W829" i="5"/>
  <c r="W830" i="5"/>
  <c r="W831" i="5"/>
  <c r="W832" i="5"/>
  <c r="W833" i="5"/>
  <c r="W834" i="5"/>
  <c r="W835" i="5"/>
  <c r="W836" i="5"/>
  <c r="W837" i="5"/>
  <c r="W838" i="5"/>
  <c r="W839" i="5"/>
  <c r="W840" i="5"/>
  <c r="W841" i="5"/>
  <c r="W842" i="5"/>
  <c r="W843" i="5"/>
  <c r="W844" i="5"/>
  <c r="W845" i="5"/>
  <c r="W846" i="5"/>
  <c r="W847" i="5"/>
  <c r="W848" i="5"/>
  <c r="W849" i="5"/>
  <c r="W850" i="5"/>
  <c r="W851" i="5"/>
  <c r="W852" i="5"/>
  <c r="W853" i="5"/>
  <c r="W854" i="5"/>
  <c r="W855" i="5"/>
  <c r="W856" i="5"/>
  <c r="W857" i="5"/>
  <c r="W858" i="5"/>
  <c r="W859" i="5"/>
  <c r="W860" i="5"/>
  <c r="W861" i="5"/>
  <c r="W862" i="5"/>
  <c r="W863" i="5"/>
  <c r="W864" i="5"/>
  <c r="W865" i="5"/>
  <c r="W866" i="5"/>
  <c r="W867" i="5"/>
  <c r="W868" i="5"/>
  <c r="W869" i="5"/>
  <c r="W870" i="5"/>
  <c r="W871" i="5"/>
  <c r="W872" i="5"/>
  <c r="W873" i="5"/>
  <c r="W874" i="5"/>
  <c r="W875" i="5"/>
  <c r="W876" i="5"/>
  <c r="W877" i="5"/>
  <c r="W878" i="5"/>
  <c r="W879" i="5"/>
  <c r="W880" i="5"/>
  <c r="W881" i="5"/>
  <c r="W882" i="5"/>
  <c r="W883" i="5"/>
  <c r="W884" i="5"/>
  <c r="W885" i="5"/>
  <c r="W886" i="5"/>
  <c r="W887" i="5"/>
  <c r="W888" i="5"/>
  <c r="W889" i="5"/>
  <c r="W890" i="5"/>
  <c r="W891" i="5"/>
  <c r="W892" i="5"/>
  <c r="W893" i="5"/>
  <c r="W894" i="5"/>
  <c r="W895" i="5"/>
  <c r="W896" i="5"/>
  <c r="W897" i="5"/>
  <c r="W898" i="5"/>
  <c r="W899" i="5"/>
  <c r="W900" i="5"/>
  <c r="W901" i="5"/>
  <c r="W902" i="5"/>
  <c r="W903" i="5"/>
  <c r="W904" i="5"/>
  <c r="W905" i="5"/>
  <c r="W906" i="5"/>
  <c r="W907" i="5"/>
  <c r="W908" i="5"/>
  <c r="W909" i="5"/>
  <c r="W910" i="5"/>
  <c r="W911" i="5"/>
  <c r="W912" i="5"/>
  <c r="W913" i="5"/>
  <c r="W914" i="5"/>
  <c r="W915" i="5"/>
  <c r="W916" i="5"/>
  <c r="W917" i="5"/>
  <c r="W918" i="5"/>
  <c r="W919" i="5"/>
  <c r="W920" i="5"/>
  <c r="W921" i="5"/>
  <c r="W922" i="5"/>
  <c r="W923" i="5"/>
  <c r="W924" i="5"/>
  <c r="W925" i="5"/>
  <c r="W926" i="5"/>
  <c r="W927" i="5"/>
  <c r="W928" i="5"/>
  <c r="W929" i="5"/>
  <c r="W930" i="5"/>
  <c r="W931" i="5"/>
  <c r="W932" i="5"/>
  <c r="W933" i="5"/>
  <c r="W934" i="5"/>
  <c r="W935" i="5"/>
  <c r="W936" i="5"/>
  <c r="W937" i="5"/>
  <c r="W938" i="5"/>
  <c r="W939" i="5"/>
  <c r="W940" i="5"/>
  <c r="W941" i="5"/>
  <c r="W942" i="5"/>
  <c r="W943" i="5"/>
  <c r="W944" i="5"/>
  <c r="W945" i="5"/>
  <c r="W946" i="5"/>
  <c r="W947" i="5"/>
  <c r="W948" i="5"/>
  <c r="W949" i="5"/>
  <c r="W950" i="5"/>
  <c r="W951" i="5"/>
  <c r="W952" i="5"/>
  <c r="W953" i="5"/>
  <c r="W954" i="5"/>
  <c r="W955" i="5"/>
  <c r="W956" i="5"/>
  <c r="W957" i="5"/>
  <c r="W958" i="5"/>
  <c r="W959" i="5"/>
  <c r="W960" i="5"/>
  <c r="W961" i="5"/>
  <c r="W962" i="5"/>
  <c r="W963" i="5"/>
  <c r="W964" i="5"/>
  <c r="W965" i="5"/>
  <c r="W966" i="5"/>
  <c r="W967" i="5"/>
  <c r="W968" i="5"/>
  <c r="W969" i="5"/>
  <c r="W970" i="5"/>
  <c r="W971" i="5"/>
  <c r="W972" i="5"/>
  <c r="W973" i="5"/>
  <c r="W974" i="5"/>
  <c r="W975" i="5"/>
  <c r="W976" i="5"/>
  <c r="W977" i="5"/>
  <c r="W978" i="5"/>
  <c r="W979" i="5"/>
  <c r="W980" i="5"/>
  <c r="W981" i="5"/>
  <c r="W982" i="5"/>
  <c r="W983" i="5"/>
  <c r="W984" i="5"/>
  <c r="W985" i="5"/>
  <c r="W986" i="5"/>
  <c r="W987" i="5"/>
  <c r="W988" i="5"/>
  <c r="W989" i="5"/>
  <c r="W990" i="5"/>
  <c r="W991" i="5"/>
  <c r="W992" i="5"/>
  <c r="W993" i="5"/>
  <c r="W994" i="5"/>
  <c r="W995" i="5"/>
  <c r="W996" i="5"/>
  <c r="W997" i="5"/>
  <c r="W998" i="5"/>
  <c r="W999" i="5"/>
  <c r="W1000" i="5"/>
  <c r="W1001" i="5"/>
  <c r="W1002" i="5"/>
  <c r="W1003" i="5"/>
  <c r="W1004" i="5"/>
  <c r="W1005" i="5"/>
  <c r="W1006" i="5"/>
  <c r="W1007" i="5"/>
  <c r="W1008" i="5"/>
  <c r="W1009" i="5"/>
  <c r="W1010" i="5"/>
  <c r="W1011" i="5"/>
  <c r="W1012" i="5"/>
  <c r="W1013" i="5"/>
  <c r="W1014" i="5"/>
  <c r="W1015" i="5"/>
  <c r="W1016" i="5"/>
  <c r="W1017" i="5"/>
  <c r="W1018" i="5"/>
  <c r="W1019" i="5"/>
  <c r="W1020" i="5"/>
  <c r="W1021" i="5"/>
  <c r="W1022" i="5"/>
  <c r="W1023" i="5"/>
  <c r="W1024" i="5"/>
  <c r="W1025" i="5"/>
  <c r="W1026" i="5"/>
  <c r="W1027" i="5"/>
  <c r="W1028" i="5"/>
  <c r="W1029" i="5"/>
  <c r="W1030" i="5"/>
  <c r="W1031" i="5"/>
  <c r="W1032" i="5"/>
  <c r="W1033" i="5"/>
  <c r="W1034" i="5"/>
  <c r="W1035" i="5"/>
  <c r="W1036" i="5"/>
  <c r="W1037" i="5"/>
  <c r="W1038" i="5"/>
  <c r="W1039" i="5"/>
  <c r="W1040" i="5"/>
  <c r="W1041" i="5"/>
  <c r="W1042" i="5"/>
  <c r="W1043" i="5"/>
  <c r="W1044" i="5"/>
  <c r="W1045" i="5"/>
  <c r="W1046" i="5"/>
  <c r="W1047" i="5"/>
  <c r="W1048" i="5"/>
  <c r="W1049" i="5"/>
  <c r="W1050" i="5"/>
  <c r="W1051" i="5"/>
  <c r="W1052" i="5"/>
  <c r="W1053" i="5"/>
  <c r="W1054" i="5"/>
  <c r="W1055" i="5"/>
  <c r="W1056" i="5"/>
  <c r="W1057" i="5"/>
  <c r="W1058" i="5"/>
  <c r="W1059" i="5"/>
  <c r="W1060" i="5"/>
  <c r="W1061" i="5"/>
  <c r="W1062" i="5"/>
  <c r="W1063" i="5"/>
  <c r="W1064" i="5"/>
  <c r="W1065" i="5"/>
  <c r="W1066" i="5"/>
  <c r="W1067" i="5"/>
  <c r="W1068" i="5"/>
  <c r="W1069" i="5"/>
  <c r="W1070" i="5"/>
  <c r="W1071" i="5"/>
  <c r="W1072" i="5"/>
  <c r="W1073" i="5"/>
  <c r="W1074" i="5"/>
  <c r="W1075" i="5"/>
  <c r="W1076" i="5"/>
  <c r="W1077" i="5"/>
  <c r="W1078" i="5"/>
  <c r="W1079" i="5"/>
  <c r="W1080" i="5"/>
  <c r="W1081" i="5"/>
  <c r="W1082" i="5"/>
  <c r="W1083" i="5"/>
  <c r="W1084" i="5"/>
  <c r="W1085" i="5"/>
  <c r="W1086" i="5"/>
  <c r="W1087" i="5"/>
  <c r="W1088" i="5"/>
  <c r="W1089" i="5"/>
  <c r="W1090" i="5"/>
  <c r="W1091" i="5"/>
  <c r="W1092" i="5"/>
  <c r="W1093" i="5"/>
  <c r="W1094" i="5"/>
  <c r="W1095" i="5"/>
  <c r="W1096" i="5"/>
  <c r="W1097" i="5"/>
  <c r="W1098" i="5"/>
  <c r="W1099" i="5"/>
  <c r="W1100" i="5"/>
  <c r="W1101" i="5"/>
  <c r="W1102" i="5"/>
  <c r="W1103" i="5"/>
  <c r="W1104" i="5"/>
  <c r="W1105" i="5"/>
  <c r="W1106" i="5"/>
  <c r="W1107" i="5"/>
  <c r="W1108" i="5"/>
  <c r="W1109" i="5"/>
  <c r="W1110" i="5"/>
  <c r="W1111" i="5"/>
  <c r="W1112" i="5"/>
  <c r="W1113" i="5"/>
  <c r="W1114" i="5"/>
  <c r="W1115" i="5"/>
  <c r="W1116" i="5"/>
  <c r="W1117" i="5"/>
  <c r="W1118" i="5"/>
  <c r="W1119" i="5"/>
  <c r="W1120" i="5"/>
  <c r="W1121" i="5"/>
  <c r="W1122" i="5"/>
  <c r="W1123" i="5"/>
  <c r="W1124" i="5"/>
  <c r="W1125" i="5"/>
  <c r="W1126" i="5"/>
  <c r="W1127" i="5"/>
  <c r="W1128" i="5"/>
  <c r="W1129" i="5"/>
  <c r="W1130" i="5"/>
  <c r="W1131" i="5"/>
  <c r="W1132" i="5"/>
  <c r="W1133" i="5"/>
  <c r="W1134" i="5"/>
  <c r="W1135" i="5"/>
  <c r="W1136" i="5"/>
  <c r="W1137" i="5"/>
  <c r="W1138" i="5"/>
  <c r="W1139" i="5"/>
  <c r="W1140" i="5"/>
  <c r="W1141" i="5"/>
  <c r="W1142" i="5"/>
  <c r="W1143" i="5"/>
  <c r="W1144" i="5"/>
  <c r="W1145" i="5"/>
  <c r="W1146" i="5"/>
  <c r="W1147" i="5"/>
  <c r="W1148" i="5"/>
  <c r="W1149" i="5"/>
  <c r="W1150" i="5"/>
  <c r="W1151" i="5"/>
  <c r="W1152" i="5"/>
  <c r="W1153" i="5"/>
  <c r="W1154" i="5"/>
  <c r="W1155" i="5"/>
  <c r="W1156" i="5"/>
  <c r="W1157" i="5"/>
  <c r="W1158" i="5"/>
  <c r="W1159" i="5"/>
  <c r="W1160" i="5"/>
  <c r="W1161" i="5"/>
  <c r="W1162" i="5"/>
  <c r="W1163" i="5"/>
  <c r="W1164" i="5"/>
  <c r="W1165" i="5"/>
  <c r="W1166" i="5"/>
  <c r="W1167" i="5"/>
  <c r="W1168" i="5"/>
  <c r="W1169" i="5"/>
  <c r="W1170" i="5"/>
  <c r="W1171" i="5"/>
  <c r="W1172" i="5"/>
  <c r="W1173" i="5"/>
  <c r="W1174" i="5"/>
  <c r="W1175" i="5"/>
  <c r="W1176" i="5"/>
  <c r="W1177" i="5"/>
  <c r="W1178" i="5"/>
  <c r="W1179" i="5"/>
  <c r="W1180" i="5"/>
  <c r="W1181" i="5"/>
  <c r="W1182" i="5"/>
  <c r="W1183" i="5"/>
  <c r="W1184" i="5"/>
  <c r="W1185" i="5"/>
  <c r="W1186" i="5"/>
  <c r="W1187" i="5"/>
  <c r="W1188" i="5"/>
  <c r="W1189" i="5"/>
  <c r="W1190" i="5"/>
  <c r="W1191" i="5"/>
  <c r="W1192" i="5"/>
  <c r="W1193" i="5"/>
  <c r="W1194" i="5"/>
  <c r="W1195" i="5"/>
  <c r="W1196" i="5"/>
  <c r="W1197" i="5"/>
  <c r="W1198" i="5"/>
  <c r="W1199" i="5"/>
  <c r="W1200" i="5"/>
  <c r="W1201" i="5"/>
  <c r="W1202" i="5"/>
  <c r="W1203" i="5"/>
  <c r="W1204" i="5"/>
  <c r="W1205" i="5"/>
  <c r="W1206" i="5"/>
  <c r="W1207" i="5"/>
  <c r="W1208" i="5"/>
  <c r="W1209" i="5"/>
  <c r="W1210" i="5"/>
  <c r="W1211" i="5"/>
  <c r="W1212" i="5"/>
  <c r="W1213" i="5"/>
  <c r="W1214" i="5"/>
  <c r="W1215" i="5"/>
  <c r="W1216" i="5"/>
  <c r="W1217" i="5"/>
  <c r="W1218" i="5"/>
  <c r="W1219" i="5"/>
  <c r="W1220" i="5"/>
  <c r="W1221" i="5"/>
  <c r="W1222" i="5"/>
  <c r="W1223" i="5"/>
  <c r="W1224" i="5"/>
  <c r="W1225" i="5"/>
  <c r="W1226" i="5"/>
  <c r="W1227" i="5"/>
  <c r="W1228" i="5"/>
  <c r="W1229" i="5"/>
  <c r="W1230" i="5"/>
  <c r="W1231" i="5"/>
  <c r="W1232" i="5"/>
  <c r="W1233" i="5"/>
  <c r="W1234" i="5"/>
  <c r="W1235" i="5"/>
  <c r="W1236" i="5"/>
  <c r="W1237" i="5"/>
  <c r="W1238" i="5"/>
  <c r="W1239" i="5"/>
  <c r="W1240" i="5"/>
  <c r="W1241" i="5"/>
  <c r="W1242" i="5"/>
  <c r="W1243" i="5"/>
  <c r="W1244" i="5"/>
  <c r="W1245" i="5"/>
  <c r="W1246" i="5"/>
  <c r="W1247" i="5"/>
  <c r="W1248" i="5"/>
  <c r="W1249" i="5"/>
  <c r="W1250" i="5"/>
  <c r="W1251" i="5"/>
  <c r="W1252" i="5"/>
  <c r="W1253" i="5"/>
  <c r="W1254" i="5"/>
  <c r="W1255" i="5"/>
  <c r="W1256" i="5"/>
  <c r="W1257" i="5"/>
  <c r="W1258" i="5"/>
  <c r="W1259" i="5"/>
  <c r="W1260" i="5"/>
  <c r="W1261" i="5"/>
  <c r="W1262" i="5"/>
  <c r="W1263" i="5"/>
  <c r="W1264" i="5"/>
  <c r="W1265" i="5"/>
  <c r="W1266" i="5"/>
  <c r="W1267" i="5"/>
  <c r="W1268" i="5"/>
  <c r="W1269" i="5"/>
  <c r="W1270" i="5"/>
  <c r="W1271" i="5"/>
  <c r="W1272" i="5"/>
  <c r="W1273" i="5"/>
  <c r="W1274" i="5"/>
  <c r="W1275" i="5"/>
  <c r="W1276" i="5"/>
  <c r="W1277" i="5"/>
  <c r="W1278" i="5"/>
  <c r="W1279" i="5"/>
  <c r="W1280" i="5"/>
  <c r="W1281" i="5"/>
  <c r="W1282" i="5"/>
  <c r="W1283" i="5"/>
  <c r="W1284" i="5"/>
  <c r="W1285" i="5"/>
  <c r="W1286" i="5"/>
  <c r="W1287" i="5"/>
  <c r="W1288" i="5"/>
  <c r="W1289" i="5"/>
  <c r="W1290" i="5"/>
  <c r="W1291" i="5"/>
  <c r="W1292" i="5"/>
  <c r="W1293" i="5"/>
  <c r="W1294" i="5"/>
  <c r="W1295" i="5"/>
  <c r="W1296" i="5"/>
  <c r="W1297" i="5"/>
  <c r="W1298" i="5"/>
  <c r="W1299" i="5"/>
  <c r="W1300" i="5"/>
  <c r="W1301" i="5"/>
  <c r="V2" i="5"/>
  <c r="V3" i="5"/>
  <c r="V4" i="5"/>
  <c r="V5" i="5"/>
  <c r="V6" i="5"/>
  <c r="V7" i="5"/>
  <c r="V8" i="5"/>
  <c r="V9" i="5"/>
  <c r="V10" i="5"/>
  <c r="V11" i="5"/>
  <c r="V12" i="5"/>
  <c r="V13" i="5"/>
  <c r="V14" i="5"/>
  <c r="V15" i="5"/>
  <c r="V16" i="5"/>
  <c r="V17" i="5"/>
  <c r="V18" i="5"/>
  <c r="V19" i="5"/>
  <c r="V20" i="5"/>
  <c r="V21" i="5"/>
  <c r="V22" i="5"/>
  <c r="V23" i="5"/>
  <c r="V24" i="5"/>
  <c r="V25" i="5"/>
  <c r="V26" i="5"/>
  <c r="V27" i="5"/>
  <c r="V28" i="5"/>
  <c r="V29" i="5"/>
  <c r="V30" i="5"/>
  <c r="V31" i="5"/>
  <c r="V32" i="5"/>
  <c r="V33" i="5"/>
  <c r="V34" i="5"/>
  <c r="V35" i="5"/>
  <c r="V36" i="5"/>
  <c r="V37" i="5"/>
  <c r="V38" i="5"/>
  <c r="V39" i="5"/>
  <c r="V40" i="5"/>
  <c r="V54" i="5"/>
  <c r="V55" i="5"/>
  <c r="V56" i="5"/>
  <c r="V57" i="5"/>
  <c r="V58" i="5"/>
  <c r="V59" i="5"/>
  <c r="V60" i="5"/>
  <c r="V61" i="5"/>
  <c r="V62" i="5"/>
  <c r="V63" i="5"/>
  <c r="V64" i="5"/>
  <c r="V65" i="5"/>
  <c r="V66" i="5"/>
  <c r="V67" i="5"/>
  <c r="V68" i="5"/>
  <c r="V69" i="5"/>
  <c r="V70" i="5"/>
  <c r="V71" i="5"/>
  <c r="V72" i="5"/>
  <c r="V73" i="5"/>
  <c r="V74" i="5"/>
  <c r="V75" i="5"/>
  <c r="V76" i="5"/>
  <c r="V77" i="5"/>
  <c r="V78" i="5"/>
  <c r="V79" i="5"/>
  <c r="V93" i="5"/>
  <c r="V94" i="5"/>
  <c r="V95" i="5"/>
  <c r="V96" i="5"/>
  <c r="V97" i="5"/>
  <c r="V98" i="5"/>
  <c r="V99" i="5"/>
  <c r="V100" i="5"/>
  <c r="V101" i="5"/>
  <c r="V102" i="5"/>
  <c r="V103" i="5"/>
  <c r="V104" i="5"/>
  <c r="V105" i="5"/>
  <c r="V106" i="5"/>
  <c r="V107" i="5"/>
  <c r="V108" i="5"/>
  <c r="V109" i="5"/>
  <c r="V110" i="5"/>
  <c r="V111" i="5"/>
  <c r="V112" i="5"/>
  <c r="V113" i="5"/>
  <c r="V114" i="5"/>
  <c r="V115" i="5"/>
  <c r="V116" i="5"/>
  <c r="V117" i="5"/>
  <c r="V118" i="5"/>
  <c r="V119" i="5"/>
  <c r="V120" i="5"/>
  <c r="V121" i="5"/>
  <c r="V122" i="5"/>
  <c r="V123" i="5"/>
  <c r="V124" i="5"/>
  <c r="V125" i="5"/>
  <c r="V126" i="5"/>
  <c r="V127" i="5"/>
  <c r="V128" i="5"/>
  <c r="V129" i="5"/>
  <c r="V130" i="5"/>
  <c r="V131" i="5"/>
  <c r="V132" i="5"/>
  <c r="V133" i="5"/>
  <c r="V134" i="5"/>
  <c r="V135" i="5"/>
  <c r="V136" i="5"/>
  <c r="V137" i="5"/>
  <c r="V138" i="5"/>
  <c r="V139" i="5"/>
  <c r="V140" i="5"/>
  <c r="V141" i="5"/>
  <c r="V142" i="5"/>
  <c r="V143" i="5"/>
  <c r="V144" i="5"/>
  <c r="V158" i="5"/>
  <c r="V159" i="5"/>
  <c r="V160" i="5"/>
  <c r="V161" i="5"/>
  <c r="V162" i="5"/>
  <c r="V163" i="5"/>
  <c r="V164" i="5"/>
  <c r="V165" i="5"/>
  <c r="V166" i="5"/>
  <c r="V167" i="5"/>
  <c r="V168" i="5"/>
  <c r="V169" i="5"/>
  <c r="V170" i="5"/>
  <c r="V171" i="5"/>
  <c r="V172" i="5"/>
  <c r="V173" i="5"/>
  <c r="V174" i="5"/>
  <c r="V175" i="5"/>
  <c r="V176" i="5"/>
  <c r="V177" i="5"/>
  <c r="V178" i="5"/>
  <c r="V179" i="5"/>
  <c r="V180" i="5"/>
  <c r="V181" i="5"/>
  <c r="V182" i="5"/>
  <c r="V183" i="5"/>
  <c r="V184" i="5"/>
  <c r="V185" i="5"/>
  <c r="V186" i="5"/>
  <c r="V187" i="5"/>
  <c r="V188" i="5"/>
  <c r="V189" i="5"/>
  <c r="V190" i="5"/>
  <c r="V191" i="5"/>
  <c r="V192" i="5"/>
  <c r="V193" i="5"/>
  <c r="V194" i="5"/>
  <c r="V195" i="5"/>
  <c r="V196" i="5"/>
  <c r="V210" i="5"/>
  <c r="V211" i="5"/>
  <c r="V212" i="5"/>
  <c r="V213" i="5"/>
  <c r="V214" i="5"/>
  <c r="V215" i="5"/>
  <c r="V216" i="5"/>
  <c r="V217" i="5"/>
  <c r="V218" i="5"/>
  <c r="V219" i="5"/>
  <c r="V220" i="5"/>
  <c r="V221" i="5"/>
  <c r="V222" i="5"/>
  <c r="V223" i="5"/>
  <c r="V224" i="5"/>
  <c r="V225" i="5"/>
  <c r="V226" i="5"/>
  <c r="V227" i="5"/>
  <c r="V228" i="5"/>
  <c r="V229" i="5"/>
  <c r="V230" i="5"/>
  <c r="V231" i="5"/>
  <c r="V232" i="5"/>
  <c r="V233" i="5"/>
  <c r="V234" i="5"/>
  <c r="V235" i="5"/>
  <c r="V236" i="5"/>
  <c r="V237" i="5"/>
  <c r="V238" i="5"/>
  <c r="V239" i="5"/>
  <c r="V240" i="5"/>
  <c r="V241" i="5"/>
  <c r="V242" i="5"/>
  <c r="V243" i="5"/>
  <c r="V244" i="5"/>
  <c r="V245" i="5"/>
  <c r="V246" i="5"/>
  <c r="V247" i="5"/>
  <c r="V248" i="5"/>
  <c r="V249" i="5"/>
  <c r="V250" i="5"/>
  <c r="V251" i="5"/>
  <c r="V252" i="5"/>
  <c r="V253" i="5"/>
  <c r="V254" i="5"/>
  <c r="V255" i="5"/>
  <c r="V256" i="5"/>
  <c r="V257" i="5"/>
  <c r="V258" i="5"/>
  <c r="V259" i="5"/>
  <c r="V260" i="5"/>
  <c r="V261" i="5"/>
  <c r="V262" i="5"/>
  <c r="V263" i="5"/>
  <c r="V264" i="5"/>
  <c r="V265" i="5"/>
  <c r="V266" i="5"/>
  <c r="V267" i="5"/>
  <c r="V268" i="5"/>
  <c r="V269" i="5"/>
  <c r="V270" i="5"/>
  <c r="V271" i="5"/>
  <c r="V272" i="5"/>
  <c r="V273" i="5"/>
  <c r="V274" i="5"/>
  <c r="V275" i="5"/>
  <c r="V276" i="5"/>
  <c r="V277" i="5"/>
  <c r="V278" i="5"/>
  <c r="V279" i="5"/>
  <c r="V280" i="5"/>
  <c r="V281" i="5"/>
  <c r="V282" i="5"/>
  <c r="V283" i="5"/>
  <c r="V284" i="5"/>
  <c r="V285" i="5"/>
  <c r="V286" i="5"/>
  <c r="V287" i="5"/>
  <c r="V288" i="5"/>
  <c r="V289" i="5"/>
  <c r="V290" i="5"/>
  <c r="V291" i="5"/>
  <c r="V292" i="5"/>
  <c r="V293" i="5"/>
  <c r="V294" i="5"/>
  <c r="V295" i="5"/>
  <c r="V296" i="5"/>
  <c r="V297" i="5"/>
  <c r="V298" i="5"/>
  <c r="V299" i="5"/>
  <c r="V300" i="5"/>
  <c r="V301" i="5"/>
  <c r="V302" i="5"/>
  <c r="V303" i="5"/>
  <c r="V304" i="5"/>
  <c r="V305" i="5"/>
  <c r="V306" i="5"/>
  <c r="V307" i="5"/>
  <c r="V308" i="5"/>
  <c r="V309" i="5"/>
  <c r="V310" i="5"/>
  <c r="V311" i="5"/>
  <c r="V312" i="5"/>
  <c r="V313" i="5"/>
  <c r="V314" i="5"/>
  <c r="V315" i="5"/>
  <c r="V316" i="5"/>
  <c r="V317" i="5"/>
  <c r="V318" i="5"/>
  <c r="V319" i="5"/>
  <c r="V320" i="5"/>
  <c r="V321" i="5"/>
  <c r="V322" i="5"/>
  <c r="V323" i="5"/>
  <c r="V324" i="5"/>
  <c r="V325" i="5"/>
  <c r="V326" i="5"/>
  <c r="V327" i="5"/>
  <c r="V328" i="5"/>
  <c r="V329" i="5"/>
  <c r="V330" i="5"/>
  <c r="V331" i="5"/>
  <c r="V332" i="5"/>
  <c r="V333" i="5"/>
  <c r="V334" i="5"/>
  <c r="V335" i="5"/>
  <c r="V336" i="5"/>
  <c r="V337" i="5"/>
  <c r="V338" i="5"/>
  <c r="V339" i="5"/>
  <c r="V340" i="5"/>
  <c r="V341" i="5"/>
  <c r="V342" i="5"/>
  <c r="V343" i="5"/>
  <c r="V344" i="5"/>
  <c r="V345" i="5"/>
  <c r="V346" i="5"/>
  <c r="V347" i="5"/>
  <c r="V348" i="5"/>
  <c r="V349" i="5"/>
  <c r="V350" i="5"/>
  <c r="V351" i="5"/>
  <c r="V352" i="5"/>
  <c r="V353" i="5"/>
  <c r="V354" i="5"/>
  <c r="V355" i="5"/>
  <c r="V356" i="5"/>
  <c r="V357" i="5"/>
  <c r="V358" i="5"/>
  <c r="V359" i="5"/>
  <c r="V360" i="5"/>
  <c r="V361" i="5"/>
  <c r="V362" i="5"/>
  <c r="V363" i="5"/>
  <c r="V364" i="5"/>
  <c r="V365" i="5"/>
  <c r="V366" i="5"/>
  <c r="V367" i="5"/>
  <c r="V368" i="5"/>
  <c r="V369" i="5"/>
  <c r="V370" i="5"/>
  <c r="V371" i="5"/>
  <c r="V372" i="5"/>
  <c r="V373" i="5"/>
  <c r="V374" i="5"/>
  <c r="V375" i="5"/>
  <c r="V376" i="5"/>
  <c r="V377" i="5"/>
  <c r="V378" i="5"/>
  <c r="V379" i="5"/>
  <c r="V380" i="5"/>
  <c r="V381" i="5"/>
  <c r="V382" i="5"/>
  <c r="V383" i="5"/>
  <c r="V384" i="5"/>
  <c r="V385" i="5"/>
  <c r="V386" i="5"/>
  <c r="V387" i="5"/>
  <c r="V388" i="5"/>
  <c r="V389" i="5"/>
  <c r="V390" i="5"/>
  <c r="V391" i="5"/>
  <c r="V392" i="5"/>
  <c r="V393" i="5"/>
  <c r="V394" i="5"/>
  <c r="V395" i="5"/>
  <c r="V396" i="5"/>
  <c r="V397" i="5"/>
  <c r="V398" i="5"/>
  <c r="V399" i="5"/>
  <c r="V400" i="5"/>
  <c r="V401" i="5"/>
  <c r="V402" i="5"/>
  <c r="V403" i="5"/>
  <c r="V404" i="5"/>
  <c r="V405" i="5"/>
  <c r="V406" i="5"/>
  <c r="V407" i="5"/>
  <c r="V408" i="5"/>
  <c r="V409" i="5"/>
  <c r="V410" i="5"/>
  <c r="V411" i="5"/>
  <c r="V412" i="5"/>
  <c r="V413" i="5"/>
  <c r="V414" i="5"/>
  <c r="V415" i="5"/>
  <c r="V416" i="5"/>
  <c r="V417" i="5"/>
  <c r="V418" i="5"/>
  <c r="V419" i="5"/>
  <c r="V420" i="5"/>
  <c r="V421" i="5"/>
  <c r="V422" i="5"/>
  <c r="V423" i="5"/>
  <c r="V424" i="5"/>
  <c r="V425" i="5"/>
  <c r="V426" i="5"/>
  <c r="V427" i="5"/>
  <c r="V428" i="5"/>
  <c r="V429" i="5"/>
  <c r="V430" i="5"/>
  <c r="V431" i="5"/>
  <c r="V432" i="5"/>
  <c r="V433" i="5"/>
  <c r="V434" i="5"/>
  <c r="V435" i="5"/>
  <c r="V436" i="5"/>
  <c r="V437" i="5"/>
  <c r="V438" i="5"/>
  <c r="V439" i="5"/>
  <c r="V440" i="5"/>
  <c r="V441" i="5"/>
  <c r="V442" i="5"/>
  <c r="V443" i="5"/>
  <c r="V444" i="5"/>
  <c r="V445" i="5"/>
  <c r="V446" i="5"/>
  <c r="V447" i="5"/>
  <c r="V448" i="5"/>
  <c r="V449" i="5"/>
  <c r="V450" i="5"/>
  <c r="V451" i="5"/>
  <c r="V452" i="5"/>
  <c r="V453" i="5"/>
  <c r="V454" i="5"/>
  <c r="V455" i="5"/>
  <c r="V456" i="5"/>
  <c r="V457" i="5"/>
  <c r="V458" i="5"/>
  <c r="V459" i="5"/>
  <c r="V460" i="5"/>
  <c r="V461" i="5"/>
  <c r="V462" i="5"/>
  <c r="V463" i="5"/>
  <c r="V464" i="5"/>
  <c r="V465" i="5"/>
  <c r="V466" i="5"/>
  <c r="V467" i="5"/>
  <c r="V468" i="5"/>
  <c r="V469" i="5"/>
  <c r="V470" i="5"/>
  <c r="V471" i="5"/>
  <c r="V472" i="5"/>
  <c r="V473" i="5"/>
  <c r="V474" i="5"/>
  <c r="V475" i="5"/>
  <c r="V476" i="5"/>
  <c r="V477" i="5"/>
  <c r="V478" i="5"/>
  <c r="V479" i="5"/>
  <c r="V480" i="5"/>
  <c r="V481" i="5"/>
  <c r="V482" i="5"/>
  <c r="V483" i="5"/>
  <c r="V484" i="5"/>
  <c r="V485" i="5"/>
  <c r="V486" i="5"/>
  <c r="V487" i="5"/>
  <c r="V488" i="5"/>
  <c r="V489" i="5"/>
  <c r="V490" i="5"/>
  <c r="V491" i="5"/>
  <c r="V492" i="5"/>
  <c r="V493" i="5"/>
  <c r="V494" i="5"/>
  <c r="V495" i="5"/>
  <c r="V496" i="5"/>
  <c r="V497" i="5"/>
  <c r="V498" i="5"/>
  <c r="V499" i="5"/>
  <c r="V500" i="5"/>
  <c r="V501" i="5"/>
  <c r="V502" i="5"/>
  <c r="V503" i="5"/>
  <c r="V504" i="5"/>
  <c r="V505" i="5"/>
  <c r="V506" i="5"/>
  <c r="V507" i="5"/>
  <c r="V508" i="5"/>
  <c r="V509" i="5"/>
  <c r="V510" i="5"/>
  <c r="V511" i="5"/>
  <c r="V512" i="5"/>
  <c r="V513" i="5"/>
  <c r="V514" i="5"/>
  <c r="V515" i="5"/>
  <c r="V516" i="5"/>
  <c r="V517" i="5"/>
  <c r="V518" i="5"/>
  <c r="V519" i="5"/>
  <c r="V520" i="5"/>
  <c r="V521" i="5"/>
  <c r="V522" i="5"/>
  <c r="V523" i="5"/>
  <c r="V524" i="5"/>
  <c r="V525" i="5"/>
  <c r="V526" i="5"/>
  <c r="V527" i="5"/>
  <c r="V528" i="5"/>
  <c r="V529" i="5"/>
  <c r="V530" i="5"/>
  <c r="V531" i="5"/>
  <c r="V532" i="5"/>
  <c r="V533" i="5"/>
  <c r="V534" i="5"/>
  <c r="V535" i="5"/>
  <c r="V536" i="5"/>
  <c r="V537" i="5"/>
  <c r="V538" i="5"/>
  <c r="V539" i="5"/>
  <c r="V540" i="5"/>
  <c r="V541" i="5"/>
  <c r="V542" i="5"/>
  <c r="V543" i="5"/>
  <c r="V544" i="5"/>
  <c r="V545" i="5"/>
  <c r="V546" i="5"/>
  <c r="V547" i="5"/>
  <c r="V548" i="5"/>
  <c r="V549" i="5"/>
  <c r="V550" i="5"/>
  <c r="V551" i="5"/>
  <c r="V552" i="5"/>
  <c r="V553" i="5"/>
  <c r="V554" i="5"/>
  <c r="V555" i="5"/>
  <c r="V556" i="5"/>
  <c r="V557" i="5"/>
  <c r="V558" i="5"/>
  <c r="V559" i="5"/>
  <c r="V560" i="5"/>
  <c r="V561" i="5"/>
  <c r="V562" i="5"/>
  <c r="V563" i="5"/>
  <c r="V564" i="5"/>
  <c r="V565" i="5"/>
  <c r="V566" i="5"/>
  <c r="V567" i="5"/>
  <c r="V568" i="5"/>
  <c r="V569" i="5"/>
  <c r="V570" i="5"/>
  <c r="V571" i="5"/>
  <c r="V572" i="5"/>
  <c r="V573" i="5"/>
  <c r="V574" i="5"/>
  <c r="V575" i="5"/>
  <c r="V576" i="5"/>
  <c r="V577" i="5"/>
  <c r="V578" i="5"/>
  <c r="V579" i="5"/>
  <c r="V580" i="5"/>
  <c r="V581" i="5"/>
  <c r="V582" i="5"/>
  <c r="V583" i="5"/>
  <c r="V584" i="5"/>
  <c r="V585" i="5"/>
  <c r="V586" i="5"/>
  <c r="V587" i="5"/>
  <c r="V588" i="5"/>
  <c r="V589" i="5"/>
  <c r="V590" i="5"/>
  <c r="V591" i="5"/>
  <c r="V592" i="5"/>
  <c r="V593" i="5"/>
  <c r="V594" i="5"/>
  <c r="V595" i="5"/>
  <c r="V596" i="5"/>
  <c r="V597" i="5"/>
  <c r="V598" i="5"/>
  <c r="V599" i="5"/>
  <c r="V600" i="5"/>
  <c r="V601" i="5"/>
  <c r="V602" i="5"/>
  <c r="V603" i="5"/>
  <c r="V604" i="5"/>
  <c r="V605" i="5"/>
  <c r="V606" i="5"/>
  <c r="V607" i="5"/>
  <c r="V608" i="5"/>
  <c r="V609" i="5"/>
  <c r="V610" i="5"/>
  <c r="V611" i="5"/>
  <c r="V612" i="5"/>
  <c r="V613" i="5"/>
  <c r="V614" i="5"/>
  <c r="V615" i="5"/>
  <c r="V616" i="5"/>
  <c r="V617" i="5"/>
  <c r="V618" i="5"/>
  <c r="V619" i="5"/>
  <c r="V620" i="5"/>
  <c r="V621" i="5"/>
  <c r="V622" i="5"/>
  <c r="V623" i="5"/>
  <c r="V624" i="5"/>
  <c r="V625" i="5"/>
  <c r="V626" i="5"/>
  <c r="V627" i="5"/>
  <c r="V628" i="5"/>
  <c r="V629" i="5"/>
  <c r="V630" i="5"/>
  <c r="V631" i="5"/>
  <c r="V632" i="5"/>
  <c r="V633" i="5"/>
  <c r="V634" i="5"/>
  <c r="V635" i="5"/>
  <c r="V636" i="5"/>
  <c r="V637" i="5"/>
  <c r="V638" i="5"/>
  <c r="V639" i="5"/>
  <c r="V640" i="5"/>
  <c r="V641" i="5"/>
  <c r="V642" i="5"/>
  <c r="V643" i="5"/>
  <c r="V644" i="5"/>
  <c r="V645" i="5"/>
  <c r="V646" i="5"/>
  <c r="V647" i="5"/>
  <c r="V648" i="5"/>
  <c r="V649" i="5"/>
  <c r="V650" i="5"/>
  <c r="V651" i="5"/>
  <c r="V652" i="5"/>
  <c r="V653" i="5"/>
  <c r="V654" i="5"/>
  <c r="V655" i="5"/>
  <c r="V656" i="5"/>
  <c r="V657" i="5"/>
  <c r="V658" i="5"/>
  <c r="V659" i="5"/>
  <c r="V660" i="5"/>
  <c r="V661" i="5"/>
  <c r="V662" i="5"/>
  <c r="V663" i="5"/>
  <c r="V664" i="5"/>
  <c r="V665" i="5"/>
  <c r="V666" i="5"/>
  <c r="V667" i="5"/>
  <c r="V668" i="5"/>
  <c r="V669" i="5"/>
  <c r="V670" i="5"/>
  <c r="V671" i="5"/>
  <c r="V672" i="5"/>
  <c r="V673" i="5"/>
  <c r="V674" i="5"/>
  <c r="V675" i="5"/>
  <c r="V676" i="5"/>
  <c r="V677" i="5"/>
  <c r="V678" i="5"/>
  <c r="V679" i="5"/>
  <c r="V680" i="5"/>
  <c r="V681" i="5"/>
  <c r="V682" i="5"/>
  <c r="V683" i="5"/>
  <c r="V684" i="5"/>
  <c r="V685" i="5"/>
  <c r="V686" i="5"/>
  <c r="V687" i="5"/>
  <c r="V688" i="5"/>
  <c r="V689" i="5"/>
  <c r="V690" i="5"/>
  <c r="V691" i="5"/>
  <c r="V692" i="5"/>
  <c r="V693" i="5"/>
  <c r="V694" i="5"/>
  <c r="V695" i="5"/>
  <c r="V696" i="5"/>
  <c r="V697" i="5"/>
  <c r="V698" i="5"/>
  <c r="V699" i="5"/>
  <c r="V700" i="5"/>
  <c r="V701" i="5"/>
  <c r="V702" i="5"/>
  <c r="V703" i="5"/>
  <c r="V704" i="5"/>
  <c r="V705" i="5"/>
  <c r="V706" i="5"/>
  <c r="V707" i="5"/>
  <c r="V708" i="5"/>
  <c r="V709" i="5"/>
  <c r="V710" i="5"/>
  <c r="V711" i="5"/>
  <c r="V712" i="5"/>
  <c r="V713" i="5"/>
  <c r="V714" i="5"/>
  <c r="V715" i="5"/>
  <c r="V716" i="5"/>
  <c r="V717" i="5"/>
  <c r="V718" i="5"/>
  <c r="V719" i="5"/>
  <c r="V720" i="5"/>
  <c r="V721" i="5"/>
  <c r="V722" i="5"/>
  <c r="V723" i="5"/>
  <c r="V724" i="5"/>
  <c r="V725" i="5"/>
  <c r="V726" i="5"/>
  <c r="V727" i="5"/>
  <c r="V728" i="5"/>
  <c r="V729" i="5"/>
  <c r="V730" i="5"/>
  <c r="V731" i="5"/>
  <c r="V732" i="5"/>
  <c r="V733" i="5"/>
  <c r="V734" i="5"/>
  <c r="V735" i="5"/>
  <c r="V736" i="5"/>
  <c r="V737" i="5"/>
  <c r="V738" i="5"/>
  <c r="V739" i="5"/>
  <c r="V740" i="5"/>
  <c r="V741" i="5"/>
  <c r="V742" i="5"/>
  <c r="V743" i="5"/>
  <c r="V744" i="5"/>
  <c r="V745" i="5"/>
  <c r="V746" i="5"/>
  <c r="V747" i="5"/>
  <c r="V748" i="5"/>
  <c r="V749" i="5"/>
  <c r="V750" i="5"/>
  <c r="V751" i="5"/>
  <c r="V752" i="5"/>
  <c r="V753" i="5"/>
  <c r="V754" i="5"/>
  <c r="V755" i="5"/>
  <c r="V756" i="5"/>
  <c r="V757" i="5"/>
  <c r="V758" i="5"/>
  <c r="V759" i="5"/>
  <c r="V760" i="5"/>
  <c r="V761" i="5"/>
  <c r="V762" i="5"/>
  <c r="V763" i="5"/>
  <c r="V764" i="5"/>
  <c r="V765" i="5"/>
  <c r="V766" i="5"/>
  <c r="V767" i="5"/>
  <c r="V768" i="5"/>
  <c r="V769" i="5"/>
  <c r="V770" i="5"/>
  <c r="V771" i="5"/>
  <c r="V772" i="5"/>
  <c r="V773" i="5"/>
  <c r="V774" i="5"/>
  <c r="V775" i="5"/>
  <c r="V776" i="5"/>
  <c r="V777" i="5"/>
  <c r="V778" i="5"/>
  <c r="V779" i="5"/>
  <c r="V780" i="5"/>
  <c r="V781" i="5"/>
  <c r="V782" i="5"/>
  <c r="V783" i="5"/>
  <c r="V784" i="5"/>
  <c r="V785" i="5"/>
  <c r="V786" i="5"/>
  <c r="V787" i="5"/>
  <c r="V788" i="5"/>
  <c r="V789" i="5"/>
  <c r="V790" i="5"/>
  <c r="V791" i="5"/>
  <c r="V792" i="5"/>
  <c r="V793" i="5"/>
  <c r="V794" i="5"/>
  <c r="V795" i="5"/>
  <c r="V796" i="5"/>
  <c r="V797" i="5"/>
  <c r="V798" i="5"/>
  <c r="V799" i="5"/>
  <c r="V800" i="5"/>
  <c r="V801" i="5"/>
  <c r="V802" i="5"/>
  <c r="V803" i="5"/>
  <c r="V804" i="5"/>
  <c r="V805" i="5"/>
  <c r="V806" i="5"/>
  <c r="V807" i="5"/>
  <c r="V808" i="5"/>
  <c r="V809" i="5"/>
  <c r="V810" i="5"/>
  <c r="V811" i="5"/>
  <c r="V812" i="5"/>
  <c r="V813" i="5"/>
  <c r="V814" i="5"/>
  <c r="V815" i="5"/>
  <c r="V816" i="5"/>
  <c r="V817" i="5"/>
  <c r="V818" i="5"/>
  <c r="V819" i="5"/>
  <c r="V820" i="5"/>
  <c r="V821" i="5"/>
  <c r="V822" i="5"/>
  <c r="V823" i="5"/>
  <c r="V824" i="5"/>
  <c r="V825" i="5"/>
  <c r="V826" i="5"/>
  <c r="V827" i="5"/>
  <c r="V828" i="5"/>
  <c r="V829" i="5"/>
  <c r="V830" i="5"/>
  <c r="V831" i="5"/>
  <c r="V832" i="5"/>
  <c r="V833" i="5"/>
  <c r="V834" i="5"/>
  <c r="V835" i="5"/>
  <c r="V836" i="5"/>
  <c r="V837" i="5"/>
  <c r="V838" i="5"/>
  <c r="V839" i="5"/>
  <c r="V840" i="5"/>
  <c r="V841" i="5"/>
  <c r="V842" i="5"/>
  <c r="V843" i="5"/>
  <c r="V844" i="5"/>
  <c r="V845" i="5"/>
  <c r="V846" i="5"/>
  <c r="V847" i="5"/>
  <c r="V848" i="5"/>
  <c r="V849" i="5"/>
  <c r="V850" i="5"/>
  <c r="V851" i="5"/>
  <c r="V852" i="5"/>
  <c r="V853" i="5"/>
  <c r="V854" i="5"/>
  <c r="V855" i="5"/>
  <c r="V856" i="5"/>
  <c r="V857" i="5"/>
  <c r="V858" i="5"/>
  <c r="V859" i="5"/>
  <c r="V860" i="5"/>
  <c r="V861" i="5"/>
  <c r="V862" i="5"/>
  <c r="V863" i="5"/>
  <c r="V864" i="5"/>
  <c r="V865" i="5"/>
  <c r="V866" i="5"/>
  <c r="V867" i="5"/>
  <c r="V868" i="5"/>
  <c r="V869" i="5"/>
  <c r="V870" i="5"/>
  <c r="V871" i="5"/>
  <c r="V872" i="5"/>
  <c r="V873" i="5"/>
  <c r="V874" i="5"/>
  <c r="V875" i="5"/>
  <c r="V876" i="5"/>
  <c r="V877" i="5"/>
  <c r="V878" i="5"/>
  <c r="V879" i="5"/>
  <c r="V880" i="5"/>
  <c r="V881" i="5"/>
  <c r="V882" i="5"/>
  <c r="V883" i="5"/>
  <c r="V884" i="5"/>
  <c r="V885" i="5"/>
  <c r="V886" i="5"/>
  <c r="V887" i="5"/>
  <c r="V888" i="5"/>
  <c r="V889" i="5"/>
  <c r="V890" i="5"/>
  <c r="V891" i="5"/>
  <c r="V892" i="5"/>
  <c r="V893" i="5"/>
  <c r="V894" i="5"/>
  <c r="V895" i="5"/>
  <c r="V896" i="5"/>
  <c r="V897" i="5"/>
  <c r="V898" i="5"/>
  <c r="V899" i="5"/>
  <c r="V900" i="5"/>
  <c r="V901" i="5"/>
  <c r="V902" i="5"/>
  <c r="V903" i="5"/>
  <c r="V904" i="5"/>
  <c r="V905" i="5"/>
  <c r="V906" i="5"/>
  <c r="V907" i="5"/>
  <c r="V908" i="5"/>
  <c r="V909" i="5"/>
  <c r="V910" i="5"/>
  <c r="V911" i="5"/>
  <c r="V912" i="5"/>
  <c r="V913" i="5"/>
  <c r="V914" i="5"/>
  <c r="V915" i="5"/>
  <c r="V916" i="5"/>
  <c r="V917" i="5"/>
  <c r="V918" i="5"/>
  <c r="V919" i="5"/>
  <c r="V920" i="5"/>
  <c r="V921" i="5"/>
  <c r="V922" i="5"/>
  <c r="V923" i="5"/>
  <c r="V924" i="5"/>
  <c r="V925" i="5"/>
  <c r="V926" i="5"/>
  <c r="V927" i="5"/>
  <c r="V928" i="5"/>
  <c r="V929" i="5"/>
  <c r="V930" i="5"/>
  <c r="V931" i="5"/>
  <c r="V932" i="5"/>
  <c r="V933" i="5"/>
  <c r="V934" i="5"/>
  <c r="V935" i="5"/>
  <c r="V936" i="5"/>
  <c r="V937" i="5"/>
  <c r="V938" i="5"/>
  <c r="V939" i="5"/>
  <c r="V940" i="5"/>
  <c r="V941" i="5"/>
  <c r="V942" i="5"/>
  <c r="V943" i="5"/>
  <c r="V944" i="5"/>
  <c r="V945" i="5"/>
  <c r="V946" i="5"/>
  <c r="V947" i="5"/>
  <c r="V948" i="5"/>
  <c r="V949" i="5"/>
  <c r="V950" i="5"/>
  <c r="V951" i="5"/>
  <c r="V952" i="5"/>
  <c r="V953" i="5"/>
  <c r="V954" i="5"/>
  <c r="V955" i="5"/>
  <c r="V956" i="5"/>
  <c r="V957" i="5"/>
  <c r="V958" i="5"/>
  <c r="V959" i="5"/>
  <c r="V960" i="5"/>
  <c r="V961" i="5"/>
  <c r="V962" i="5"/>
  <c r="V963" i="5"/>
  <c r="V964" i="5"/>
  <c r="V965" i="5"/>
  <c r="V966" i="5"/>
  <c r="V967" i="5"/>
  <c r="V968" i="5"/>
  <c r="V969" i="5"/>
  <c r="V970" i="5"/>
  <c r="V971" i="5"/>
  <c r="V972" i="5"/>
  <c r="V973" i="5"/>
  <c r="V974" i="5"/>
  <c r="V975" i="5"/>
  <c r="V976" i="5"/>
  <c r="V977" i="5"/>
  <c r="V978" i="5"/>
  <c r="V979" i="5"/>
  <c r="V980" i="5"/>
  <c r="V981" i="5"/>
  <c r="V982" i="5"/>
  <c r="V983" i="5"/>
  <c r="V984" i="5"/>
  <c r="V985" i="5"/>
  <c r="V986" i="5"/>
  <c r="V987" i="5"/>
  <c r="V988" i="5"/>
  <c r="V989" i="5"/>
  <c r="V990" i="5"/>
  <c r="V991" i="5"/>
  <c r="V992" i="5"/>
  <c r="V993" i="5"/>
  <c r="V994" i="5"/>
  <c r="V995" i="5"/>
  <c r="V996" i="5"/>
  <c r="V997" i="5"/>
  <c r="V998" i="5"/>
  <c r="V999" i="5"/>
  <c r="V1000" i="5"/>
  <c r="V1001" i="5"/>
  <c r="V1002" i="5"/>
  <c r="V1003" i="5"/>
  <c r="V1004" i="5"/>
  <c r="V1005" i="5"/>
  <c r="V1006" i="5"/>
  <c r="V1007" i="5"/>
  <c r="V1008" i="5"/>
  <c r="V1009" i="5"/>
  <c r="V1010" i="5"/>
  <c r="V1011" i="5"/>
  <c r="V1012" i="5"/>
  <c r="V1013" i="5"/>
  <c r="V1014" i="5"/>
  <c r="V1015" i="5"/>
  <c r="V1016" i="5"/>
  <c r="V1017" i="5"/>
  <c r="V1018" i="5"/>
  <c r="V1019" i="5"/>
  <c r="V1020" i="5"/>
  <c r="V1021" i="5"/>
  <c r="V1022" i="5"/>
  <c r="V1023" i="5"/>
  <c r="V1024" i="5"/>
  <c r="V1025" i="5"/>
  <c r="V1026" i="5"/>
  <c r="V1027" i="5"/>
  <c r="V1028" i="5"/>
  <c r="V1029" i="5"/>
  <c r="V1030" i="5"/>
  <c r="V1031" i="5"/>
  <c r="V1032" i="5"/>
  <c r="V1033" i="5"/>
  <c r="V1034" i="5"/>
  <c r="V1035" i="5"/>
  <c r="V1036" i="5"/>
  <c r="V1037" i="5"/>
  <c r="V1038" i="5"/>
  <c r="V1039" i="5"/>
  <c r="V1040" i="5"/>
  <c r="V1041" i="5"/>
  <c r="V1042" i="5"/>
  <c r="V1043" i="5"/>
  <c r="V1044" i="5"/>
  <c r="V1045" i="5"/>
  <c r="V1046" i="5"/>
  <c r="V1047" i="5"/>
  <c r="V1048" i="5"/>
  <c r="V1049" i="5"/>
  <c r="V1050" i="5"/>
  <c r="V1051" i="5"/>
  <c r="V1052" i="5"/>
  <c r="V1053" i="5"/>
  <c r="V1054" i="5"/>
  <c r="V1055" i="5"/>
  <c r="V1056" i="5"/>
  <c r="V1057" i="5"/>
  <c r="V1058" i="5"/>
  <c r="V1059" i="5"/>
  <c r="V1060" i="5"/>
  <c r="V1061" i="5"/>
  <c r="V1062" i="5"/>
  <c r="V1063" i="5"/>
  <c r="V1064" i="5"/>
  <c r="V1065" i="5"/>
  <c r="V1066" i="5"/>
  <c r="V1067" i="5"/>
  <c r="V1068" i="5"/>
  <c r="V1069" i="5"/>
  <c r="V1070" i="5"/>
  <c r="V1071" i="5"/>
  <c r="V1072" i="5"/>
  <c r="V1073" i="5"/>
  <c r="V1074" i="5"/>
  <c r="V1075" i="5"/>
  <c r="V1076" i="5"/>
  <c r="V1077" i="5"/>
  <c r="V1078" i="5"/>
  <c r="V1079" i="5"/>
  <c r="V1080" i="5"/>
  <c r="V1081" i="5"/>
  <c r="V1082" i="5"/>
  <c r="V1083" i="5"/>
  <c r="V1084" i="5"/>
  <c r="V1085" i="5"/>
  <c r="V1086" i="5"/>
  <c r="V1087" i="5"/>
  <c r="V1088" i="5"/>
  <c r="V1089" i="5"/>
  <c r="V1090" i="5"/>
  <c r="V1091" i="5"/>
  <c r="V1092" i="5"/>
  <c r="V1093" i="5"/>
  <c r="V1094" i="5"/>
  <c r="V1095" i="5"/>
  <c r="V1096" i="5"/>
  <c r="V1097" i="5"/>
  <c r="V1098" i="5"/>
  <c r="V1099" i="5"/>
  <c r="V1100" i="5"/>
  <c r="V1101" i="5"/>
  <c r="V1102" i="5"/>
  <c r="V1103" i="5"/>
  <c r="V1104" i="5"/>
  <c r="V1105" i="5"/>
  <c r="V1106" i="5"/>
  <c r="V1107" i="5"/>
  <c r="V1108" i="5"/>
  <c r="V1109" i="5"/>
  <c r="V1110" i="5"/>
  <c r="V1111" i="5"/>
  <c r="V1112" i="5"/>
  <c r="V1113" i="5"/>
  <c r="V1114" i="5"/>
  <c r="V1115" i="5"/>
  <c r="V1116" i="5"/>
  <c r="V1117" i="5"/>
  <c r="V1118" i="5"/>
  <c r="V1119" i="5"/>
  <c r="V1120" i="5"/>
  <c r="V1121" i="5"/>
  <c r="V1122" i="5"/>
  <c r="V1123" i="5"/>
  <c r="V1124" i="5"/>
  <c r="V1125" i="5"/>
  <c r="V1126" i="5"/>
  <c r="V1127" i="5"/>
  <c r="V1128" i="5"/>
  <c r="V1129" i="5"/>
  <c r="V1130" i="5"/>
  <c r="V1131" i="5"/>
  <c r="V1132" i="5"/>
  <c r="V1133" i="5"/>
  <c r="V1134" i="5"/>
  <c r="V1135" i="5"/>
  <c r="V1136" i="5"/>
  <c r="V1137" i="5"/>
  <c r="V1138" i="5"/>
  <c r="V1139" i="5"/>
  <c r="V1140" i="5"/>
  <c r="V1141" i="5"/>
  <c r="V1142" i="5"/>
  <c r="V1143" i="5"/>
  <c r="V1144" i="5"/>
  <c r="V1145" i="5"/>
  <c r="V1146" i="5"/>
  <c r="V1147" i="5"/>
  <c r="V1148" i="5"/>
  <c r="V1149" i="5"/>
  <c r="V1150" i="5"/>
  <c r="V1151" i="5"/>
  <c r="V1152" i="5"/>
  <c r="V1153" i="5"/>
  <c r="V1154" i="5"/>
  <c r="V1155" i="5"/>
  <c r="V1156" i="5"/>
  <c r="V1157" i="5"/>
  <c r="V1158" i="5"/>
  <c r="V1159" i="5"/>
  <c r="V1160" i="5"/>
  <c r="V1161" i="5"/>
  <c r="V1162" i="5"/>
  <c r="V1163" i="5"/>
  <c r="V1164" i="5"/>
  <c r="V1165" i="5"/>
  <c r="V1166" i="5"/>
  <c r="V1167" i="5"/>
  <c r="V1168" i="5"/>
  <c r="V1169" i="5"/>
  <c r="V1170" i="5"/>
  <c r="V1171" i="5"/>
  <c r="V1172" i="5"/>
  <c r="V1173" i="5"/>
  <c r="V1174" i="5"/>
  <c r="V1175" i="5"/>
  <c r="V1176" i="5"/>
  <c r="V1177" i="5"/>
  <c r="V1178" i="5"/>
  <c r="V1179" i="5"/>
  <c r="V1180" i="5"/>
  <c r="V1181" i="5"/>
  <c r="V1182" i="5"/>
  <c r="V1183" i="5"/>
  <c r="V1184" i="5"/>
  <c r="V1185" i="5"/>
  <c r="V1186" i="5"/>
  <c r="V1187" i="5"/>
  <c r="V1188" i="5"/>
  <c r="V1189" i="5"/>
  <c r="V1190" i="5"/>
  <c r="V1191" i="5"/>
  <c r="V1192" i="5"/>
  <c r="V1193" i="5"/>
  <c r="V1194" i="5"/>
  <c r="V1195" i="5"/>
  <c r="V1196" i="5"/>
  <c r="V1197" i="5"/>
  <c r="V1198" i="5"/>
  <c r="V1199" i="5"/>
  <c r="V1200" i="5"/>
  <c r="V1201" i="5"/>
  <c r="V1202" i="5"/>
  <c r="V1203" i="5"/>
  <c r="V1204" i="5"/>
  <c r="V1205" i="5"/>
  <c r="V1206" i="5"/>
  <c r="V1207" i="5"/>
  <c r="V1208" i="5"/>
  <c r="V1209" i="5"/>
  <c r="V1210" i="5"/>
  <c r="V1211" i="5"/>
  <c r="V1212" i="5"/>
  <c r="V1213" i="5"/>
  <c r="V1214" i="5"/>
  <c r="V1215" i="5"/>
  <c r="V1216" i="5"/>
  <c r="V1217" i="5"/>
  <c r="V1218" i="5"/>
  <c r="V1219" i="5"/>
  <c r="V1220" i="5"/>
  <c r="V1221" i="5"/>
  <c r="V1222" i="5"/>
  <c r="V1223" i="5"/>
  <c r="V1224" i="5"/>
  <c r="V1225" i="5"/>
  <c r="V1226" i="5"/>
  <c r="V1227" i="5"/>
  <c r="V1228" i="5"/>
  <c r="V1229" i="5"/>
  <c r="V1230" i="5"/>
  <c r="V1231" i="5"/>
  <c r="V1232" i="5"/>
  <c r="V1233" i="5"/>
  <c r="V1234" i="5"/>
  <c r="V1235" i="5"/>
  <c r="V1236" i="5"/>
  <c r="V1237" i="5"/>
  <c r="V1238" i="5"/>
  <c r="V1239" i="5"/>
  <c r="V1240" i="5"/>
  <c r="V1241" i="5"/>
  <c r="V1242" i="5"/>
  <c r="V1243" i="5"/>
  <c r="V1244" i="5"/>
  <c r="V1245" i="5"/>
  <c r="V1246" i="5"/>
  <c r="V1247" i="5"/>
  <c r="V1248" i="5"/>
  <c r="V1249" i="5"/>
  <c r="V1250" i="5"/>
  <c r="V1251" i="5"/>
  <c r="V1252" i="5"/>
  <c r="V1253" i="5"/>
  <c r="V1254" i="5"/>
  <c r="V1255" i="5"/>
  <c r="V1256" i="5"/>
  <c r="V1257" i="5"/>
  <c r="V1258" i="5"/>
  <c r="V1259" i="5"/>
  <c r="V1260" i="5"/>
  <c r="V1261" i="5"/>
  <c r="V1262" i="5"/>
  <c r="V1263" i="5"/>
  <c r="V1264" i="5"/>
  <c r="V1265" i="5"/>
  <c r="V1266" i="5"/>
  <c r="V1267" i="5"/>
  <c r="V1268" i="5"/>
  <c r="V1269" i="5"/>
  <c r="V1270" i="5"/>
  <c r="V1271" i="5"/>
  <c r="V1272" i="5"/>
  <c r="V1273" i="5"/>
  <c r="V1274" i="5"/>
  <c r="V1275" i="5"/>
  <c r="V1276" i="5"/>
  <c r="V1277" i="5"/>
  <c r="V1278" i="5"/>
  <c r="V1279" i="5"/>
  <c r="V1280" i="5"/>
  <c r="V1281" i="5"/>
  <c r="V1282" i="5"/>
  <c r="V1283" i="5"/>
  <c r="V1284" i="5"/>
  <c r="V1285" i="5"/>
  <c r="V1286" i="5"/>
  <c r="V1287" i="5"/>
  <c r="V1288" i="5"/>
  <c r="V1289" i="5"/>
  <c r="V1290" i="5"/>
  <c r="V1291" i="5"/>
  <c r="V1292" i="5"/>
  <c r="V1293" i="5"/>
  <c r="V1294" i="5"/>
  <c r="V1295" i="5"/>
  <c r="V1296" i="5"/>
  <c r="V1297" i="5"/>
  <c r="V1298" i="5"/>
  <c r="V1299" i="5"/>
  <c r="V1300" i="5"/>
  <c r="V1301" i="5"/>
  <c r="U2" i="5"/>
  <c r="U3" i="5"/>
  <c r="U4" i="5"/>
  <c r="U5" i="5"/>
  <c r="U6" i="5"/>
  <c r="U7" i="5"/>
  <c r="U8" i="5"/>
  <c r="U9" i="5"/>
  <c r="U10" i="5"/>
  <c r="U11" i="5"/>
  <c r="U12" i="5"/>
  <c r="U13" i="5"/>
  <c r="U14" i="5"/>
  <c r="U15" i="5"/>
  <c r="U16" i="5"/>
  <c r="U17" i="5"/>
  <c r="U18" i="5"/>
  <c r="U19" i="5"/>
  <c r="U20" i="5"/>
  <c r="U21" i="5"/>
  <c r="U22" i="5"/>
  <c r="U23" i="5"/>
  <c r="U24" i="5"/>
  <c r="U25" i="5"/>
  <c r="U26" i="5"/>
  <c r="U27" i="5"/>
  <c r="U28" i="5"/>
  <c r="U29" i="5"/>
  <c r="U30" i="5"/>
  <c r="U31" i="5"/>
  <c r="U32" i="5"/>
  <c r="U33" i="5"/>
  <c r="U34" i="5"/>
  <c r="U35" i="5"/>
  <c r="U36" i="5"/>
  <c r="U37" i="5"/>
  <c r="U38" i="5"/>
  <c r="U39" i="5"/>
  <c r="U40" i="5"/>
  <c r="U54" i="5"/>
  <c r="U55" i="5"/>
  <c r="U56" i="5"/>
  <c r="U57" i="5"/>
  <c r="U58" i="5"/>
  <c r="U59" i="5"/>
  <c r="U60" i="5"/>
  <c r="U61" i="5"/>
  <c r="U62" i="5"/>
  <c r="U63" i="5"/>
  <c r="U64" i="5"/>
  <c r="U65" i="5"/>
  <c r="U66" i="5"/>
  <c r="U67" i="5"/>
  <c r="U68" i="5"/>
  <c r="U69" i="5"/>
  <c r="U70" i="5"/>
  <c r="U71" i="5"/>
  <c r="U72" i="5"/>
  <c r="U73" i="5"/>
  <c r="U74" i="5"/>
  <c r="U75" i="5"/>
  <c r="U76" i="5"/>
  <c r="U77" i="5"/>
  <c r="U78" i="5"/>
  <c r="U79" i="5"/>
  <c r="U93" i="5"/>
  <c r="U94" i="5"/>
  <c r="U95" i="5"/>
  <c r="U96" i="5"/>
  <c r="U97" i="5"/>
  <c r="U98" i="5"/>
  <c r="U99" i="5"/>
  <c r="U100" i="5"/>
  <c r="U101" i="5"/>
  <c r="U102" i="5"/>
  <c r="U103" i="5"/>
  <c r="U104" i="5"/>
  <c r="U105" i="5"/>
  <c r="U106" i="5"/>
  <c r="U107" i="5"/>
  <c r="U108" i="5"/>
  <c r="U109" i="5"/>
  <c r="U110" i="5"/>
  <c r="U111" i="5"/>
  <c r="U112" i="5"/>
  <c r="U113" i="5"/>
  <c r="U114" i="5"/>
  <c r="U115" i="5"/>
  <c r="U116" i="5"/>
  <c r="U117" i="5"/>
  <c r="U118" i="5"/>
  <c r="U119" i="5"/>
  <c r="U120" i="5"/>
  <c r="U121" i="5"/>
  <c r="U122" i="5"/>
  <c r="U123" i="5"/>
  <c r="U124" i="5"/>
  <c r="U125" i="5"/>
  <c r="U126" i="5"/>
  <c r="U127" i="5"/>
  <c r="U128" i="5"/>
  <c r="U129" i="5"/>
  <c r="U130" i="5"/>
  <c r="U131" i="5"/>
  <c r="U132" i="5"/>
  <c r="U133" i="5"/>
  <c r="U134" i="5"/>
  <c r="U135" i="5"/>
  <c r="U136" i="5"/>
  <c r="U137" i="5"/>
  <c r="U138" i="5"/>
  <c r="U139" i="5"/>
  <c r="U140" i="5"/>
  <c r="U141" i="5"/>
  <c r="U142" i="5"/>
  <c r="U143" i="5"/>
  <c r="U144" i="5"/>
  <c r="U158" i="5"/>
  <c r="U159" i="5"/>
  <c r="U160" i="5"/>
  <c r="U161" i="5"/>
  <c r="U162" i="5"/>
  <c r="U163" i="5"/>
  <c r="U164" i="5"/>
  <c r="U165" i="5"/>
  <c r="U166" i="5"/>
  <c r="U167" i="5"/>
  <c r="U168" i="5"/>
  <c r="U169" i="5"/>
  <c r="U170" i="5"/>
  <c r="U171" i="5"/>
  <c r="U172" i="5"/>
  <c r="U173" i="5"/>
  <c r="U174" i="5"/>
  <c r="U175" i="5"/>
  <c r="U176" i="5"/>
  <c r="U177" i="5"/>
  <c r="U178" i="5"/>
  <c r="U179" i="5"/>
  <c r="U180" i="5"/>
  <c r="U181" i="5"/>
  <c r="U182" i="5"/>
  <c r="U183" i="5"/>
  <c r="U184" i="5"/>
  <c r="U185" i="5"/>
  <c r="U186" i="5"/>
  <c r="U187" i="5"/>
  <c r="U188" i="5"/>
  <c r="U189" i="5"/>
  <c r="U190" i="5"/>
  <c r="U191" i="5"/>
  <c r="U192" i="5"/>
  <c r="U193" i="5"/>
  <c r="U194" i="5"/>
  <c r="U195" i="5"/>
  <c r="U196" i="5"/>
  <c r="U210" i="5"/>
  <c r="U211" i="5"/>
  <c r="U212" i="5"/>
  <c r="U213" i="5"/>
  <c r="U214" i="5"/>
  <c r="U215" i="5"/>
  <c r="U216" i="5"/>
  <c r="U217" i="5"/>
  <c r="U218" i="5"/>
  <c r="U219" i="5"/>
  <c r="U220" i="5"/>
  <c r="U221" i="5"/>
  <c r="U222" i="5"/>
  <c r="U223" i="5"/>
  <c r="U224" i="5"/>
  <c r="U225" i="5"/>
  <c r="U226" i="5"/>
  <c r="U227" i="5"/>
  <c r="U228" i="5"/>
  <c r="U229" i="5"/>
  <c r="U230" i="5"/>
  <c r="U231" i="5"/>
  <c r="U232" i="5"/>
  <c r="U233" i="5"/>
  <c r="U234" i="5"/>
  <c r="U235" i="5"/>
  <c r="U236" i="5"/>
  <c r="U237" i="5"/>
  <c r="U238" i="5"/>
  <c r="U239" i="5"/>
  <c r="U240" i="5"/>
  <c r="U241" i="5"/>
  <c r="U242" i="5"/>
  <c r="U243" i="5"/>
  <c r="U244" i="5"/>
  <c r="U245" i="5"/>
  <c r="U246" i="5"/>
  <c r="U247" i="5"/>
  <c r="U248" i="5"/>
  <c r="U249" i="5"/>
  <c r="U250" i="5"/>
  <c r="U251" i="5"/>
  <c r="U252" i="5"/>
  <c r="U253" i="5"/>
  <c r="U254" i="5"/>
  <c r="U255" i="5"/>
  <c r="U256" i="5"/>
  <c r="U257" i="5"/>
  <c r="U258" i="5"/>
  <c r="U259" i="5"/>
  <c r="U260" i="5"/>
  <c r="U261" i="5"/>
  <c r="U262" i="5"/>
  <c r="U263" i="5"/>
  <c r="U264" i="5"/>
  <c r="U265" i="5"/>
  <c r="U266" i="5"/>
  <c r="U267" i="5"/>
  <c r="U268" i="5"/>
  <c r="U269" i="5"/>
  <c r="U270" i="5"/>
  <c r="U271" i="5"/>
  <c r="U272" i="5"/>
  <c r="U273" i="5"/>
  <c r="U274" i="5"/>
  <c r="U275" i="5"/>
  <c r="U276" i="5"/>
  <c r="U277" i="5"/>
  <c r="U278" i="5"/>
  <c r="U279" i="5"/>
  <c r="U280" i="5"/>
  <c r="U281" i="5"/>
  <c r="U282" i="5"/>
  <c r="U283" i="5"/>
  <c r="U284" i="5"/>
  <c r="U285" i="5"/>
  <c r="U286" i="5"/>
  <c r="U287" i="5"/>
  <c r="U288" i="5"/>
  <c r="U289" i="5"/>
  <c r="U290" i="5"/>
  <c r="U291" i="5"/>
  <c r="U292" i="5"/>
  <c r="U293" i="5"/>
  <c r="U294" i="5"/>
  <c r="U295" i="5"/>
  <c r="U296" i="5"/>
  <c r="U297" i="5"/>
  <c r="U298" i="5"/>
  <c r="U299" i="5"/>
  <c r="U300" i="5"/>
  <c r="U301" i="5"/>
  <c r="U302" i="5"/>
  <c r="U303" i="5"/>
  <c r="U304" i="5"/>
  <c r="U305" i="5"/>
  <c r="U306" i="5"/>
  <c r="U307" i="5"/>
  <c r="U308" i="5"/>
  <c r="U309" i="5"/>
  <c r="U310" i="5"/>
  <c r="U311" i="5"/>
  <c r="U312" i="5"/>
  <c r="U313" i="5"/>
  <c r="U314" i="5"/>
  <c r="U315" i="5"/>
  <c r="U316" i="5"/>
  <c r="U317" i="5"/>
  <c r="U318" i="5"/>
  <c r="U319" i="5"/>
  <c r="U320" i="5"/>
  <c r="U321" i="5"/>
  <c r="U322" i="5"/>
  <c r="U323" i="5"/>
  <c r="U324" i="5"/>
  <c r="U325" i="5"/>
  <c r="U326" i="5"/>
  <c r="U327" i="5"/>
  <c r="U328" i="5"/>
  <c r="U329" i="5"/>
  <c r="U330" i="5"/>
  <c r="U331" i="5"/>
  <c r="U332" i="5"/>
  <c r="U333" i="5"/>
  <c r="U334" i="5"/>
  <c r="U335" i="5"/>
  <c r="U336" i="5"/>
  <c r="U337" i="5"/>
  <c r="U338" i="5"/>
  <c r="U339" i="5"/>
  <c r="U340" i="5"/>
  <c r="U341" i="5"/>
  <c r="U342" i="5"/>
  <c r="U343" i="5"/>
  <c r="U344" i="5"/>
  <c r="U345" i="5"/>
  <c r="U346" i="5"/>
  <c r="U347" i="5"/>
  <c r="U348" i="5"/>
  <c r="U349" i="5"/>
  <c r="U350" i="5"/>
  <c r="U351" i="5"/>
  <c r="U352" i="5"/>
  <c r="U353" i="5"/>
  <c r="U354" i="5"/>
  <c r="U355" i="5"/>
  <c r="U356" i="5"/>
  <c r="U357" i="5"/>
  <c r="U358" i="5"/>
  <c r="U359" i="5"/>
  <c r="U360" i="5"/>
  <c r="U361" i="5"/>
  <c r="U362" i="5"/>
  <c r="U363" i="5"/>
  <c r="U364" i="5"/>
  <c r="U365" i="5"/>
  <c r="U366" i="5"/>
  <c r="U367" i="5"/>
  <c r="U368" i="5"/>
  <c r="U369" i="5"/>
  <c r="U370" i="5"/>
  <c r="U371" i="5"/>
  <c r="U372" i="5"/>
  <c r="U373" i="5"/>
  <c r="U374" i="5"/>
  <c r="U375" i="5"/>
  <c r="U376" i="5"/>
  <c r="U377" i="5"/>
  <c r="U378" i="5"/>
  <c r="U379" i="5"/>
  <c r="U380" i="5"/>
  <c r="U381" i="5"/>
  <c r="U382" i="5"/>
  <c r="U383" i="5"/>
  <c r="U384" i="5"/>
  <c r="U385" i="5"/>
  <c r="U386" i="5"/>
  <c r="U387" i="5"/>
  <c r="U388" i="5"/>
  <c r="U389" i="5"/>
  <c r="U390" i="5"/>
  <c r="U391" i="5"/>
  <c r="U392" i="5"/>
  <c r="U393" i="5"/>
  <c r="U394" i="5"/>
  <c r="U395" i="5"/>
  <c r="U396" i="5"/>
  <c r="U397" i="5"/>
  <c r="U398" i="5"/>
  <c r="U399" i="5"/>
  <c r="U400" i="5"/>
  <c r="U401" i="5"/>
  <c r="U402" i="5"/>
  <c r="U403" i="5"/>
  <c r="U404" i="5"/>
  <c r="U405" i="5"/>
  <c r="U406" i="5"/>
  <c r="U407" i="5"/>
  <c r="U408" i="5"/>
  <c r="U409" i="5"/>
  <c r="U410" i="5"/>
  <c r="U411" i="5"/>
  <c r="U412" i="5"/>
  <c r="U413" i="5"/>
  <c r="U414" i="5"/>
  <c r="U415" i="5"/>
  <c r="U416" i="5"/>
  <c r="U417" i="5"/>
  <c r="U418" i="5"/>
  <c r="U419" i="5"/>
  <c r="U420" i="5"/>
  <c r="U421" i="5"/>
  <c r="U422" i="5"/>
  <c r="U423" i="5"/>
  <c r="U424" i="5"/>
  <c r="U425" i="5"/>
  <c r="U426" i="5"/>
  <c r="U427" i="5"/>
  <c r="U428" i="5"/>
  <c r="U429" i="5"/>
  <c r="U430" i="5"/>
  <c r="U431" i="5"/>
  <c r="U432" i="5"/>
  <c r="U433" i="5"/>
  <c r="U434" i="5"/>
  <c r="U435" i="5"/>
  <c r="U436" i="5"/>
  <c r="U437" i="5"/>
  <c r="U438" i="5"/>
  <c r="U439" i="5"/>
  <c r="U440" i="5"/>
  <c r="U441" i="5"/>
  <c r="U442" i="5"/>
  <c r="U443" i="5"/>
  <c r="U444" i="5"/>
  <c r="U445" i="5"/>
  <c r="U446" i="5"/>
  <c r="U447" i="5"/>
  <c r="U448" i="5"/>
  <c r="U449" i="5"/>
  <c r="U450" i="5"/>
  <c r="U451" i="5"/>
  <c r="U452" i="5"/>
  <c r="U453" i="5"/>
  <c r="U454" i="5"/>
  <c r="U455" i="5"/>
  <c r="U456" i="5"/>
  <c r="U457" i="5"/>
  <c r="U458" i="5"/>
  <c r="U459" i="5"/>
  <c r="U460" i="5"/>
  <c r="U461" i="5"/>
  <c r="U462" i="5"/>
  <c r="U463" i="5"/>
  <c r="U464" i="5"/>
  <c r="U465" i="5"/>
  <c r="U466" i="5"/>
  <c r="U467" i="5"/>
  <c r="U468" i="5"/>
  <c r="U469" i="5"/>
  <c r="U470" i="5"/>
  <c r="U471" i="5"/>
  <c r="U472" i="5"/>
  <c r="U473" i="5"/>
  <c r="U474" i="5"/>
  <c r="U475" i="5"/>
  <c r="U476" i="5"/>
  <c r="U477" i="5"/>
  <c r="U478" i="5"/>
  <c r="U479" i="5"/>
  <c r="U480" i="5"/>
  <c r="U481" i="5"/>
  <c r="U482" i="5"/>
  <c r="U483" i="5"/>
  <c r="U484" i="5"/>
  <c r="U485" i="5"/>
  <c r="U486" i="5"/>
  <c r="U487" i="5"/>
  <c r="U488" i="5"/>
  <c r="U489" i="5"/>
  <c r="U490" i="5"/>
  <c r="U491" i="5"/>
  <c r="U492" i="5"/>
  <c r="U493" i="5"/>
  <c r="U494" i="5"/>
  <c r="U495" i="5"/>
  <c r="U496" i="5"/>
  <c r="U497" i="5"/>
  <c r="U498" i="5"/>
  <c r="U499" i="5"/>
  <c r="U500" i="5"/>
  <c r="U501" i="5"/>
  <c r="U502" i="5"/>
  <c r="U503" i="5"/>
  <c r="U504" i="5"/>
  <c r="U505" i="5"/>
  <c r="U506" i="5"/>
  <c r="U507" i="5"/>
  <c r="U508" i="5"/>
  <c r="U509" i="5"/>
  <c r="U510" i="5"/>
  <c r="U511" i="5"/>
  <c r="U512" i="5"/>
  <c r="U513" i="5"/>
  <c r="U514" i="5"/>
  <c r="U515" i="5"/>
  <c r="U516" i="5"/>
  <c r="U517" i="5"/>
  <c r="U518" i="5"/>
  <c r="U519" i="5"/>
  <c r="U520" i="5"/>
  <c r="U521" i="5"/>
  <c r="U522" i="5"/>
  <c r="U523" i="5"/>
  <c r="U524" i="5"/>
  <c r="U525" i="5"/>
  <c r="U526" i="5"/>
  <c r="U527" i="5"/>
  <c r="U528" i="5"/>
  <c r="U529" i="5"/>
  <c r="U530" i="5"/>
  <c r="U531" i="5"/>
  <c r="U532" i="5"/>
  <c r="U533" i="5"/>
  <c r="U534" i="5"/>
  <c r="U535" i="5"/>
  <c r="U536" i="5"/>
  <c r="U537" i="5"/>
  <c r="U538" i="5"/>
  <c r="U539" i="5"/>
  <c r="U540" i="5"/>
  <c r="U541" i="5"/>
  <c r="U542" i="5"/>
  <c r="U543" i="5"/>
  <c r="U544" i="5"/>
  <c r="U545" i="5"/>
  <c r="U546" i="5"/>
  <c r="U547" i="5"/>
  <c r="U548" i="5"/>
  <c r="U549" i="5"/>
  <c r="U550" i="5"/>
  <c r="U551" i="5"/>
  <c r="U552" i="5"/>
  <c r="U553" i="5"/>
  <c r="U554" i="5"/>
  <c r="U555" i="5"/>
  <c r="U556" i="5"/>
  <c r="U557" i="5"/>
  <c r="U558" i="5"/>
  <c r="U559" i="5"/>
  <c r="U560" i="5"/>
  <c r="U561" i="5"/>
  <c r="U562" i="5"/>
  <c r="U563" i="5"/>
  <c r="U564" i="5"/>
  <c r="U565" i="5"/>
  <c r="U566" i="5"/>
  <c r="U567" i="5"/>
  <c r="U568" i="5"/>
  <c r="U569" i="5"/>
  <c r="U570" i="5"/>
  <c r="U571" i="5"/>
  <c r="U572" i="5"/>
  <c r="U573" i="5"/>
  <c r="U574" i="5"/>
  <c r="U575" i="5"/>
  <c r="U576" i="5"/>
  <c r="U577" i="5"/>
  <c r="U578" i="5"/>
  <c r="U579" i="5"/>
  <c r="U580" i="5"/>
  <c r="U581" i="5"/>
  <c r="U582" i="5"/>
  <c r="U583" i="5"/>
  <c r="U584" i="5"/>
  <c r="U585" i="5"/>
  <c r="U586" i="5"/>
  <c r="U587" i="5"/>
  <c r="U588" i="5"/>
  <c r="U589" i="5"/>
  <c r="U590" i="5"/>
  <c r="U591" i="5"/>
  <c r="U592" i="5"/>
  <c r="U593" i="5"/>
  <c r="U594" i="5"/>
  <c r="U595" i="5"/>
  <c r="U596" i="5"/>
  <c r="U597" i="5"/>
  <c r="U598" i="5"/>
  <c r="U599" i="5"/>
  <c r="U600" i="5"/>
  <c r="U601" i="5"/>
  <c r="U602" i="5"/>
  <c r="U603" i="5"/>
  <c r="U604" i="5"/>
  <c r="U605" i="5"/>
  <c r="U606" i="5"/>
  <c r="U607" i="5"/>
  <c r="U608" i="5"/>
  <c r="U609" i="5"/>
  <c r="U610" i="5"/>
  <c r="U611" i="5"/>
  <c r="U612" i="5"/>
  <c r="U613" i="5"/>
  <c r="U614" i="5"/>
  <c r="U615" i="5"/>
  <c r="U616" i="5"/>
  <c r="U617" i="5"/>
  <c r="U618" i="5"/>
  <c r="U619" i="5"/>
  <c r="U620" i="5"/>
  <c r="U621" i="5"/>
  <c r="U622" i="5"/>
  <c r="U623" i="5"/>
  <c r="U624" i="5"/>
  <c r="U625" i="5"/>
  <c r="U626" i="5"/>
  <c r="U627" i="5"/>
  <c r="U628" i="5"/>
  <c r="U629" i="5"/>
  <c r="U630" i="5"/>
  <c r="U631" i="5"/>
  <c r="U632" i="5"/>
  <c r="U633" i="5"/>
  <c r="U634" i="5"/>
  <c r="U635" i="5"/>
  <c r="U636" i="5"/>
  <c r="U637" i="5"/>
  <c r="U638" i="5"/>
  <c r="U639" i="5"/>
  <c r="U640" i="5"/>
  <c r="U641" i="5"/>
  <c r="U642" i="5"/>
  <c r="U643" i="5"/>
  <c r="U644" i="5"/>
  <c r="U645" i="5"/>
  <c r="U646" i="5"/>
  <c r="U647" i="5"/>
  <c r="U648" i="5"/>
  <c r="U649" i="5"/>
  <c r="U650" i="5"/>
  <c r="U651" i="5"/>
  <c r="U652" i="5"/>
  <c r="U653" i="5"/>
  <c r="U654" i="5"/>
  <c r="U655" i="5"/>
  <c r="U656" i="5"/>
  <c r="U657" i="5"/>
  <c r="U658" i="5"/>
  <c r="U659" i="5"/>
  <c r="U660" i="5"/>
  <c r="U661" i="5"/>
  <c r="U662" i="5"/>
  <c r="U663" i="5"/>
  <c r="U664" i="5"/>
  <c r="U665" i="5"/>
  <c r="U666" i="5"/>
  <c r="U667" i="5"/>
  <c r="U668" i="5"/>
  <c r="U669" i="5"/>
  <c r="U670" i="5"/>
  <c r="U671" i="5"/>
  <c r="U672" i="5"/>
  <c r="U673" i="5"/>
  <c r="U674" i="5"/>
  <c r="U675" i="5"/>
  <c r="U676" i="5"/>
  <c r="U677" i="5"/>
  <c r="U678" i="5"/>
  <c r="U679" i="5"/>
  <c r="U680" i="5"/>
  <c r="U681" i="5"/>
  <c r="U682" i="5"/>
  <c r="U683" i="5"/>
  <c r="U684" i="5"/>
  <c r="U685" i="5"/>
  <c r="U686" i="5"/>
  <c r="U687" i="5"/>
  <c r="U688" i="5"/>
  <c r="U689" i="5"/>
  <c r="U690" i="5"/>
  <c r="U691" i="5"/>
  <c r="U692" i="5"/>
  <c r="U693" i="5"/>
  <c r="U694" i="5"/>
  <c r="U695" i="5"/>
  <c r="U696" i="5"/>
  <c r="U697" i="5"/>
  <c r="U698" i="5"/>
  <c r="U699" i="5"/>
  <c r="U700" i="5"/>
  <c r="U701" i="5"/>
  <c r="U702" i="5"/>
  <c r="U703" i="5"/>
  <c r="U704" i="5"/>
  <c r="U705" i="5"/>
  <c r="U706" i="5"/>
  <c r="U707" i="5"/>
  <c r="U708" i="5"/>
  <c r="U709" i="5"/>
  <c r="U710" i="5"/>
  <c r="U711" i="5"/>
  <c r="U712" i="5"/>
  <c r="U713" i="5"/>
  <c r="U714" i="5"/>
  <c r="U715" i="5"/>
  <c r="U716" i="5"/>
  <c r="U717" i="5"/>
  <c r="U718" i="5"/>
  <c r="U719" i="5"/>
  <c r="U720" i="5"/>
  <c r="U721" i="5"/>
  <c r="U722" i="5"/>
  <c r="U723" i="5"/>
  <c r="U724" i="5"/>
  <c r="U725" i="5"/>
  <c r="U726" i="5"/>
  <c r="U727" i="5"/>
  <c r="U728" i="5"/>
  <c r="U729" i="5"/>
  <c r="U730" i="5"/>
  <c r="U731" i="5"/>
  <c r="U732" i="5"/>
  <c r="U733" i="5"/>
  <c r="U734" i="5"/>
  <c r="U735" i="5"/>
  <c r="U736" i="5"/>
  <c r="U737" i="5"/>
  <c r="U738" i="5"/>
  <c r="U739" i="5"/>
  <c r="U740" i="5"/>
  <c r="U741" i="5"/>
  <c r="U742" i="5"/>
  <c r="U743" i="5"/>
  <c r="U744" i="5"/>
  <c r="U745" i="5"/>
  <c r="U746" i="5"/>
  <c r="U747" i="5"/>
  <c r="U748" i="5"/>
  <c r="U749" i="5"/>
  <c r="U750" i="5"/>
  <c r="U751" i="5"/>
  <c r="U752" i="5"/>
  <c r="U753" i="5"/>
  <c r="U754" i="5"/>
  <c r="U755" i="5"/>
  <c r="U756" i="5"/>
  <c r="U757" i="5"/>
  <c r="U758" i="5"/>
  <c r="U759" i="5"/>
  <c r="U760" i="5"/>
  <c r="U761" i="5"/>
  <c r="U762" i="5"/>
  <c r="U763" i="5"/>
  <c r="U764" i="5"/>
  <c r="U765" i="5"/>
  <c r="U766" i="5"/>
  <c r="U767" i="5"/>
  <c r="U768" i="5"/>
  <c r="U769" i="5"/>
  <c r="U770" i="5"/>
  <c r="U771" i="5"/>
  <c r="U772" i="5"/>
  <c r="U773" i="5"/>
  <c r="U774" i="5"/>
  <c r="U775" i="5"/>
  <c r="U776" i="5"/>
  <c r="U777" i="5"/>
  <c r="U778" i="5"/>
  <c r="U779" i="5"/>
  <c r="U780" i="5"/>
  <c r="U781" i="5"/>
  <c r="U782" i="5"/>
  <c r="U783" i="5"/>
  <c r="U784" i="5"/>
  <c r="U785" i="5"/>
  <c r="U786" i="5"/>
  <c r="U787" i="5"/>
  <c r="U788" i="5"/>
  <c r="U789" i="5"/>
  <c r="U790" i="5"/>
  <c r="U791" i="5"/>
  <c r="U792" i="5"/>
  <c r="U793" i="5"/>
  <c r="U794" i="5"/>
  <c r="U795" i="5"/>
  <c r="U796" i="5"/>
  <c r="U797" i="5"/>
  <c r="U798" i="5"/>
  <c r="U799" i="5"/>
  <c r="U800" i="5"/>
  <c r="U801" i="5"/>
  <c r="U802" i="5"/>
  <c r="U803" i="5"/>
  <c r="U804" i="5"/>
  <c r="U805" i="5"/>
  <c r="U806" i="5"/>
  <c r="U807" i="5"/>
  <c r="U808" i="5"/>
  <c r="U809" i="5"/>
  <c r="U810" i="5"/>
  <c r="U811" i="5"/>
  <c r="U812" i="5"/>
  <c r="U813" i="5"/>
  <c r="U814" i="5"/>
  <c r="U815" i="5"/>
  <c r="U816" i="5"/>
  <c r="U817" i="5"/>
  <c r="U818" i="5"/>
  <c r="U819" i="5"/>
  <c r="U820" i="5"/>
  <c r="U821" i="5"/>
  <c r="U822" i="5"/>
  <c r="U823" i="5"/>
  <c r="U824" i="5"/>
  <c r="U825" i="5"/>
  <c r="U826" i="5"/>
  <c r="U827" i="5"/>
  <c r="U828" i="5"/>
  <c r="U829" i="5"/>
  <c r="U830" i="5"/>
  <c r="U831" i="5"/>
  <c r="U832" i="5"/>
  <c r="U833" i="5"/>
  <c r="U834" i="5"/>
  <c r="U835" i="5"/>
  <c r="U836" i="5"/>
  <c r="U837" i="5"/>
  <c r="U838" i="5"/>
  <c r="U839" i="5"/>
  <c r="U840" i="5"/>
  <c r="U841" i="5"/>
  <c r="U842" i="5"/>
  <c r="U843" i="5"/>
  <c r="U844" i="5"/>
  <c r="U845" i="5"/>
  <c r="U846" i="5"/>
  <c r="U847" i="5"/>
  <c r="U848" i="5"/>
  <c r="U849" i="5"/>
  <c r="U850" i="5"/>
  <c r="U851" i="5"/>
  <c r="U852" i="5"/>
  <c r="U853" i="5"/>
  <c r="U854" i="5"/>
  <c r="U855" i="5"/>
  <c r="U856" i="5"/>
  <c r="U857" i="5"/>
  <c r="U858" i="5"/>
  <c r="U859" i="5"/>
  <c r="U860" i="5"/>
  <c r="U861" i="5"/>
  <c r="U862" i="5"/>
  <c r="U863" i="5"/>
  <c r="U864" i="5"/>
  <c r="U865" i="5"/>
  <c r="U866" i="5"/>
  <c r="U867" i="5"/>
  <c r="U868" i="5"/>
  <c r="U869" i="5"/>
  <c r="U870" i="5"/>
  <c r="U871" i="5"/>
  <c r="U872" i="5"/>
  <c r="U873" i="5"/>
  <c r="U874" i="5"/>
  <c r="U875" i="5"/>
  <c r="U876" i="5"/>
  <c r="U877" i="5"/>
  <c r="U878" i="5"/>
  <c r="U879" i="5"/>
  <c r="U880" i="5"/>
  <c r="U881" i="5"/>
  <c r="U882" i="5"/>
  <c r="U883" i="5"/>
  <c r="U884" i="5"/>
  <c r="U885" i="5"/>
  <c r="U886" i="5"/>
  <c r="U887" i="5"/>
  <c r="U888" i="5"/>
  <c r="U889" i="5"/>
  <c r="U890" i="5"/>
  <c r="U891" i="5"/>
  <c r="U892" i="5"/>
  <c r="U893" i="5"/>
  <c r="U894" i="5"/>
  <c r="U895" i="5"/>
  <c r="U896" i="5"/>
  <c r="U897" i="5"/>
  <c r="U898" i="5"/>
  <c r="U899" i="5"/>
  <c r="U900" i="5"/>
  <c r="U901" i="5"/>
  <c r="U902" i="5"/>
  <c r="U903" i="5"/>
  <c r="U904" i="5"/>
  <c r="U905" i="5"/>
  <c r="U906" i="5"/>
  <c r="U907" i="5"/>
  <c r="U908" i="5"/>
  <c r="U909" i="5"/>
  <c r="U910" i="5"/>
  <c r="U911" i="5"/>
  <c r="U912" i="5"/>
  <c r="U913" i="5"/>
  <c r="U914" i="5"/>
  <c r="U915" i="5"/>
  <c r="U916" i="5"/>
  <c r="U917" i="5"/>
  <c r="U918" i="5"/>
  <c r="U919" i="5"/>
  <c r="U920" i="5"/>
  <c r="U921" i="5"/>
  <c r="U922" i="5"/>
  <c r="U923" i="5"/>
  <c r="U924" i="5"/>
  <c r="U925" i="5"/>
  <c r="U926" i="5"/>
  <c r="U927" i="5"/>
  <c r="U928" i="5"/>
  <c r="U929" i="5"/>
  <c r="U930" i="5"/>
  <c r="U931" i="5"/>
  <c r="U932" i="5"/>
  <c r="U933" i="5"/>
  <c r="U934" i="5"/>
  <c r="U935" i="5"/>
  <c r="U936" i="5"/>
  <c r="U937" i="5"/>
  <c r="U938" i="5"/>
  <c r="U939" i="5"/>
  <c r="U940" i="5"/>
  <c r="U941" i="5"/>
  <c r="U942" i="5"/>
  <c r="U943" i="5"/>
  <c r="U944" i="5"/>
  <c r="U945" i="5"/>
  <c r="U946" i="5"/>
  <c r="U947" i="5"/>
  <c r="U948" i="5"/>
  <c r="U949" i="5"/>
  <c r="U950" i="5"/>
  <c r="U951" i="5"/>
  <c r="U952" i="5"/>
  <c r="U953" i="5"/>
  <c r="U954" i="5"/>
  <c r="U955" i="5"/>
  <c r="U956" i="5"/>
  <c r="U957" i="5"/>
  <c r="U958" i="5"/>
  <c r="U959" i="5"/>
  <c r="U960" i="5"/>
  <c r="U961" i="5"/>
  <c r="U962" i="5"/>
  <c r="U963" i="5"/>
  <c r="U964" i="5"/>
  <c r="U965" i="5"/>
  <c r="U966" i="5"/>
  <c r="U967" i="5"/>
  <c r="U968" i="5"/>
  <c r="U969" i="5"/>
  <c r="U970" i="5"/>
  <c r="U971" i="5"/>
  <c r="U972" i="5"/>
  <c r="U973" i="5"/>
  <c r="U974" i="5"/>
  <c r="U975" i="5"/>
  <c r="U976" i="5"/>
  <c r="U977" i="5"/>
  <c r="U978" i="5"/>
  <c r="U979" i="5"/>
  <c r="U980" i="5"/>
  <c r="U981" i="5"/>
  <c r="U982" i="5"/>
  <c r="U983" i="5"/>
  <c r="U984" i="5"/>
  <c r="U985" i="5"/>
  <c r="U986" i="5"/>
  <c r="U987" i="5"/>
  <c r="U988" i="5"/>
  <c r="U989" i="5"/>
  <c r="U990" i="5"/>
  <c r="U991" i="5"/>
  <c r="U992" i="5"/>
  <c r="U993" i="5"/>
  <c r="U994" i="5"/>
  <c r="U995" i="5"/>
  <c r="U996" i="5"/>
  <c r="U997" i="5"/>
  <c r="U998" i="5"/>
  <c r="U999" i="5"/>
  <c r="U1000" i="5"/>
  <c r="U1001" i="5"/>
  <c r="U1002" i="5"/>
  <c r="U1003" i="5"/>
  <c r="U1004" i="5"/>
  <c r="U1005" i="5"/>
  <c r="U1006" i="5"/>
  <c r="U1007" i="5"/>
  <c r="U1008" i="5"/>
  <c r="U1009" i="5"/>
  <c r="U1010" i="5"/>
  <c r="U1011" i="5"/>
  <c r="U1012" i="5"/>
  <c r="U1013" i="5"/>
  <c r="U1014" i="5"/>
  <c r="U1015" i="5"/>
  <c r="U1016" i="5"/>
  <c r="U1017" i="5"/>
  <c r="U1018" i="5"/>
  <c r="U1019" i="5"/>
  <c r="U1020" i="5"/>
  <c r="U1021" i="5"/>
  <c r="U1022" i="5"/>
  <c r="U1023" i="5"/>
  <c r="U1024" i="5"/>
  <c r="U1025" i="5"/>
  <c r="U1026" i="5"/>
  <c r="U1027" i="5"/>
  <c r="U1028" i="5"/>
  <c r="U1029" i="5"/>
  <c r="U1030" i="5"/>
  <c r="U1031" i="5"/>
  <c r="U1032" i="5"/>
  <c r="U1033" i="5"/>
  <c r="U1034" i="5"/>
  <c r="U1035" i="5"/>
  <c r="U1036" i="5"/>
  <c r="U1037" i="5"/>
  <c r="U1038" i="5"/>
  <c r="U1039" i="5"/>
  <c r="U1040" i="5"/>
  <c r="U1041" i="5"/>
  <c r="U1042" i="5"/>
  <c r="U1043" i="5"/>
  <c r="U1044" i="5"/>
  <c r="U1045" i="5"/>
  <c r="U1046" i="5"/>
  <c r="U1047" i="5"/>
  <c r="U1048" i="5"/>
  <c r="U1049" i="5"/>
  <c r="U1050" i="5"/>
  <c r="U1051" i="5"/>
  <c r="U1052" i="5"/>
  <c r="U1053" i="5"/>
  <c r="U1054" i="5"/>
  <c r="U1055" i="5"/>
  <c r="U1056" i="5"/>
  <c r="U1057" i="5"/>
  <c r="U1058" i="5"/>
  <c r="U1059" i="5"/>
  <c r="U1060" i="5"/>
  <c r="U1061" i="5"/>
  <c r="U1062" i="5"/>
  <c r="U1063" i="5"/>
  <c r="U1064" i="5"/>
  <c r="U1065" i="5"/>
  <c r="U1066" i="5"/>
  <c r="U1067" i="5"/>
  <c r="U1068" i="5"/>
  <c r="U1069" i="5"/>
  <c r="U1070" i="5"/>
  <c r="U1071" i="5"/>
  <c r="U1072" i="5"/>
  <c r="U1073" i="5"/>
  <c r="U1074" i="5"/>
  <c r="U1075" i="5"/>
  <c r="U1076" i="5"/>
  <c r="U1077" i="5"/>
  <c r="U1078" i="5"/>
  <c r="U1079" i="5"/>
  <c r="U1080" i="5"/>
  <c r="U1081" i="5"/>
  <c r="U1082" i="5"/>
  <c r="U1083" i="5"/>
  <c r="U1084" i="5"/>
  <c r="U1085" i="5"/>
  <c r="U1086" i="5"/>
  <c r="U1087" i="5"/>
  <c r="U1088" i="5"/>
  <c r="U1089" i="5"/>
  <c r="U1090" i="5"/>
  <c r="U1091" i="5"/>
  <c r="U1092" i="5"/>
  <c r="U1093" i="5"/>
  <c r="U1094" i="5"/>
  <c r="U1095" i="5"/>
  <c r="U1096" i="5"/>
  <c r="U1097" i="5"/>
  <c r="U1098" i="5"/>
  <c r="U1099" i="5"/>
  <c r="U1100" i="5"/>
  <c r="U1101" i="5"/>
  <c r="U1102" i="5"/>
  <c r="U1103" i="5"/>
  <c r="U1104" i="5"/>
  <c r="U1105" i="5"/>
  <c r="U1106" i="5"/>
  <c r="U1107" i="5"/>
  <c r="U1108" i="5"/>
  <c r="U1109" i="5"/>
  <c r="U1110" i="5"/>
  <c r="U1111" i="5"/>
  <c r="U1112" i="5"/>
  <c r="U1113" i="5"/>
  <c r="U1114" i="5"/>
  <c r="U1115" i="5"/>
  <c r="U1116" i="5"/>
  <c r="U1117" i="5"/>
  <c r="U1118" i="5"/>
  <c r="U1119" i="5"/>
  <c r="U1120" i="5"/>
  <c r="U1121" i="5"/>
  <c r="U1122" i="5"/>
  <c r="U1123" i="5"/>
  <c r="U1124" i="5"/>
  <c r="U1125" i="5"/>
  <c r="U1126" i="5"/>
  <c r="U1127" i="5"/>
  <c r="U1128" i="5"/>
  <c r="U1129" i="5"/>
  <c r="U1130" i="5"/>
  <c r="U1131" i="5"/>
  <c r="U1132" i="5"/>
  <c r="U1133" i="5"/>
  <c r="U1134" i="5"/>
  <c r="U1135" i="5"/>
  <c r="U1136" i="5"/>
  <c r="U1137" i="5"/>
  <c r="U1138" i="5"/>
  <c r="U1139" i="5"/>
  <c r="U1140" i="5"/>
  <c r="U1141" i="5"/>
  <c r="U1142" i="5"/>
  <c r="U1143" i="5"/>
  <c r="U1144" i="5"/>
  <c r="U1145" i="5"/>
  <c r="U1146" i="5"/>
  <c r="U1147" i="5"/>
  <c r="U1148" i="5"/>
  <c r="U1149" i="5"/>
  <c r="U1150" i="5"/>
  <c r="U1151" i="5"/>
  <c r="U1152" i="5"/>
  <c r="U1153" i="5"/>
  <c r="U1154" i="5"/>
  <c r="U1155" i="5"/>
  <c r="U1156" i="5"/>
  <c r="U1157" i="5"/>
  <c r="U1158" i="5"/>
  <c r="U1159" i="5"/>
  <c r="U1160" i="5"/>
  <c r="U1161" i="5"/>
  <c r="U1162" i="5"/>
  <c r="U1163" i="5"/>
  <c r="U1164" i="5"/>
  <c r="U1165" i="5"/>
  <c r="U1166" i="5"/>
  <c r="U1167" i="5"/>
  <c r="U1168" i="5"/>
  <c r="U1169" i="5"/>
  <c r="U1170" i="5"/>
  <c r="U1171" i="5"/>
  <c r="U1172" i="5"/>
  <c r="U1173" i="5"/>
  <c r="U1174" i="5"/>
  <c r="U1175" i="5"/>
  <c r="U1176" i="5"/>
  <c r="U1177" i="5"/>
  <c r="U1178" i="5"/>
  <c r="U1179" i="5"/>
  <c r="U1180" i="5"/>
  <c r="U1181" i="5"/>
  <c r="U1182" i="5"/>
  <c r="U1183" i="5"/>
  <c r="U1184" i="5"/>
  <c r="U1185" i="5"/>
  <c r="U1186" i="5"/>
  <c r="U1187" i="5"/>
  <c r="U1188" i="5"/>
  <c r="U1189" i="5"/>
  <c r="U1190" i="5"/>
  <c r="U1191" i="5"/>
  <c r="U1192" i="5"/>
  <c r="U1193" i="5"/>
  <c r="U1194" i="5"/>
  <c r="U1195" i="5"/>
  <c r="U1196" i="5"/>
  <c r="U1197" i="5"/>
  <c r="U1198" i="5"/>
  <c r="U1199" i="5"/>
  <c r="U1200" i="5"/>
  <c r="U1201" i="5"/>
  <c r="U1202" i="5"/>
  <c r="U1203" i="5"/>
  <c r="U1204" i="5"/>
  <c r="U1205" i="5"/>
  <c r="U1206" i="5"/>
  <c r="U1207" i="5"/>
  <c r="U1208" i="5"/>
  <c r="U1209" i="5"/>
  <c r="U1210" i="5"/>
  <c r="U1211" i="5"/>
  <c r="U1212" i="5"/>
  <c r="U1213" i="5"/>
  <c r="U1214" i="5"/>
  <c r="U1215" i="5"/>
  <c r="U1216" i="5"/>
  <c r="U1217" i="5"/>
  <c r="U1218" i="5"/>
  <c r="U1219" i="5"/>
  <c r="U1220" i="5"/>
  <c r="U1221" i="5"/>
  <c r="U1222" i="5"/>
  <c r="U1223" i="5"/>
  <c r="U1224" i="5"/>
  <c r="U1225" i="5"/>
  <c r="U1226" i="5"/>
  <c r="U1227" i="5"/>
  <c r="U1228" i="5"/>
  <c r="U1229" i="5"/>
  <c r="U1230" i="5"/>
  <c r="U1231" i="5"/>
  <c r="U1232" i="5"/>
  <c r="U1233" i="5"/>
  <c r="U1234" i="5"/>
  <c r="U1235" i="5"/>
  <c r="U1236" i="5"/>
  <c r="U1237" i="5"/>
  <c r="U1238" i="5"/>
  <c r="U1239" i="5"/>
  <c r="U1240" i="5"/>
  <c r="U1241" i="5"/>
  <c r="U1242" i="5"/>
  <c r="U1243" i="5"/>
  <c r="U1244" i="5"/>
  <c r="U1245" i="5"/>
  <c r="U1246" i="5"/>
  <c r="U1247" i="5"/>
  <c r="U1248" i="5"/>
  <c r="U1249" i="5"/>
  <c r="U1250" i="5"/>
  <c r="U1251" i="5"/>
  <c r="U1252" i="5"/>
  <c r="U1253" i="5"/>
  <c r="U1254" i="5"/>
  <c r="U1255" i="5"/>
  <c r="U1256" i="5"/>
  <c r="U1257" i="5"/>
  <c r="U1258" i="5"/>
  <c r="U1259" i="5"/>
  <c r="U1260" i="5"/>
  <c r="U1261" i="5"/>
  <c r="U1262" i="5"/>
  <c r="U1263" i="5"/>
  <c r="U1264" i="5"/>
  <c r="U1265" i="5"/>
  <c r="U1266" i="5"/>
  <c r="U1267" i="5"/>
  <c r="U1268" i="5"/>
  <c r="U1269" i="5"/>
  <c r="U1270" i="5"/>
  <c r="U1271" i="5"/>
  <c r="U1272" i="5"/>
  <c r="U1273" i="5"/>
  <c r="U1274" i="5"/>
  <c r="U1275" i="5"/>
  <c r="U1276" i="5"/>
  <c r="U1277" i="5"/>
  <c r="U1278" i="5"/>
  <c r="U1279" i="5"/>
  <c r="U1280" i="5"/>
  <c r="U1281" i="5"/>
  <c r="U1282" i="5"/>
  <c r="U1283" i="5"/>
  <c r="U1284" i="5"/>
  <c r="U1285" i="5"/>
  <c r="U1286" i="5"/>
  <c r="U1287" i="5"/>
  <c r="U1288" i="5"/>
  <c r="U1289" i="5"/>
  <c r="U1290" i="5"/>
  <c r="U1291" i="5"/>
  <c r="U1292" i="5"/>
  <c r="U1293" i="5"/>
  <c r="U1294" i="5"/>
  <c r="U1295" i="5"/>
  <c r="U1296" i="5"/>
  <c r="U1297" i="5"/>
  <c r="U1298" i="5"/>
  <c r="U1299" i="5"/>
  <c r="U1300" i="5"/>
  <c r="U1301" i="5"/>
  <c r="T2" i="5"/>
  <c r="X2" i="5" s="1"/>
  <c r="Y2" i="5" s="1"/>
  <c r="T3" i="5"/>
  <c r="X3" i="5" s="1"/>
  <c r="Y3" i="5" s="1"/>
  <c r="T4" i="5"/>
  <c r="T5" i="5"/>
  <c r="T6" i="5"/>
  <c r="X6" i="5" s="1"/>
  <c r="Y6" i="5" s="1"/>
  <c r="T7" i="5"/>
  <c r="T8" i="5"/>
  <c r="X8" i="5" s="1"/>
  <c r="Y8" i="5" s="1"/>
  <c r="T9" i="5"/>
  <c r="T10" i="5"/>
  <c r="T11" i="5"/>
  <c r="X11" i="5" s="1"/>
  <c r="Y11" i="5" s="1"/>
  <c r="T12" i="5"/>
  <c r="X12" i="5" s="1"/>
  <c r="Y12" i="5" s="1"/>
  <c r="T13" i="5"/>
  <c r="X13" i="5" s="1"/>
  <c r="Y13" i="5" s="1"/>
  <c r="T14" i="5"/>
  <c r="X14" i="5" s="1"/>
  <c r="T15" i="5"/>
  <c r="T16" i="5"/>
  <c r="X16" i="5" s="1"/>
  <c r="T17" i="5"/>
  <c r="X17" i="5" s="1"/>
  <c r="T18" i="5"/>
  <c r="X18" i="5" s="1"/>
  <c r="T19" i="5"/>
  <c r="T20" i="5"/>
  <c r="T21" i="5"/>
  <c r="T22" i="5"/>
  <c r="T23" i="5"/>
  <c r="T24" i="5"/>
  <c r="X24" i="5" s="1"/>
  <c r="Y24" i="5" s="1"/>
  <c r="T25" i="5"/>
  <c r="X25" i="5" s="1"/>
  <c r="T26" i="5"/>
  <c r="T27" i="5"/>
  <c r="X27" i="5" s="1"/>
  <c r="Y27" i="5" s="1"/>
  <c r="T28" i="5"/>
  <c r="T29" i="5"/>
  <c r="X29" i="5" s="1"/>
  <c r="Y29" i="5" s="1"/>
  <c r="T30" i="5"/>
  <c r="X30" i="5" s="1"/>
  <c r="T31" i="5"/>
  <c r="X31" i="5" s="1"/>
  <c r="T32" i="5"/>
  <c r="X32" i="5" s="1"/>
  <c r="T33" i="5"/>
  <c r="X33" i="5" s="1"/>
  <c r="Y33" i="5" s="1"/>
  <c r="T34" i="5"/>
  <c r="X34" i="5" s="1"/>
  <c r="Y34" i="5" s="1"/>
  <c r="T35" i="5"/>
  <c r="X35" i="5" s="1"/>
  <c r="Y35" i="5" s="1"/>
  <c r="T36" i="5"/>
  <c r="T37" i="5"/>
  <c r="T38" i="5"/>
  <c r="X38" i="5" s="1"/>
  <c r="Y38" i="5" s="1"/>
  <c r="T39" i="5"/>
  <c r="T40" i="5"/>
  <c r="T54" i="5"/>
  <c r="T55" i="5"/>
  <c r="X55" i="5" s="1"/>
  <c r="Y55" i="5" s="1"/>
  <c r="T56" i="5"/>
  <c r="X56" i="5" s="1"/>
  <c r="Y56" i="5" s="1"/>
  <c r="T57" i="5"/>
  <c r="X57" i="5" s="1"/>
  <c r="Y57" i="5" s="1"/>
  <c r="T58" i="5"/>
  <c r="X58" i="5" s="1"/>
  <c r="Y58" i="5" s="1"/>
  <c r="T59" i="5"/>
  <c r="X59" i="5" s="1"/>
  <c r="T60" i="5"/>
  <c r="X60" i="5" s="1"/>
  <c r="T61" i="5"/>
  <c r="X61" i="5" s="1"/>
  <c r="T62" i="5"/>
  <c r="X62" i="5" s="1"/>
  <c r="Y62" i="5" s="1"/>
  <c r="T63" i="5"/>
  <c r="X63" i="5" s="1"/>
  <c r="Y63" i="5" s="1"/>
  <c r="T64" i="5"/>
  <c r="T65" i="5"/>
  <c r="X65" i="5" s="1"/>
  <c r="Y65" i="5" s="1"/>
  <c r="T66" i="5"/>
  <c r="X66" i="5" s="1"/>
  <c r="Y66" i="5" s="1"/>
  <c r="T67" i="5"/>
  <c r="X67" i="5" s="1"/>
  <c r="Y67" i="5" s="1"/>
  <c r="T68" i="5"/>
  <c r="X68" i="5" s="1"/>
  <c r="Y68" i="5" s="1"/>
  <c r="T69" i="5"/>
  <c r="X69" i="5" s="1"/>
  <c r="T70" i="5"/>
  <c r="X70" i="5" s="1"/>
  <c r="T71" i="5"/>
  <c r="X71" i="5" s="1"/>
  <c r="T72" i="5"/>
  <c r="X72" i="5" s="1"/>
  <c r="Y72" i="5" s="1"/>
  <c r="T73" i="5"/>
  <c r="X73" i="5" s="1"/>
  <c r="Y73" i="5" s="1"/>
  <c r="T74" i="5"/>
  <c r="T75" i="5"/>
  <c r="X75" i="5" s="1"/>
  <c r="T76" i="5"/>
  <c r="X76" i="5" s="1"/>
  <c r="T77" i="5"/>
  <c r="X77" i="5" s="1"/>
  <c r="T78" i="5"/>
  <c r="X78" i="5" s="1"/>
  <c r="Y78" i="5" s="1"/>
  <c r="T79" i="5"/>
  <c r="T93" i="5"/>
  <c r="X93" i="5" s="1"/>
  <c r="Y93" i="5" s="1"/>
  <c r="T94" i="5"/>
  <c r="T95" i="5"/>
  <c r="X95" i="5" s="1"/>
  <c r="Y95" i="5" s="1"/>
  <c r="T96" i="5"/>
  <c r="T97" i="5"/>
  <c r="X97" i="5" s="1"/>
  <c r="Y97" i="5" s="1"/>
  <c r="T98" i="5"/>
  <c r="T99" i="5"/>
  <c r="T100" i="5"/>
  <c r="T101" i="5"/>
  <c r="X101" i="5" s="1"/>
  <c r="T102" i="5"/>
  <c r="T103" i="5"/>
  <c r="X103" i="5" s="1"/>
  <c r="T104" i="5"/>
  <c r="X104" i="5" s="1"/>
  <c r="T105" i="5"/>
  <c r="X105" i="5" s="1"/>
  <c r="T106" i="5"/>
  <c r="X106" i="5" s="1"/>
  <c r="T107" i="5"/>
  <c r="X107" i="5" s="1"/>
  <c r="Y107" i="5" s="1"/>
  <c r="T108" i="5"/>
  <c r="T109" i="5"/>
  <c r="T110" i="5"/>
  <c r="T111" i="5"/>
  <c r="X111" i="5" s="1"/>
  <c r="Y111" i="5" s="1"/>
  <c r="T112" i="5"/>
  <c r="X112" i="5" s="1"/>
  <c r="Y112" i="5" s="1"/>
  <c r="T113" i="5"/>
  <c r="X113" i="5" s="1"/>
  <c r="Y113" i="5" s="1"/>
  <c r="T114" i="5"/>
  <c r="X114" i="5" s="1"/>
  <c r="Y114" i="5" s="1"/>
  <c r="T115" i="5"/>
  <c r="T116" i="5"/>
  <c r="T117" i="5"/>
  <c r="T118" i="5"/>
  <c r="X118" i="5" s="1"/>
  <c r="Y118" i="5" s="1"/>
  <c r="T119" i="5"/>
  <c r="X119" i="5" s="1"/>
  <c r="T120" i="5"/>
  <c r="X120" i="5" s="1"/>
  <c r="T121" i="5"/>
  <c r="X121" i="5" s="1"/>
  <c r="T122" i="5"/>
  <c r="T123" i="5"/>
  <c r="X123" i="5" s="1"/>
  <c r="T124" i="5"/>
  <c r="T125" i="5"/>
  <c r="X125" i="5" s="1"/>
  <c r="T126" i="5"/>
  <c r="T127" i="5"/>
  <c r="X127" i="5" s="1"/>
  <c r="Y127" i="5" s="1"/>
  <c r="T128" i="5"/>
  <c r="X128" i="5" s="1"/>
  <c r="Y128" i="5" s="1"/>
  <c r="T129" i="5"/>
  <c r="X129" i="5" s="1"/>
  <c r="Y129" i="5" s="1"/>
  <c r="T130" i="5"/>
  <c r="X130" i="5" s="1"/>
  <c r="Y130" i="5" s="1"/>
  <c r="T131" i="5"/>
  <c r="T132" i="5"/>
  <c r="T133" i="5"/>
  <c r="X133" i="5" s="1"/>
  <c r="Y133" i="5" s="1"/>
  <c r="T134" i="5"/>
  <c r="X134" i="5" s="1"/>
  <c r="Y134" i="5" s="1"/>
  <c r="T135" i="5"/>
  <c r="T136" i="5"/>
  <c r="X136" i="5" s="1"/>
  <c r="T137" i="5"/>
  <c r="T138" i="5"/>
  <c r="X138" i="5" s="1"/>
  <c r="T139" i="5"/>
  <c r="X139" i="5" s="1"/>
  <c r="Y139" i="5" s="1"/>
  <c r="T140" i="5"/>
  <c r="X140" i="5" s="1"/>
  <c r="Y140" i="5" s="1"/>
  <c r="T141" i="5"/>
  <c r="X141" i="5" s="1"/>
  <c r="T142" i="5"/>
  <c r="T143" i="5"/>
  <c r="X143" i="5" s="1"/>
  <c r="Y143" i="5" s="1"/>
  <c r="T144" i="5"/>
  <c r="X144" i="5" s="1"/>
  <c r="Y144" i="5" s="1"/>
  <c r="T158" i="5"/>
  <c r="X158" i="5" s="1"/>
  <c r="Y158" i="5" s="1"/>
  <c r="T159" i="5"/>
  <c r="X159" i="5" s="1"/>
  <c r="Y159" i="5" s="1"/>
  <c r="T160" i="5"/>
  <c r="T161" i="5"/>
  <c r="X161" i="5" s="1"/>
  <c r="Y161" i="5" s="1"/>
  <c r="T162" i="5"/>
  <c r="T163" i="5"/>
  <c r="X163" i="5" s="1"/>
  <c r="Y163" i="5" s="1"/>
  <c r="T164" i="5"/>
  <c r="X164" i="5" s="1"/>
  <c r="Y164" i="5" s="1"/>
  <c r="T165" i="5"/>
  <c r="X165" i="5" s="1"/>
  <c r="T166" i="5"/>
  <c r="X166" i="5" s="1"/>
  <c r="Z166" i="5" s="1"/>
  <c r="T167" i="5"/>
  <c r="X167" i="5" s="1"/>
  <c r="T168" i="5"/>
  <c r="X168" i="5" s="1"/>
  <c r="Y168" i="5" s="1"/>
  <c r="T169" i="5"/>
  <c r="T170" i="5"/>
  <c r="T171" i="5"/>
  <c r="T172" i="5"/>
  <c r="X172" i="5" s="1"/>
  <c r="Y172" i="5" s="1"/>
  <c r="T173" i="5"/>
  <c r="X173" i="5" s="1"/>
  <c r="Y173" i="5" s="1"/>
  <c r="T174" i="5"/>
  <c r="X174" i="5" s="1"/>
  <c r="Y174" i="5" s="1"/>
  <c r="T175" i="5"/>
  <c r="X175" i="5" s="1"/>
  <c r="T176" i="5"/>
  <c r="X176" i="5" s="1"/>
  <c r="T177" i="5"/>
  <c r="T178" i="5"/>
  <c r="X178" i="5" s="1"/>
  <c r="Y178" i="5" s="1"/>
  <c r="T179" i="5"/>
  <c r="X179" i="5" s="1"/>
  <c r="Y179" i="5" s="1"/>
  <c r="T180" i="5"/>
  <c r="X180" i="5" s="1"/>
  <c r="Y180" i="5" s="1"/>
  <c r="T181" i="5"/>
  <c r="X181" i="5" s="1"/>
  <c r="T182" i="5"/>
  <c r="X182" i="5" s="1"/>
  <c r="T183" i="5"/>
  <c r="X183" i="5" s="1"/>
  <c r="T184" i="5"/>
  <c r="X184" i="5" s="1"/>
  <c r="Y184" i="5" s="1"/>
  <c r="T185" i="5"/>
  <c r="X185" i="5" s="1"/>
  <c r="Y185" i="5" s="1"/>
  <c r="T186" i="5"/>
  <c r="T187" i="5"/>
  <c r="X187" i="5" s="1"/>
  <c r="Y187" i="5" s="1"/>
  <c r="T188" i="5"/>
  <c r="X188" i="5" s="1"/>
  <c r="Y188" i="5" s="1"/>
  <c r="T189" i="5"/>
  <c r="T190" i="5"/>
  <c r="X190" i="5" s="1"/>
  <c r="Y190" i="5" s="1"/>
  <c r="T191" i="5"/>
  <c r="T192" i="5"/>
  <c r="X192" i="5" s="1"/>
  <c r="T193" i="5"/>
  <c r="T194" i="5"/>
  <c r="X194" i="5" s="1"/>
  <c r="T195" i="5"/>
  <c r="X195" i="5" s="1"/>
  <c r="T196" i="5"/>
  <c r="X196" i="5" s="1"/>
  <c r="Y196" i="5" s="1"/>
  <c r="T210" i="5"/>
  <c r="X210" i="5" s="1"/>
  <c r="T211" i="5"/>
  <c r="X211" i="5" s="1"/>
  <c r="T212" i="5"/>
  <c r="X212" i="5" s="1"/>
  <c r="T213" i="5"/>
  <c r="X213" i="5" s="1"/>
  <c r="Y213" i="5" s="1"/>
  <c r="T214" i="5"/>
  <c r="X214" i="5" s="1"/>
  <c r="Y214" i="5" s="1"/>
  <c r="T215" i="5"/>
  <c r="T216" i="5"/>
  <c r="T217" i="5"/>
  <c r="X217" i="5" s="1"/>
  <c r="Y217" i="5" s="1"/>
  <c r="T218" i="5"/>
  <c r="X218" i="5" s="1"/>
  <c r="T219" i="5"/>
  <c r="X219" i="5" s="1"/>
  <c r="Y219" i="5" s="1"/>
  <c r="T220" i="5"/>
  <c r="X220" i="5" s="1"/>
  <c r="Y220" i="5" s="1"/>
  <c r="T221" i="5"/>
  <c r="X221" i="5" s="1"/>
  <c r="Z221" i="5" s="1"/>
  <c r="T222" i="5"/>
  <c r="X222" i="5" s="1"/>
  <c r="Y222" i="5" s="1"/>
  <c r="T223" i="5"/>
  <c r="T224" i="5"/>
  <c r="X224" i="5" s="1"/>
  <c r="T225" i="5"/>
  <c r="X225" i="5" s="1"/>
  <c r="T226" i="5"/>
  <c r="X226" i="5" s="1"/>
  <c r="T227" i="5"/>
  <c r="X227" i="5" s="1"/>
  <c r="T228" i="5"/>
  <c r="X228" i="5" s="1"/>
  <c r="T229" i="5"/>
  <c r="T230" i="5"/>
  <c r="T231" i="5"/>
  <c r="X231" i="5" s="1"/>
  <c r="Y231" i="5" s="1"/>
  <c r="T232" i="5"/>
  <c r="T233" i="5"/>
  <c r="X233" i="5" s="1"/>
  <c r="Y233" i="5" s="1"/>
  <c r="T234" i="5"/>
  <c r="X234" i="5" s="1"/>
  <c r="T235" i="5"/>
  <c r="X235" i="5" s="1"/>
  <c r="Y235" i="5" s="1"/>
  <c r="T236" i="5"/>
  <c r="X236" i="5" s="1"/>
  <c r="Y236" i="5" s="1"/>
  <c r="T237" i="5"/>
  <c r="X237" i="5" s="1"/>
  <c r="Y237" i="5" s="1"/>
  <c r="T238" i="5"/>
  <c r="T239" i="5"/>
  <c r="X239" i="5" s="1"/>
  <c r="Y239" i="5" s="1"/>
  <c r="T240" i="5"/>
  <c r="X240" i="5" s="1"/>
  <c r="Y240" i="5" s="1"/>
  <c r="T241" i="5"/>
  <c r="T242" i="5"/>
  <c r="X242" i="5" s="1"/>
  <c r="T243" i="5"/>
  <c r="X243" i="5" s="1"/>
  <c r="T244" i="5"/>
  <c r="X244" i="5" s="1"/>
  <c r="T245" i="5"/>
  <c r="T246" i="5"/>
  <c r="T247" i="5"/>
  <c r="X247" i="5" s="1"/>
  <c r="T248" i="5"/>
  <c r="T249" i="5"/>
  <c r="X249" i="5" s="1"/>
  <c r="Y249" i="5" s="1"/>
  <c r="T250" i="5"/>
  <c r="X250" i="5" s="1"/>
  <c r="Y250" i="5" s="1"/>
  <c r="T251" i="5"/>
  <c r="X251" i="5" s="1"/>
  <c r="Y251" i="5" s="1"/>
  <c r="T252" i="5"/>
  <c r="X252" i="5" s="1"/>
  <c r="Y252" i="5" s="1"/>
  <c r="T253" i="5"/>
  <c r="X253" i="5" s="1"/>
  <c r="Y253" i="5" s="1"/>
  <c r="T254" i="5"/>
  <c r="X254" i="5" s="1"/>
  <c r="Y254" i="5" s="1"/>
  <c r="T255" i="5"/>
  <c r="T256" i="5"/>
  <c r="X256" i="5" s="1"/>
  <c r="Y256" i="5" s="1"/>
  <c r="T257" i="5"/>
  <c r="X257" i="5" s="1"/>
  <c r="Y257" i="5" s="1"/>
  <c r="T258" i="5"/>
  <c r="X258" i="5" s="1"/>
  <c r="T259" i="5"/>
  <c r="X259" i="5" s="1"/>
  <c r="T260" i="5"/>
  <c r="X260" i="5" s="1"/>
  <c r="T261" i="5"/>
  <c r="X261" i="5" s="1"/>
  <c r="T262" i="5"/>
  <c r="X262" i="5" s="1"/>
  <c r="Y262" i="5" s="1"/>
  <c r="T263" i="5"/>
  <c r="T264" i="5"/>
  <c r="T265" i="5"/>
  <c r="X265" i="5" s="1"/>
  <c r="Y265" i="5" s="1"/>
  <c r="T266" i="5"/>
  <c r="T267" i="5"/>
  <c r="X267" i="5" s="1"/>
  <c r="T268" i="5"/>
  <c r="T269" i="5"/>
  <c r="T270" i="5"/>
  <c r="T271" i="5"/>
  <c r="T272" i="5"/>
  <c r="X272" i="5" s="1"/>
  <c r="Y272" i="5" s="1"/>
  <c r="T273" i="5"/>
  <c r="X273" i="5" s="1"/>
  <c r="T274" i="5"/>
  <c r="X274" i="5" s="1"/>
  <c r="T275" i="5"/>
  <c r="X275" i="5" s="1"/>
  <c r="T276" i="5"/>
  <c r="X276" i="5" s="1"/>
  <c r="T277" i="5"/>
  <c r="X277" i="5" s="1"/>
  <c r="Y277" i="5" s="1"/>
  <c r="T278" i="5"/>
  <c r="T279" i="5"/>
  <c r="X279" i="5" s="1"/>
  <c r="Y279" i="5" s="1"/>
  <c r="T280" i="5"/>
  <c r="T281" i="5"/>
  <c r="T282" i="5"/>
  <c r="X282" i="5" s="1"/>
  <c r="Y282" i="5" s="1"/>
  <c r="T283" i="5"/>
  <c r="X283" i="5" s="1"/>
  <c r="Y283" i="5" s="1"/>
  <c r="T284" i="5"/>
  <c r="X284" i="5" s="1"/>
  <c r="T285" i="5"/>
  <c r="X285" i="5" s="1"/>
  <c r="T286" i="5"/>
  <c r="X286" i="5" s="1"/>
  <c r="T287" i="5"/>
  <c r="T288" i="5"/>
  <c r="X288" i="5" s="1"/>
  <c r="Y288" i="5" s="1"/>
  <c r="T289" i="5"/>
  <c r="X289" i="5" s="1"/>
  <c r="Y289" i="5" s="1"/>
  <c r="T290" i="5"/>
  <c r="T291" i="5"/>
  <c r="X291" i="5" s="1"/>
  <c r="T292" i="5"/>
  <c r="X292" i="5" s="1"/>
  <c r="T293" i="5"/>
  <c r="X293" i="5" s="1"/>
  <c r="Y293" i="5" s="1"/>
  <c r="T294" i="5"/>
  <c r="X294" i="5" s="1"/>
  <c r="Y294" i="5" s="1"/>
  <c r="T295" i="5"/>
  <c r="T296" i="5"/>
  <c r="T297" i="5"/>
  <c r="X297" i="5" s="1"/>
  <c r="Y297" i="5" s="1"/>
  <c r="T298" i="5"/>
  <c r="X298" i="5" s="1"/>
  <c r="Y298" i="5" s="1"/>
  <c r="T299" i="5"/>
  <c r="X299" i="5" s="1"/>
  <c r="Y299" i="5" s="1"/>
  <c r="T300" i="5"/>
  <c r="X300" i="5" s="1"/>
  <c r="Y300" i="5" s="1"/>
  <c r="T301" i="5"/>
  <c r="X301" i="5" s="1"/>
  <c r="Y301" i="5" s="1"/>
  <c r="T302" i="5"/>
  <c r="T303" i="5"/>
  <c r="X303" i="5" s="1"/>
  <c r="T304" i="5"/>
  <c r="X304" i="5" s="1"/>
  <c r="T305" i="5"/>
  <c r="X305" i="5" s="1"/>
  <c r="T306" i="5"/>
  <c r="X306" i="5" s="1"/>
  <c r="T307" i="5"/>
  <c r="X307" i="5" s="1"/>
  <c r="T308" i="5"/>
  <c r="X308" i="5" s="1"/>
  <c r="T309" i="5"/>
  <c r="X309" i="5" s="1"/>
  <c r="T310" i="5"/>
  <c r="X310" i="5" s="1"/>
  <c r="Y310" i="5" s="1"/>
  <c r="T311" i="5"/>
  <c r="X311" i="5" s="1"/>
  <c r="Y311" i="5" s="1"/>
  <c r="T312" i="5"/>
  <c r="T313" i="5"/>
  <c r="T314" i="5"/>
  <c r="X314" i="5" s="1"/>
  <c r="Y314" i="5" s="1"/>
  <c r="T315" i="5"/>
  <c r="X315" i="5" s="1"/>
  <c r="Y315" i="5" s="1"/>
  <c r="T316" i="5"/>
  <c r="T317" i="5"/>
  <c r="T318" i="5"/>
  <c r="T319" i="5"/>
  <c r="X319" i="5" s="1"/>
  <c r="Y319" i="5" s="1"/>
  <c r="T320" i="5"/>
  <c r="X320" i="5" s="1"/>
  <c r="Y320" i="5" s="1"/>
  <c r="T321" i="5"/>
  <c r="X321" i="5" s="1"/>
  <c r="Y321" i="5" s="1"/>
  <c r="T322" i="5"/>
  <c r="X322" i="5" s="1"/>
  <c r="T323" i="5"/>
  <c r="X323" i="5" s="1"/>
  <c r="T324" i="5"/>
  <c r="X324" i="5" s="1"/>
  <c r="T325" i="5"/>
  <c r="X325" i="5" s="1"/>
  <c r="T326" i="5"/>
  <c r="X326" i="5" s="1"/>
  <c r="T327" i="5"/>
  <c r="X327" i="5" s="1"/>
  <c r="T328" i="5"/>
  <c r="T329" i="5"/>
  <c r="T330" i="5"/>
  <c r="X330" i="5" s="1"/>
  <c r="Y330" i="5" s="1"/>
  <c r="T331" i="5"/>
  <c r="T332" i="5"/>
  <c r="X332" i="5" s="1"/>
  <c r="Y332" i="5" s="1"/>
  <c r="T333" i="5"/>
  <c r="X333" i="5" s="1"/>
  <c r="Y333" i="5" s="1"/>
  <c r="T334" i="5"/>
  <c r="X334" i="5" s="1"/>
  <c r="Y334" i="5" s="1"/>
  <c r="T335" i="5"/>
  <c r="X335" i="5" s="1"/>
  <c r="Y335" i="5" s="1"/>
  <c r="T336" i="5"/>
  <c r="T337" i="5"/>
  <c r="T338" i="5"/>
  <c r="T339" i="5"/>
  <c r="X339" i="5" s="1"/>
  <c r="T340" i="5"/>
  <c r="X340" i="5" s="1"/>
  <c r="T341" i="5"/>
  <c r="X341" i="5" s="1"/>
  <c r="Y341" i="5" s="1"/>
  <c r="T342" i="5"/>
  <c r="T343" i="5"/>
  <c r="X343" i="5" s="1"/>
  <c r="Y343" i="5" s="1"/>
  <c r="T344" i="5"/>
  <c r="X344" i="5" s="1"/>
  <c r="T345" i="5"/>
  <c r="T346" i="5"/>
  <c r="T347" i="5"/>
  <c r="X347" i="5" s="1"/>
  <c r="T348" i="5"/>
  <c r="T349" i="5"/>
  <c r="X349" i="5" s="1"/>
  <c r="Y349" i="5" s="1"/>
  <c r="T350" i="5"/>
  <c r="X350" i="5" s="1"/>
  <c r="Z350" i="5" s="1"/>
  <c r="T351" i="5"/>
  <c r="X351" i="5" s="1"/>
  <c r="Y351" i="5" s="1"/>
  <c r="T352" i="5"/>
  <c r="X352" i="5" s="1"/>
  <c r="Y352" i="5" s="1"/>
  <c r="T353" i="5"/>
  <c r="T354" i="5"/>
  <c r="X354" i="5" s="1"/>
  <c r="T355" i="5"/>
  <c r="X355" i="5" s="1"/>
  <c r="T356" i="5"/>
  <c r="X356" i="5" s="1"/>
  <c r="T357" i="5"/>
  <c r="X357" i="5" s="1"/>
  <c r="Y357" i="5" s="1"/>
  <c r="T358" i="5"/>
  <c r="X358" i="5" s="1"/>
  <c r="Y358" i="5" s="1"/>
  <c r="T359" i="5"/>
  <c r="T360" i="5"/>
  <c r="T361" i="5"/>
  <c r="X361" i="5" s="1"/>
  <c r="Y361" i="5" s="1"/>
  <c r="T362" i="5"/>
  <c r="X362" i="5" s="1"/>
  <c r="T363" i="5"/>
  <c r="X363" i="5" s="1"/>
  <c r="Y363" i="5" s="1"/>
  <c r="T364" i="5"/>
  <c r="X364" i="5" s="1"/>
  <c r="T365" i="5"/>
  <c r="X365" i="5" s="1"/>
  <c r="T366" i="5"/>
  <c r="T367" i="5"/>
  <c r="X367" i="5" s="1"/>
  <c r="Y367" i="5" s="1"/>
  <c r="T368" i="5"/>
  <c r="X368" i="5" s="1"/>
  <c r="Y368" i="5" s="1"/>
  <c r="T369" i="5"/>
  <c r="X369" i="5" s="1"/>
  <c r="Y369" i="5" s="1"/>
  <c r="T370" i="5"/>
  <c r="T371" i="5"/>
  <c r="X371" i="5" s="1"/>
  <c r="T372" i="5"/>
  <c r="X372" i="5" s="1"/>
  <c r="T373" i="5"/>
  <c r="X373" i="5" s="1"/>
  <c r="T374" i="5"/>
  <c r="X374" i="5" s="1"/>
  <c r="Y374" i="5" s="1"/>
  <c r="T375" i="5"/>
  <c r="T376" i="5"/>
  <c r="T377" i="5"/>
  <c r="X377" i="5" s="1"/>
  <c r="Y377" i="5" s="1"/>
  <c r="T378" i="5"/>
  <c r="X378" i="5" s="1"/>
  <c r="Y378" i="5" s="1"/>
  <c r="T379" i="5"/>
  <c r="X379" i="5" s="1"/>
  <c r="Y379" i="5" s="1"/>
  <c r="T380" i="5"/>
  <c r="X380" i="5" s="1"/>
  <c r="Y380" i="5" s="1"/>
  <c r="T381" i="5"/>
  <c r="X381" i="5" s="1"/>
  <c r="Y381" i="5" s="1"/>
  <c r="T382" i="5"/>
  <c r="X382" i="5" s="1"/>
  <c r="T383" i="5"/>
  <c r="X383" i="5" s="1"/>
  <c r="T384" i="5"/>
  <c r="X384" i="5" s="1"/>
  <c r="T385" i="5"/>
  <c r="X385" i="5" s="1"/>
  <c r="Y385" i="5" s="1"/>
  <c r="T386" i="5"/>
  <c r="X386" i="5" s="1"/>
  <c r="T387" i="5"/>
  <c r="X387" i="5" s="1"/>
  <c r="T388" i="5"/>
  <c r="X388" i="5" s="1"/>
  <c r="T389" i="5"/>
  <c r="X389" i="5" s="1"/>
  <c r="Y389" i="5" s="1"/>
  <c r="T390" i="5"/>
  <c r="X390" i="5" s="1"/>
  <c r="Y390" i="5" s="1"/>
  <c r="T391" i="5"/>
  <c r="T392" i="5"/>
  <c r="T393" i="5"/>
  <c r="X393" i="5" s="1"/>
  <c r="Y393" i="5" s="1"/>
  <c r="T394" i="5"/>
  <c r="X394" i="5" s="1"/>
  <c r="Y394" i="5" s="1"/>
  <c r="T395" i="5"/>
  <c r="X395" i="5" s="1"/>
  <c r="Y395" i="5" s="1"/>
  <c r="T396" i="5"/>
  <c r="X396" i="5" s="1"/>
  <c r="Y396" i="5" s="1"/>
  <c r="T397" i="5"/>
  <c r="X397" i="5" s="1"/>
  <c r="Y397" i="5" s="1"/>
  <c r="T398" i="5"/>
  <c r="X398" i="5" s="1"/>
  <c r="Y398" i="5" s="1"/>
  <c r="T399" i="5"/>
  <c r="X399" i="5" s="1"/>
  <c r="Y399" i="5" s="1"/>
  <c r="T400" i="5"/>
  <c r="X400" i="5" s="1"/>
  <c r="Y400" i="5" s="1"/>
  <c r="T401" i="5"/>
  <c r="X401" i="5" s="1"/>
  <c r="T402" i="5"/>
  <c r="X402" i="5" s="1"/>
  <c r="T403" i="5"/>
  <c r="X403" i="5" s="1"/>
  <c r="T404" i="5"/>
  <c r="X404" i="5" s="1"/>
  <c r="T405" i="5"/>
  <c r="T406" i="5"/>
  <c r="T407" i="5"/>
  <c r="T408" i="5"/>
  <c r="T409" i="5"/>
  <c r="X409" i="5" s="1"/>
  <c r="Y409" i="5" s="1"/>
  <c r="T410" i="5"/>
  <c r="X410" i="5" s="1"/>
  <c r="T411" i="5"/>
  <c r="X411" i="5" s="1"/>
  <c r="Y411" i="5" s="1"/>
  <c r="T412" i="5"/>
  <c r="X412" i="5" s="1"/>
  <c r="T413" i="5"/>
  <c r="T414" i="5"/>
  <c r="T415" i="5"/>
  <c r="X415" i="5" s="1"/>
  <c r="Y415" i="5" s="1"/>
  <c r="T416" i="5"/>
  <c r="X416" i="5" s="1"/>
  <c r="Y416" i="5" s="1"/>
  <c r="T417" i="5"/>
  <c r="X417" i="5" s="1"/>
  <c r="Y417" i="5" s="1"/>
  <c r="T418" i="5"/>
  <c r="X418" i="5" s="1"/>
  <c r="T419" i="5"/>
  <c r="X419" i="5" s="1"/>
  <c r="T420" i="5"/>
  <c r="X420" i="5" s="1"/>
  <c r="T421" i="5"/>
  <c r="X421" i="5" s="1"/>
  <c r="T422" i="5"/>
  <c r="X422" i="5" s="1"/>
  <c r="T423" i="5"/>
  <c r="X423" i="5" s="1"/>
  <c r="T424" i="5"/>
  <c r="T425" i="5"/>
  <c r="X425" i="5" s="1"/>
  <c r="Y425" i="5" s="1"/>
  <c r="T426" i="5"/>
  <c r="T427" i="5"/>
  <c r="X427" i="5" s="1"/>
  <c r="Y427" i="5" s="1"/>
  <c r="T428" i="5"/>
  <c r="X428" i="5" s="1"/>
  <c r="Y428" i="5" s="1"/>
  <c r="T429" i="5"/>
  <c r="T430" i="5"/>
  <c r="X430" i="5" s="1"/>
  <c r="Y430" i="5" s="1"/>
  <c r="T431" i="5"/>
  <c r="X431" i="5" s="1"/>
  <c r="Y431" i="5" s="1"/>
  <c r="T432" i="5"/>
  <c r="X432" i="5" s="1"/>
  <c r="Y432" i="5" s="1"/>
  <c r="T433" i="5"/>
  <c r="X433" i="5" s="1"/>
  <c r="Y433" i="5" s="1"/>
  <c r="T434" i="5"/>
  <c r="X434" i="5" s="1"/>
  <c r="T435" i="5"/>
  <c r="X435" i="5" s="1"/>
  <c r="T436" i="5"/>
  <c r="X436" i="5" s="1"/>
  <c r="T437" i="5"/>
  <c r="X437" i="5" s="1"/>
  <c r="Y437" i="5" s="1"/>
  <c r="T438" i="5"/>
  <c r="T439" i="5"/>
  <c r="T440" i="5"/>
  <c r="T441" i="5"/>
  <c r="X441" i="5" s="1"/>
  <c r="Y441" i="5" s="1"/>
  <c r="T442" i="5"/>
  <c r="X442" i="5" s="1"/>
  <c r="Y442" i="5" s="1"/>
  <c r="T443" i="5"/>
  <c r="X443" i="5" s="1"/>
  <c r="Y443" i="5" s="1"/>
  <c r="T444" i="5"/>
  <c r="X444" i="5" s="1"/>
  <c r="T445" i="5"/>
  <c r="T446" i="5"/>
  <c r="X446" i="5" s="1"/>
  <c r="Y446" i="5" s="1"/>
  <c r="T447" i="5"/>
  <c r="X447" i="5" s="1"/>
  <c r="Y447" i="5" s="1"/>
  <c r="T448" i="5"/>
  <c r="X448" i="5" s="1"/>
  <c r="Y448" i="5" s="1"/>
  <c r="T449" i="5"/>
  <c r="X449" i="5" s="1"/>
  <c r="T450" i="5"/>
  <c r="X450" i="5" s="1"/>
  <c r="T451" i="5"/>
  <c r="X451" i="5" s="1"/>
  <c r="T452" i="5"/>
  <c r="X452" i="5" s="1"/>
  <c r="T453" i="5"/>
  <c r="X453" i="5" s="1"/>
  <c r="Y453" i="5" s="1"/>
  <c r="T454" i="5"/>
  <c r="X454" i="5" s="1"/>
  <c r="Y454" i="5" s="1"/>
  <c r="T455" i="5"/>
  <c r="X455" i="5" s="1"/>
  <c r="Y455" i="5" s="1"/>
  <c r="T456" i="5"/>
  <c r="T457" i="5"/>
  <c r="X457" i="5" s="1"/>
  <c r="Y457" i="5" s="1"/>
  <c r="T458" i="5"/>
  <c r="X458" i="5" s="1"/>
  <c r="Y458" i="5" s="1"/>
  <c r="T459" i="5"/>
  <c r="T460" i="5"/>
  <c r="X460" i="5" s="1"/>
  <c r="Y460" i="5" s="1"/>
  <c r="T461" i="5"/>
  <c r="T462" i="5"/>
  <c r="X462" i="5" s="1"/>
  <c r="T463" i="5"/>
  <c r="X463" i="5" s="1"/>
  <c r="T464" i="5"/>
  <c r="X464" i="5" s="1"/>
  <c r="Y464" i="5" s="1"/>
  <c r="T465" i="5"/>
  <c r="X465" i="5" s="1"/>
  <c r="Y465" i="5" s="1"/>
  <c r="T466" i="5"/>
  <c r="X466" i="5" s="1"/>
  <c r="T467" i="5"/>
  <c r="X467" i="5" s="1"/>
  <c r="T468" i="5"/>
  <c r="X468" i="5" s="1"/>
  <c r="T469" i="5"/>
  <c r="X469" i="5" s="1"/>
  <c r="Y469" i="5" s="1"/>
  <c r="T470" i="5"/>
  <c r="T471" i="5"/>
  <c r="X471" i="5" s="1"/>
  <c r="Y471" i="5" s="1"/>
  <c r="T472" i="5"/>
  <c r="T473" i="5"/>
  <c r="X473" i="5" s="1"/>
  <c r="Y473" i="5" s="1"/>
  <c r="T474" i="5"/>
  <c r="X474" i="5" s="1"/>
  <c r="Y474" i="5" s="1"/>
  <c r="T475" i="5"/>
  <c r="X475" i="5" s="1"/>
  <c r="Y475" i="5" s="1"/>
  <c r="T476" i="5"/>
  <c r="X476" i="5" s="1"/>
  <c r="Y476" i="5" s="1"/>
  <c r="T477" i="5"/>
  <c r="X477" i="5" s="1"/>
  <c r="Y477" i="5" s="1"/>
  <c r="T478" i="5"/>
  <c r="T479" i="5"/>
  <c r="X479" i="5" s="1"/>
  <c r="Y479" i="5" s="1"/>
  <c r="T480" i="5"/>
  <c r="T481" i="5"/>
  <c r="X481" i="5" s="1"/>
  <c r="T482" i="5"/>
  <c r="X482" i="5" s="1"/>
  <c r="T483" i="5"/>
  <c r="X483" i="5" s="1"/>
  <c r="T484" i="5"/>
  <c r="T485" i="5"/>
  <c r="X485" i="5" s="1"/>
  <c r="T486" i="5"/>
  <c r="T487" i="5"/>
  <c r="X487" i="5" s="1"/>
  <c r="Y487" i="5" s="1"/>
  <c r="T488" i="5"/>
  <c r="T489" i="5"/>
  <c r="X489" i="5" s="1"/>
  <c r="Y489" i="5" s="1"/>
  <c r="T490" i="5"/>
  <c r="X490" i="5" s="1"/>
  <c r="T491" i="5"/>
  <c r="X491" i="5" s="1"/>
  <c r="T492" i="5"/>
  <c r="X492" i="5" s="1"/>
  <c r="Y492" i="5" s="1"/>
  <c r="T493" i="5"/>
  <c r="T494" i="5"/>
  <c r="X494" i="5" s="1"/>
  <c r="Y494" i="5" s="1"/>
  <c r="T495" i="5"/>
  <c r="X495" i="5" s="1"/>
  <c r="Y495" i="5" s="1"/>
  <c r="T496" i="5"/>
  <c r="X496" i="5" s="1"/>
  <c r="Y496" i="5" s="1"/>
  <c r="T497" i="5"/>
  <c r="X497" i="5" s="1"/>
  <c r="Y497" i="5" s="1"/>
  <c r="T498" i="5"/>
  <c r="X498" i="5" s="1"/>
  <c r="T499" i="5"/>
  <c r="X499" i="5" s="1"/>
  <c r="T500" i="5"/>
  <c r="X500" i="5" s="1"/>
  <c r="T501" i="5"/>
  <c r="X501" i="5" s="1"/>
  <c r="Y501" i="5" s="1"/>
  <c r="T502" i="5"/>
  <c r="X502" i="5" s="1"/>
  <c r="T503" i="5"/>
  <c r="T504" i="5"/>
  <c r="T505" i="5"/>
  <c r="X505" i="5" s="1"/>
  <c r="Y505" i="5" s="1"/>
  <c r="T506" i="5"/>
  <c r="X506" i="5" s="1"/>
  <c r="T507" i="5"/>
  <c r="X507" i="5" s="1"/>
  <c r="Y507" i="5" s="1"/>
  <c r="T508" i="5"/>
  <c r="X508" i="5" s="1"/>
  <c r="Y508" i="5" s="1"/>
  <c r="T509" i="5"/>
  <c r="X509" i="5" s="1"/>
  <c r="Y509" i="5" s="1"/>
  <c r="T510" i="5"/>
  <c r="X510" i="5" s="1"/>
  <c r="Z510" i="5" s="1"/>
  <c r="T511" i="5"/>
  <c r="T512" i="5"/>
  <c r="X512" i="5" s="1"/>
  <c r="Z512" i="5" s="1"/>
  <c r="T513" i="5"/>
  <c r="X513" i="5" s="1"/>
  <c r="Y513" i="5" s="1"/>
  <c r="T514" i="5"/>
  <c r="X514" i="5" s="1"/>
  <c r="T515" i="5"/>
  <c r="X515" i="5" s="1"/>
  <c r="T516" i="5"/>
  <c r="X516" i="5" s="1"/>
  <c r="T517" i="5"/>
  <c r="X517" i="5" s="1"/>
  <c r="Y517" i="5" s="1"/>
  <c r="T518" i="5"/>
  <c r="X518" i="5" s="1"/>
  <c r="Y518" i="5" s="1"/>
  <c r="T519" i="5"/>
  <c r="T520" i="5"/>
  <c r="X520" i="5" s="1"/>
  <c r="Y520" i="5" s="1"/>
  <c r="T521" i="5"/>
  <c r="X521" i="5" s="1"/>
  <c r="Y521" i="5" s="1"/>
  <c r="T522" i="5"/>
  <c r="X522" i="5" s="1"/>
  <c r="Y522" i="5" s="1"/>
  <c r="T523" i="5"/>
  <c r="X523" i="5" s="1"/>
  <c r="Y523" i="5" s="1"/>
  <c r="T524" i="5"/>
  <c r="T525" i="5"/>
  <c r="X525" i="5" s="1"/>
  <c r="Y525" i="5" s="1"/>
  <c r="T526" i="5"/>
  <c r="T527" i="5"/>
  <c r="X527" i="5" s="1"/>
  <c r="Y527" i="5" s="1"/>
  <c r="T528" i="5"/>
  <c r="X528" i="5" s="1"/>
  <c r="Z528" i="5" s="1"/>
  <c r="T529" i="5"/>
  <c r="X529" i="5" s="1"/>
  <c r="Y529" i="5" s="1"/>
  <c r="T530" i="5"/>
  <c r="X530" i="5" s="1"/>
  <c r="T531" i="5"/>
  <c r="X531" i="5" s="1"/>
  <c r="T532" i="5"/>
  <c r="X532" i="5" s="1"/>
  <c r="T533" i="5"/>
  <c r="X533" i="5" s="1"/>
  <c r="Y533" i="5" s="1"/>
  <c r="T534" i="5"/>
  <c r="X534" i="5" s="1"/>
  <c r="Y534" i="5" s="1"/>
  <c r="T535" i="5"/>
  <c r="X535" i="5" s="1"/>
  <c r="Y535" i="5" s="1"/>
  <c r="T536" i="5"/>
  <c r="T537" i="5"/>
  <c r="X537" i="5" s="1"/>
  <c r="Y537" i="5" s="1"/>
  <c r="T538" i="5"/>
  <c r="X538" i="5" s="1"/>
  <c r="Y538" i="5" s="1"/>
  <c r="T539" i="5"/>
  <c r="X539" i="5" s="1"/>
  <c r="Y539" i="5" s="1"/>
  <c r="T540" i="5"/>
  <c r="X540" i="5" s="1"/>
  <c r="T541" i="5"/>
  <c r="X541" i="5" s="1"/>
  <c r="T542" i="5"/>
  <c r="T543" i="5"/>
  <c r="T544" i="5"/>
  <c r="X544" i="5" s="1"/>
  <c r="Y544" i="5" s="1"/>
  <c r="T545" i="5"/>
  <c r="X545" i="5" s="1"/>
  <c r="Y545" i="5" s="1"/>
  <c r="T546" i="5"/>
  <c r="X546" i="5" s="1"/>
  <c r="T547" i="5"/>
  <c r="X547" i="5" s="1"/>
  <c r="T548" i="5"/>
  <c r="X548" i="5" s="1"/>
  <c r="T549" i="5"/>
  <c r="X549" i="5" s="1"/>
  <c r="Y549" i="5" s="1"/>
  <c r="T550" i="5"/>
  <c r="X550" i="5" s="1"/>
  <c r="Y550" i="5" s="1"/>
  <c r="T551" i="5"/>
  <c r="T552" i="5"/>
  <c r="X552" i="5" s="1"/>
  <c r="Y552" i="5" s="1"/>
  <c r="T553" i="5"/>
  <c r="X553" i="5" s="1"/>
  <c r="Y553" i="5" s="1"/>
  <c r="T554" i="5"/>
  <c r="X554" i="5" s="1"/>
  <c r="Y554" i="5" s="1"/>
  <c r="T555" i="5"/>
  <c r="T556" i="5"/>
  <c r="X556" i="5" s="1"/>
  <c r="Y556" i="5" s="1"/>
  <c r="T557" i="5"/>
  <c r="T558" i="5"/>
  <c r="X558" i="5" s="1"/>
  <c r="Y558" i="5" s="1"/>
  <c r="T559" i="5"/>
  <c r="X559" i="5" s="1"/>
  <c r="T560" i="5"/>
  <c r="T561" i="5"/>
  <c r="X561" i="5" s="1"/>
  <c r="T562" i="5"/>
  <c r="X562" i="5" s="1"/>
  <c r="T563" i="5"/>
  <c r="X563" i="5" s="1"/>
  <c r="T564" i="5"/>
  <c r="X564" i="5" s="1"/>
  <c r="T565" i="5"/>
  <c r="X565" i="5" s="1"/>
  <c r="Y565" i="5" s="1"/>
  <c r="T566" i="5"/>
  <c r="X566" i="5" s="1"/>
  <c r="Y566" i="5" s="1"/>
  <c r="T567" i="5"/>
  <c r="T568" i="5"/>
  <c r="T569" i="5"/>
  <c r="X569" i="5" s="1"/>
  <c r="Y569" i="5" s="1"/>
  <c r="T570" i="5"/>
  <c r="X570" i="5" s="1"/>
  <c r="T571" i="5"/>
  <c r="X571" i="5" s="1"/>
  <c r="Y571" i="5" s="1"/>
  <c r="T572" i="5"/>
  <c r="X572" i="5" s="1"/>
  <c r="Y572" i="5" s="1"/>
  <c r="T573" i="5"/>
  <c r="X573" i="5" s="1"/>
  <c r="Y573" i="5" s="1"/>
  <c r="T574" i="5"/>
  <c r="X574" i="5" s="1"/>
  <c r="Y574" i="5" s="1"/>
  <c r="T575" i="5"/>
  <c r="T576" i="5"/>
  <c r="X576" i="5" s="1"/>
  <c r="Z576" i="5" s="1"/>
  <c r="T577" i="5"/>
  <c r="X577" i="5" s="1"/>
  <c r="Y577" i="5" s="1"/>
  <c r="T578" i="5"/>
  <c r="X578" i="5" s="1"/>
  <c r="T579" i="5"/>
  <c r="X579" i="5" s="1"/>
  <c r="T580" i="5"/>
  <c r="X580" i="5" s="1"/>
  <c r="T581" i="5"/>
  <c r="T582" i="5"/>
  <c r="X582" i="5" s="1"/>
  <c r="T583" i="5"/>
  <c r="X583" i="5" s="1"/>
  <c r="T584" i="5"/>
  <c r="T585" i="5"/>
  <c r="T586" i="5"/>
  <c r="X586" i="5" s="1"/>
  <c r="T587" i="5"/>
  <c r="X587" i="5" s="1"/>
  <c r="Y587" i="5" s="1"/>
  <c r="T588" i="5"/>
  <c r="X588" i="5" s="1"/>
  <c r="Y588" i="5" s="1"/>
  <c r="T589" i="5"/>
  <c r="X589" i="5" s="1"/>
  <c r="Y589" i="5" s="1"/>
  <c r="T590" i="5"/>
  <c r="X590" i="5" s="1"/>
  <c r="Y590" i="5" s="1"/>
  <c r="T591" i="5"/>
  <c r="X591" i="5" s="1"/>
  <c r="Y591" i="5" s="1"/>
  <c r="T592" i="5"/>
  <c r="X592" i="5" s="1"/>
  <c r="Y592" i="5" s="1"/>
  <c r="T593" i="5"/>
  <c r="X593" i="5" s="1"/>
  <c r="Y593" i="5" s="1"/>
  <c r="T594" i="5"/>
  <c r="X594" i="5" s="1"/>
  <c r="T595" i="5"/>
  <c r="X595" i="5" s="1"/>
  <c r="T596" i="5"/>
  <c r="T597" i="5"/>
  <c r="T598" i="5"/>
  <c r="X598" i="5" s="1"/>
  <c r="Y598" i="5" s="1"/>
  <c r="T599" i="5"/>
  <c r="X599" i="5" s="1"/>
  <c r="Y599" i="5" s="1"/>
  <c r="T600" i="5"/>
  <c r="T601" i="5"/>
  <c r="X601" i="5" s="1"/>
  <c r="Y601" i="5" s="1"/>
  <c r="T602" i="5"/>
  <c r="X602" i="5" s="1"/>
  <c r="Y602" i="5" s="1"/>
  <c r="T603" i="5"/>
  <c r="X603" i="5" s="1"/>
  <c r="Y603" i="5" s="1"/>
  <c r="T604" i="5"/>
  <c r="X604" i="5" s="1"/>
  <c r="Y604" i="5" s="1"/>
  <c r="T605" i="5"/>
  <c r="X605" i="5" s="1"/>
  <c r="Y605" i="5" s="1"/>
  <c r="T606" i="5"/>
  <c r="X606" i="5" s="1"/>
  <c r="Y606" i="5" s="1"/>
  <c r="T607" i="5"/>
  <c r="X607" i="5" s="1"/>
  <c r="Y607" i="5" s="1"/>
  <c r="T608" i="5"/>
  <c r="X608" i="5" s="1"/>
  <c r="Y608" i="5" s="1"/>
  <c r="T609" i="5"/>
  <c r="X609" i="5" s="1"/>
  <c r="Y609" i="5" s="1"/>
  <c r="T610" i="5"/>
  <c r="X610" i="5" s="1"/>
  <c r="T611" i="5"/>
  <c r="X611" i="5" s="1"/>
  <c r="T612" i="5"/>
  <c r="X612" i="5" s="1"/>
  <c r="T613" i="5"/>
  <c r="X613" i="5" s="1"/>
  <c r="Y613" i="5" s="1"/>
  <c r="T614" i="5"/>
  <c r="X614" i="5" s="1"/>
  <c r="Y614" i="5" s="1"/>
  <c r="T615" i="5"/>
  <c r="X615" i="5" s="1"/>
  <c r="Y615" i="5" s="1"/>
  <c r="T616" i="5"/>
  <c r="X616" i="5" s="1"/>
  <c r="Y616" i="5" s="1"/>
  <c r="T617" i="5"/>
  <c r="X617" i="5" s="1"/>
  <c r="Y617" i="5" s="1"/>
  <c r="T618" i="5"/>
  <c r="X618" i="5" s="1"/>
  <c r="T619" i="5"/>
  <c r="T620" i="5"/>
  <c r="X620" i="5" s="1"/>
  <c r="T621" i="5"/>
  <c r="X621" i="5" s="1"/>
  <c r="T622" i="5"/>
  <c r="X622" i="5" s="1"/>
  <c r="Y622" i="5" s="1"/>
  <c r="T623" i="5"/>
  <c r="X623" i="5" s="1"/>
  <c r="Y623" i="5" s="1"/>
  <c r="T624" i="5"/>
  <c r="X624" i="5" s="1"/>
  <c r="Z624" i="5" s="1"/>
  <c r="T625" i="5"/>
  <c r="X625" i="5" s="1"/>
  <c r="Y625" i="5" s="1"/>
  <c r="T626" i="5"/>
  <c r="X626" i="5" s="1"/>
  <c r="T627" i="5"/>
  <c r="X627" i="5" s="1"/>
  <c r="T628" i="5"/>
  <c r="X628" i="5" s="1"/>
  <c r="T629" i="5"/>
  <c r="X629" i="5" s="1"/>
  <c r="Y629" i="5" s="1"/>
  <c r="T630" i="5"/>
  <c r="T631" i="5"/>
  <c r="X631" i="5" s="1"/>
  <c r="Y631" i="5" s="1"/>
  <c r="T632" i="5"/>
  <c r="T633" i="5"/>
  <c r="X633" i="5" s="1"/>
  <c r="Y633" i="5" s="1"/>
  <c r="T634" i="5"/>
  <c r="X634" i="5" s="1"/>
  <c r="Y634" i="5" s="1"/>
  <c r="T635" i="5"/>
  <c r="X635" i="5" s="1"/>
  <c r="Y635" i="5" s="1"/>
  <c r="T636" i="5"/>
  <c r="X636" i="5" s="1"/>
  <c r="Y636" i="5" s="1"/>
  <c r="T637" i="5"/>
  <c r="X637" i="5" s="1"/>
  <c r="Y637" i="5" s="1"/>
  <c r="T638" i="5"/>
  <c r="X638" i="5" s="1"/>
  <c r="T639" i="5"/>
  <c r="T640" i="5"/>
  <c r="X640" i="5" s="1"/>
  <c r="T641" i="5"/>
  <c r="X641" i="5" s="1"/>
  <c r="Y641" i="5" s="1"/>
  <c r="T642" i="5"/>
  <c r="X642" i="5" s="1"/>
  <c r="T643" i="5"/>
  <c r="X643" i="5" s="1"/>
  <c r="T644" i="5"/>
  <c r="X644" i="5" s="1"/>
  <c r="T645" i="5"/>
  <c r="X645" i="5" s="1"/>
  <c r="Y645" i="5" s="1"/>
  <c r="T646" i="5"/>
  <c r="X646" i="5" s="1"/>
  <c r="Y646" i="5" s="1"/>
  <c r="T647" i="5"/>
  <c r="X647" i="5" s="1"/>
  <c r="Y647" i="5" s="1"/>
  <c r="T648" i="5"/>
  <c r="X648" i="5" s="1"/>
  <c r="Y648" i="5" s="1"/>
  <c r="T649" i="5"/>
  <c r="T650" i="5"/>
  <c r="X650" i="5" s="1"/>
  <c r="Y650" i="5" s="1"/>
  <c r="T651" i="5"/>
  <c r="X651" i="5" s="1"/>
  <c r="Y651" i="5" s="1"/>
  <c r="T652" i="5"/>
  <c r="X652" i="5" s="1"/>
  <c r="Y652" i="5" s="1"/>
  <c r="T653" i="5"/>
  <c r="X653" i="5" s="1"/>
  <c r="Y653" i="5" s="1"/>
  <c r="T654" i="5"/>
  <c r="X654" i="5" s="1"/>
  <c r="Y654" i="5" s="1"/>
  <c r="T655" i="5"/>
  <c r="X655" i="5" s="1"/>
  <c r="Y655" i="5" s="1"/>
  <c r="T656" i="5"/>
  <c r="T657" i="5"/>
  <c r="X657" i="5" s="1"/>
  <c r="T658" i="5"/>
  <c r="X658" i="5" s="1"/>
  <c r="T659" i="5"/>
  <c r="X659" i="5" s="1"/>
  <c r="T660" i="5"/>
  <c r="X660" i="5" s="1"/>
  <c r="T661" i="5"/>
  <c r="X661" i="5" s="1"/>
  <c r="T662" i="5"/>
  <c r="X662" i="5" s="1"/>
  <c r="T663" i="5"/>
  <c r="T664" i="5"/>
  <c r="T665" i="5"/>
  <c r="X665" i="5" s="1"/>
  <c r="Y665" i="5" s="1"/>
  <c r="T666" i="5"/>
  <c r="X666" i="5" s="1"/>
  <c r="Y666" i="5" s="1"/>
  <c r="T667" i="5"/>
  <c r="X667" i="5" s="1"/>
  <c r="Y667" i="5" s="1"/>
  <c r="T668" i="5"/>
  <c r="X668" i="5" s="1"/>
  <c r="Y668" i="5" s="1"/>
  <c r="T669" i="5"/>
  <c r="X669" i="5" s="1"/>
  <c r="Y669" i="5" s="1"/>
  <c r="T670" i="5"/>
  <c r="X670" i="5" s="1"/>
  <c r="Y670" i="5" s="1"/>
  <c r="T671" i="5"/>
  <c r="X671" i="5" s="1"/>
  <c r="Y671" i="5" s="1"/>
  <c r="T672" i="5"/>
  <c r="X672" i="5" s="1"/>
  <c r="Y672" i="5" s="1"/>
  <c r="T673" i="5"/>
  <c r="X673" i="5" s="1"/>
  <c r="Y673" i="5" s="1"/>
  <c r="T674" i="5"/>
  <c r="X674" i="5" s="1"/>
  <c r="T675" i="5"/>
  <c r="X675" i="5" s="1"/>
  <c r="T676" i="5"/>
  <c r="X676" i="5" s="1"/>
  <c r="T677" i="5"/>
  <c r="X677" i="5" s="1"/>
  <c r="Y677" i="5" s="1"/>
  <c r="T678" i="5"/>
  <c r="X678" i="5" s="1"/>
  <c r="Y678" i="5" s="1"/>
  <c r="T679" i="5"/>
  <c r="T680" i="5"/>
  <c r="X680" i="5" s="1"/>
  <c r="T681" i="5"/>
  <c r="X681" i="5" s="1"/>
  <c r="Y681" i="5" s="1"/>
  <c r="T682" i="5"/>
  <c r="X682" i="5" s="1"/>
  <c r="T683" i="5"/>
  <c r="T684" i="5"/>
  <c r="X684" i="5" s="1"/>
  <c r="Y684" i="5" s="1"/>
  <c r="T685" i="5"/>
  <c r="X685" i="5" s="1"/>
  <c r="Y685" i="5" s="1"/>
  <c r="T686" i="5"/>
  <c r="X686" i="5" s="1"/>
  <c r="Y686" i="5" s="1"/>
  <c r="T687" i="5"/>
  <c r="T688" i="5"/>
  <c r="X688" i="5" s="1"/>
  <c r="Y688" i="5" s="1"/>
  <c r="T689" i="5"/>
  <c r="X689" i="5" s="1"/>
  <c r="Y689" i="5" s="1"/>
  <c r="T690" i="5"/>
  <c r="T691" i="5"/>
  <c r="X691" i="5" s="1"/>
  <c r="T692" i="5"/>
  <c r="X692" i="5" s="1"/>
  <c r="T693" i="5"/>
  <c r="T694" i="5"/>
  <c r="X694" i="5" s="1"/>
  <c r="Y694" i="5" s="1"/>
  <c r="T695" i="5"/>
  <c r="T696" i="5"/>
  <c r="T697" i="5"/>
  <c r="X697" i="5" s="1"/>
  <c r="Y697" i="5" s="1"/>
  <c r="T698" i="5"/>
  <c r="X698" i="5" s="1"/>
  <c r="T699" i="5"/>
  <c r="X699" i="5" s="1"/>
  <c r="Y699" i="5" s="1"/>
  <c r="T700" i="5"/>
  <c r="X700" i="5" s="1"/>
  <c r="T701" i="5"/>
  <c r="X701" i="5" s="1"/>
  <c r="Y701" i="5" s="1"/>
  <c r="T702" i="5"/>
  <c r="T703" i="5"/>
  <c r="X703" i="5" s="1"/>
  <c r="Y703" i="5" s="1"/>
  <c r="T704" i="5"/>
  <c r="X704" i="5" s="1"/>
  <c r="Y704" i="5" s="1"/>
  <c r="T705" i="5"/>
  <c r="X705" i="5" s="1"/>
  <c r="Y705" i="5" s="1"/>
  <c r="T706" i="5"/>
  <c r="X706" i="5" s="1"/>
  <c r="T707" i="5"/>
  <c r="X707" i="5" s="1"/>
  <c r="T708" i="5"/>
  <c r="X708" i="5" s="1"/>
  <c r="T709" i="5"/>
  <c r="X709" i="5" s="1"/>
  <c r="Y709" i="5" s="1"/>
  <c r="T710" i="5"/>
  <c r="X710" i="5" s="1"/>
  <c r="Y710" i="5" s="1"/>
  <c r="T711" i="5"/>
  <c r="X711" i="5" s="1"/>
  <c r="Y711" i="5" s="1"/>
  <c r="T712" i="5"/>
  <c r="T713" i="5"/>
  <c r="X713" i="5" s="1"/>
  <c r="Y713" i="5" s="1"/>
  <c r="T714" i="5"/>
  <c r="X714" i="5" s="1"/>
  <c r="Y714" i="5" s="1"/>
  <c r="T715" i="5"/>
  <c r="T716" i="5"/>
  <c r="X716" i="5" s="1"/>
  <c r="Y716" i="5" s="1"/>
  <c r="T717" i="5"/>
  <c r="X717" i="5" s="1"/>
  <c r="T718" i="5"/>
  <c r="X718" i="5" s="1"/>
  <c r="T719" i="5"/>
  <c r="X719" i="5" s="1"/>
  <c r="T720" i="5"/>
  <c r="X720" i="5" s="1"/>
  <c r="Y720" i="5" s="1"/>
  <c r="T721" i="5"/>
  <c r="X721" i="5" s="1"/>
  <c r="Y721" i="5" s="1"/>
  <c r="T722" i="5"/>
  <c r="X722" i="5" s="1"/>
  <c r="T723" i="5"/>
  <c r="X723" i="5" s="1"/>
  <c r="T724" i="5"/>
  <c r="X724" i="5" s="1"/>
  <c r="T725" i="5"/>
  <c r="X725" i="5" s="1"/>
  <c r="Y725" i="5" s="1"/>
  <c r="T726" i="5"/>
  <c r="X726" i="5" s="1"/>
  <c r="Y726" i="5" s="1"/>
  <c r="T727" i="5"/>
  <c r="X727" i="5" s="1"/>
  <c r="Y727" i="5" s="1"/>
  <c r="T728" i="5"/>
  <c r="X728" i="5" s="1"/>
  <c r="Y728" i="5" s="1"/>
  <c r="T729" i="5"/>
  <c r="T730" i="5"/>
  <c r="T731" i="5"/>
  <c r="X731" i="5" s="1"/>
  <c r="Y731" i="5" s="1"/>
  <c r="T732" i="5"/>
  <c r="X732" i="5" s="1"/>
  <c r="Y732" i="5" s="1"/>
  <c r="T733" i="5"/>
  <c r="X733" i="5" s="1"/>
  <c r="Y733" i="5" s="1"/>
  <c r="T734" i="5"/>
  <c r="X734" i="5" s="1"/>
  <c r="Y734" i="5" s="1"/>
  <c r="T735" i="5"/>
  <c r="X735" i="5" s="1"/>
  <c r="Y735" i="5" s="1"/>
  <c r="T736" i="5"/>
  <c r="X736" i="5" s="1"/>
  <c r="T737" i="5"/>
  <c r="X737" i="5" s="1"/>
  <c r="T738" i="5"/>
  <c r="X738" i="5" s="1"/>
  <c r="T739" i="5"/>
  <c r="X739" i="5" s="1"/>
  <c r="T740" i="5"/>
  <c r="X740" i="5" s="1"/>
  <c r="T741" i="5"/>
  <c r="X741" i="5" s="1"/>
  <c r="T742" i="5"/>
  <c r="X742" i="5" s="1"/>
  <c r="Y742" i="5" s="1"/>
  <c r="T743" i="5"/>
  <c r="X743" i="5" s="1"/>
  <c r="Y743" i="5" s="1"/>
  <c r="T744" i="5"/>
  <c r="T745" i="5"/>
  <c r="X745" i="5" s="1"/>
  <c r="Y745" i="5" s="1"/>
  <c r="T746" i="5"/>
  <c r="X746" i="5" s="1"/>
  <c r="Y746" i="5" s="1"/>
  <c r="T747" i="5"/>
  <c r="T748" i="5"/>
  <c r="T749" i="5"/>
  <c r="X749" i="5" s="1"/>
  <c r="Y749" i="5" s="1"/>
  <c r="T750" i="5"/>
  <c r="X750" i="5" s="1"/>
  <c r="Y750" i="5" s="1"/>
  <c r="T751" i="5"/>
  <c r="T752" i="5"/>
  <c r="X752" i="5" s="1"/>
  <c r="Y752" i="5" s="1"/>
  <c r="T753" i="5"/>
  <c r="X753" i="5" s="1"/>
  <c r="Y753" i="5" s="1"/>
  <c r="T754" i="5"/>
  <c r="X754" i="5" s="1"/>
  <c r="T755" i="5"/>
  <c r="X755" i="5" s="1"/>
  <c r="T756" i="5"/>
  <c r="T757" i="5"/>
  <c r="X757" i="5" s="1"/>
  <c r="Y757" i="5" s="1"/>
  <c r="T758" i="5"/>
  <c r="X758" i="5" s="1"/>
  <c r="T759" i="5"/>
  <c r="X759" i="5" s="1"/>
  <c r="T760" i="5"/>
  <c r="X760" i="5" s="1"/>
  <c r="T761" i="5"/>
  <c r="X761" i="5" s="1"/>
  <c r="Y761" i="5" s="1"/>
  <c r="T762" i="5"/>
  <c r="X762" i="5" s="1"/>
  <c r="T763" i="5"/>
  <c r="X763" i="5" s="1"/>
  <c r="Y763" i="5" s="1"/>
  <c r="T764" i="5"/>
  <c r="T765" i="5"/>
  <c r="X765" i="5" s="1"/>
  <c r="Y765" i="5" s="1"/>
  <c r="T766" i="5"/>
  <c r="X766" i="5" s="1"/>
  <c r="Y766" i="5" s="1"/>
  <c r="T767" i="5"/>
  <c r="X767" i="5" s="1"/>
  <c r="Y767" i="5" s="1"/>
  <c r="T768" i="5"/>
  <c r="T769" i="5"/>
  <c r="X769" i="5" s="1"/>
  <c r="T770" i="5"/>
  <c r="X770" i="5" s="1"/>
  <c r="T771" i="5"/>
  <c r="X771" i="5" s="1"/>
  <c r="T772" i="5"/>
  <c r="T773" i="5"/>
  <c r="X773" i="5" s="1"/>
  <c r="Y773" i="5" s="1"/>
  <c r="T774" i="5"/>
  <c r="X774" i="5" s="1"/>
  <c r="Y774" i="5" s="1"/>
  <c r="T775" i="5"/>
  <c r="X775" i="5" s="1"/>
  <c r="Y775" i="5" s="1"/>
  <c r="T776" i="5"/>
  <c r="T777" i="5"/>
  <c r="X777" i="5" s="1"/>
  <c r="Y777" i="5" s="1"/>
  <c r="T778" i="5"/>
  <c r="T779" i="5"/>
  <c r="X779" i="5" s="1"/>
  <c r="Y779" i="5" s="1"/>
  <c r="T780" i="5"/>
  <c r="X780" i="5" s="1"/>
  <c r="Y780" i="5" s="1"/>
  <c r="T781" i="5"/>
  <c r="X781" i="5" s="1"/>
  <c r="Y781" i="5" s="1"/>
  <c r="T782" i="5"/>
  <c r="X782" i="5" s="1"/>
  <c r="Y782" i="5" s="1"/>
  <c r="T783" i="5"/>
  <c r="X783" i="5" s="1"/>
  <c r="T784" i="5"/>
  <c r="X784" i="5" s="1"/>
  <c r="T785" i="5"/>
  <c r="X785" i="5" s="1"/>
  <c r="Y785" i="5" s="1"/>
  <c r="T786" i="5"/>
  <c r="X786" i="5" s="1"/>
  <c r="T787" i="5"/>
  <c r="X787" i="5" s="1"/>
  <c r="T788" i="5"/>
  <c r="X788" i="5" s="1"/>
  <c r="T789" i="5"/>
  <c r="X789" i="5" s="1"/>
  <c r="Y789" i="5" s="1"/>
  <c r="T790" i="5"/>
  <c r="X790" i="5" s="1"/>
  <c r="Y790" i="5" s="1"/>
  <c r="T791" i="5"/>
  <c r="X791" i="5" s="1"/>
  <c r="Y791" i="5" s="1"/>
  <c r="T792" i="5"/>
  <c r="X792" i="5" s="1"/>
  <c r="Y792" i="5" s="1"/>
  <c r="T793" i="5"/>
  <c r="X793" i="5" s="1"/>
  <c r="Y793" i="5" s="1"/>
  <c r="T794" i="5"/>
  <c r="X794" i="5" s="1"/>
  <c r="T795" i="5"/>
  <c r="X795" i="5" s="1"/>
  <c r="T796" i="5"/>
  <c r="X796" i="5" s="1"/>
  <c r="T797" i="5"/>
  <c r="X797" i="5" s="1"/>
  <c r="T798" i="5"/>
  <c r="X798" i="5" s="1"/>
  <c r="T799" i="5"/>
  <c r="T800" i="5"/>
  <c r="X800" i="5" s="1"/>
  <c r="Y800" i="5" s="1"/>
  <c r="T801" i="5"/>
  <c r="X801" i="5" s="1"/>
  <c r="Y801" i="5" s="1"/>
  <c r="T802" i="5"/>
  <c r="X802" i="5" s="1"/>
  <c r="T803" i="5"/>
  <c r="X803" i="5" s="1"/>
  <c r="T804" i="5"/>
  <c r="X804" i="5" s="1"/>
  <c r="T805" i="5"/>
  <c r="X805" i="5" s="1"/>
  <c r="Y805" i="5" s="1"/>
  <c r="T806" i="5"/>
  <c r="X806" i="5" s="1"/>
  <c r="Y806" i="5" s="1"/>
  <c r="T807" i="5"/>
  <c r="X807" i="5" s="1"/>
  <c r="Y807" i="5" s="1"/>
  <c r="T808" i="5"/>
  <c r="T809" i="5"/>
  <c r="X809" i="5" s="1"/>
  <c r="Y809" i="5" s="1"/>
  <c r="T810" i="5"/>
  <c r="X810" i="5" s="1"/>
  <c r="Y810" i="5" s="1"/>
  <c r="T811" i="5"/>
  <c r="X811" i="5" s="1"/>
  <c r="Y811" i="5" s="1"/>
  <c r="T812" i="5"/>
  <c r="X812" i="5" s="1"/>
  <c r="Y812" i="5" s="1"/>
  <c r="T813" i="5"/>
  <c r="X813" i="5" s="1"/>
  <c r="Y813" i="5" s="1"/>
  <c r="T814" i="5"/>
  <c r="X814" i="5" s="1"/>
  <c r="Y814" i="5" s="1"/>
  <c r="T815" i="5"/>
  <c r="X815" i="5" s="1"/>
  <c r="T816" i="5"/>
  <c r="X816" i="5" s="1"/>
  <c r="T817" i="5"/>
  <c r="X817" i="5" s="1"/>
  <c r="T818" i="5"/>
  <c r="X818" i="5" s="1"/>
  <c r="T819" i="5"/>
  <c r="X819" i="5" s="1"/>
  <c r="T820" i="5"/>
  <c r="X820" i="5" s="1"/>
  <c r="T821" i="5"/>
  <c r="T822" i="5"/>
  <c r="X822" i="5" s="1"/>
  <c r="Y822" i="5" s="1"/>
  <c r="T823" i="5"/>
  <c r="T824" i="5"/>
  <c r="T825" i="5"/>
  <c r="X825" i="5" s="1"/>
  <c r="Y825" i="5" s="1"/>
  <c r="T826" i="5"/>
  <c r="X826" i="5" s="1"/>
  <c r="Y826" i="5" s="1"/>
  <c r="T827" i="5"/>
  <c r="X827" i="5" s="1"/>
  <c r="Y827" i="5" s="1"/>
  <c r="T828" i="5"/>
  <c r="X828" i="5" s="1"/>
  <c r="Y828" i="5" s="1"/>
  <c r="T829" i="5"/>
  <c r="X829" i="5" s="1"/>
  <c r="Y829" i="5" s="1"/>
  <c r="T830" i="5"/>
  <c r="X830" i="5" s="1"/>
  <c r="Y830" i="5" s="1"/>
  <c r="T831" i="5"/>
  <c r="X831" i="5" s="1"/>
  <c r="Y831" i="5" s="1"/>
  <c r="T832" i="5"/>
  <c r="T833" i="5"/>
  <c r="X833" i="5" s="1"/>
  <c r="Y833" i="5" s="1"/>
  <c r="T834" i="5"/>
  <c r="X834" i="5" s="1"/>
  <c r="T835" i="5"/>
  <c r="X835" i="5" s="1"/>
  <c r="T836" i="5"/>
  <c r="X836" i="5" s="1"/>
  <c r="T837" i="5"/>
  <c r="X837" i="5" s="1"/>
  <c r="T838" i="5"/>
  <c r="T839" i="5"/>
  <c r="X839" i="5" s="1"/>
  <c r="T840" i="5"/>
  <c r="T841" i="5"/>
  <c r="X841" i="5" s="1"/>
  <c r="Y841" i="5" s="1"/>
  <c r="T842" i="5"/>
  <c r="X842" i="5" s="1"/>
  <c r="Y842" i="5" s="1"/>
  <c r="T843" i="5"/>
  <c r="X843" i="5" s="1"/>
  <c r="Y843" i="5" s="1"/>
  <c r="T844" i="5"/>
  <c r="X844" i="5" s="1"/>
  <c r="Y844" i="5" s="1"/>
  <c r="T845" i="5"/>
  <c r="T846" i="5"/>
  <c r="T847" i="5"/>
  <c r="X847" i="5" s="1"/>
  <c r="Y847" i="5" s="1"/>
  <c r="T848" i="5"/>
  <c r="X848" i="5" s="1"/>
  <c r="Y848" i="5" s="1"/>
  <c r="T849" i="5"/>
  <c r="X849" i="5" s="1"/>
  <c r="Y849" i="5" s="1"/>
  <c r="T850" i="5"/>
  <c r="X850" i="5" s="1"/>
  <c r="T851" i="5"/>
  <c r="X851" i="5" s="1"/>
  <c r="T852" i="5"/>
  <c r="T853" i="5"/>
  <c r="X853" i="5" s="1"/>
  <c r="Y853" i="5" s="1"/>
  <c r="T854" i="5"/>
  <c r="X854" i="5" s="1"/>
  <c r="Y854" i="5" s="1"/>
  <c r="T855" i="5"/>
  <c r="T856" i="5"/>
  <c r="T857" i="5"/>
  <c r="X857" i="5" s="1"/>
  <c r="Y857" i="5" s="1"/>
  <c r="T858" i="5"/>
  <c r="X858" i="5" s="1"/>
  <c r="Y858" i="5" s="1"/>
  <c r="T859" i="5"/>
  <c r="X859" i="5" s="1"/>
  <c r="Y859" i="5" s="1"/>
  <c r="T860" i="5"/>
  <c r="X860" i="5" s="1"/>
  <c r="Y860" i="5" s="1"/>
  <c r="T861" i="5"/>
  <c r="X861" i="5" s="1"/>
  <c r="Y861" i="5" s="1"/>
  <c r="T862" i="5"/>
  <c r="X862" i="5" s="1"/>
  <c r="T863" i="5"/>
  <c r="X863" i="5" s="1"/>
  <c r="T864" i="5"/>
  <c r="X864" i="5" s="1"/>
  <c r="T865" i="5"/>
  <c r="X865" i="5" s="1"/>
  <c r="Y865" i="5" s="1"/>
  <c r="T866" i="5"/>
  <c r="X866" i="5" s="1"/>
  <c r="T867" i="5"/>
  <c r="X867" i="5" s="1"/>
  <c r="T868" i="5"/>
  <c r="X868" i="5" s="1"/>
  <c r="T869" i="5"/>
  <c r="X869" i="5" s="1"/>
  <c r="Y869" i="5" s="1"/>
  <c r="T870" i="5"/>
  <c r="X870" i="5" s="1"/>
  <c r="Y870" i="5" s="1"/>
  <c r="T871" i="5"/>
  <c r="X871" i="5" s="1"/>
  <c r="Y871" i="5" s="1"/>
  <c r="T872" i="5"/>
  <c r="T873" i="5"/>
  <c r="X873" i="5" s="1"/>
  <c r="Y873" i="5" s="1"/>
  <c r="T874" i="5"/>
  <c r="X874" i="5" s="1"/>
  <c r="T875" i="5"/>
  <c r="X875" i="5" s="1"/>
  <c r="T876" i="5"/>
  <c r="X876" i="5" s="1"/>
  <c r="T877" i="5"/>
  <c r="X877" i="5" s="1"/>
  <c r="T878" i="5"/>
  <c r="X878" i="5" s="1"/>
  <c r="Y878" i="5" s="1"/>
  <c r="T879" i="5"/>
  <c r="X879" i="5" s="1"/>
  <c r="Y879" i="5" s="1"/>
  <c r="T880" i="5"/>
  <c r="X880" i="5" s="1"/>
  <c r="Y880" i="5" s="1"/>
  <c r="T881" i="5"/>
  <c r="X881" i="5" s="1"/>
  <c r="Y881" i="5" s="1"/>
  <c r="T882" i="5"/>
  <c r="T883" i="5"/>
  <c r="X883" i="5" s="1"/>
  <c r="T884" i="5"/>
  <c r="X884" i="5" s="1"/>
  <c r="T885" i="5"/>
  <c r="X885" i="5" s="1"/>
  <c r="Y885" i="5" s="1"/>
  <c r="T886" i="5"/>
  <c r="X886" i="5" s="1"/>
  <c r="Y886" i="5" s="1"/>
  <c r="T887" i="5"/>
  <c r="X887" i="5" s="1"/>
  <c r="Y887" i="5" s="1"/>
  <c r="T888" i="5"/>
  <c r="T889" i="5"/>
  <c r="X889" i="5" s="1"/>
  <c r="Y889" i="5" s="1"/>
  <c r="T890" i="5"/>
  <c r="X890" i="5" s="1"/>
  <c r="T891" i="5"/>
  <c r="X891" i="5" s="1"/>
  <c r="T892" i="5"/>
  <c r="X892" i="5" s="1"/>
  <c r="T893" i="5"/>
  <c r="X893" i="5" s="1"/>
  <c r="Y893" i="5" s="1"/>
  <c r="T894" i="5"/>
  <c r="X894" i="5" s="1"/>
  <c r="T895" i="5"/>
  <c r="X895" i="5" s="1"/>
  <c r="T896" i="5"/>
  <c r="T897" i="5"/>
  <c r="X897" i="5" s="1"/>
  <c r="Y897" i="5" s="1"/>
  <c r="T898" i="5"/>
  <c r="X898" i="5" s="1"/>
  <c r="T899" i="5"/>
  <c r="X899" i="5" s="1"/>
  <c r="T900" i="5"/>
  <c r="X900" i="5" s="1"/>
  <c r="T901" i="5"/>
  <c r="T902" i="5"/>
  <c r="T903" i="5"/>
  <c r="X903" i="5" s="1"/>
  <c r="Y903" i="5" s="1"/>
  <c r="T904" i="5"/>
  <c r="T905" i="5"/>
  <c r="X905" i="5" s="1"/>
  <c r="Y905" i="5" s="1"/>
  <c r="T906" i="5"/>
  <c r="X906" i="5" s="1"/>
  <c r="Y906" i="5" s="1"/>
  <c r="T907" i="5"/>
  <c r="X907" i="5" s="1"/>
  <c r="Y907" i="5" s="1"/>
  <c r="T908" i="5"/>
  <c r="X908" i="5" s="1"/>
  <c r="Y908" i="5" s="1"/>
  <c r="T909" i="5"/>
  <c r="X909" i="5" s="1"/>
  <c r="Y909" i="5" s="1"/>
  <c r="T910" i="5"/>
  <c r="X910" i="5" s="1"/>
  <c r="Y910" i="5" s="1"/>
  <c r="T911" i="5"/>
  <c r="T912" i="5"/>
  <c r="X912" i="5" s="1"/>
  <c r="Y912" i="5" s="1"/>
  <c r="T913" i="5"/>
  <c r="X913" i="5" s="1"/>
  <c r="T914" i="5"/>
  <c r="T915" i="5"/>
  <c r="T916" i="5"/>
  <c r="X916" i="5" s="1"/>
  <c r="T917" i="5"/>
  <c r="X917" i="5" s="1"/>
  <c r="T918" i="5"/>
  <c r="X918" i="5" s="1"/>
  <c r="T919" i="5"/>
  <c r="T920" i="5"/>
  <c r="X920" i="5" s="1"/>
  <c r="Y920" i="5" s="1"/>
  <c r="T921" i="5"/>
  <c r="X921" i="5" s="1"/>
  <c r="Y921" i="5" s="1"/>
  <c r="T922" i="5"/>
  <c r="X922" i="5" s="1"/>
  <c r="Y922" i="5" s="1"/>
  <c r="T923" i="5"/>
  <c r="X923" i="5" s="1"/>
  <c r="Y923" i="5" s="1"/>
  <c r="T924" i="5"/>
  <c r="X924" i="5" s="1"/>
  <c r="Y924" i="5" s="1"/>
  <c r="T925" i="5"/>
  <c r="T926" i="5"/>
  <c r="X926" i="5" s="1"/>
  <c r="Y926" i="5" s="1"/>
  <c r="T927" i="5"/>
  <c r="T928" i="5"/>
  <c r="X928" i="5" s="1"/>
  <c r="Y928" i="5" s="1"/>
  <c r="T929" i="5"/>
  <c r="X929" i="5" s="1"/>
  <c r="Y929" i="5" s="1"/>
  <c r="T930" i="5"/>
  <c r="X930" i="5" s="1"/>
  <c r="T931" i="5"/>
  <c r="X931" i="5" s="1"/>
  <c r="T932" i="5"/>
  <c r="X932" i="5" s="1"/>
  <c r="T933" i="5"/>
  <c r="X933" i="5" s="1"/>
  <c r="Y933" i="5" s="1"/>
  <c r="T934" i="5"/>
  <c r="T935" i="5"/>
  <c r="X935" i="5" s="1"/>
  <c r="T936" i="5"/>
  <c r="T937" i="5"/>
  <c r="X937" i="5" s="1"/>
  <c r="Y937" i="5" s="1"/>
  <c r="T938" i="5"/>
  <c r="X938" i="5" s="1"/>
  <c r="Y938" i="5" s="1"/>
  <c r="T939" i="5"/>
  <c r="X939" i="5" s="1"/>
  <c r="T940" i="5"/>
  <c r="X940" i="5" s="1"/>
  <c r="Y940" i="5" s="1"/>
  <c r="T941" i="5"/>
  <c r="X941" i="5" s="1"/>
  <c r="Y941" i="5" s="1"/>
  <c r="T942" i="5"/>
  <c r="X942" i="5" s="1"/>
  <c r="Y942" i="5" s="1"/>
  <c r="T943" i="5"/>
  <c r="X943" i="5" s="1"/>
  <c r="Y943" i="5" s="1"/>
  <c r="T944" i="5"/>
  <c r="X944" i="5" s="1"/>
  <c r="T945" i="5"/>
  <c r="T946" i="5"/>
  <c r="X946" i="5" s="1"/>
  <c r="T947" i="5"/>
  <c r="T948" i="5"/>
  <c r="X948" i="5" s="1"/>
  <c r="T949" i="5"/>
  <c r="X949" i="5" s="1"/>
  <c r="Y949" i="5" s="1"/>
  <c r="T950" i="5"/>
  <c r="X950" i="5" s="1"/>
  <c r="Y950" i="5" s="1"/>
  <c r="T951" i="5"/>
  <c r="X951" i="5" s="1"/>
  <c r="Y951" i="5" s="1"/>
  <c r="T952" i="5"/>
  <c r="X952" i="5" s="1"/>
  <c r="Y952" i="5" s="1"/>
  <c r="T953" i="5"/>
  <c r="X953" i="5" s="1"/>
  <c r="Y953" i="5" s="1"/>
  <c r="T954" i="5"/>
  <c r="X954" i="5" s="1"/>
  <c r="Y954" i="5" s="1"/>
  <c r="T955" i="5"/>
  <c r="X955" i="5" s="1"/>
  <c r="Y955" i="5" s="1"/>
  <c r="T956" i="5"/>
  <c r="X956" i="5" s="1"/>
  <c r="T957" i="5"/>
  <c r="X957" i="5" s="1"/>
  <c r="Y957" i="5" s="1"/>
  <c r="T958" i="5"/>
  <c r="X958" i="5" s="1"/>
  <c r="Y958" i="5" s="1"/>
  <c r="T959" i="5"/>
  <c r="X959" i="5" s="1"/>
  <c r="Y959" i="5" s="1"/>
  <c r="T960" i="5"/>
  <c r="T961" i="5"/>
  <c r="X961" i="5" s="1"/>
  <c r="Y961" i="5" s="1"/>
  <c r="T962" i="5"/>
  <c r="X962" i="5" s="1"/>
  <c r="T963" i="5"/>
  <c r="X963" i="5" s="1"/>
  <c r="T964" i="5"/>
  <c r="X964" i="5" s="1"/>
  <c r="T965" i="5"/>
  <c r="X965" i="5" s="1"/>
  <c r="Y965" i="5" s="1"/>
  <c r="T966" i="5"/>
  <c r="X966" i="5" s="1"/>
  <c r="Y966" i="5" s="1"/>
  <c r="T967" i="5"/>
  <c r="T968" i="5"/>
  <c r="X968" i="5" s="1"/>
  <c r="Y968" i="5" s="1"/>
  <c r="T969" i="5"/>
  <c r="X969" i="5" s="1"/>
  <c r="Y969" i="5" s="1"/>
  <c r="T970" i="5"/>
  <c r="X970" i="5" s="1"/>
  <c r="T971" i="5"/>
  <c r="X971" i="5" s="1"/>
  <c r="Y971" i="5" s="1"/>
  <c r="T972" i="5"/>
  <c r="X972" i="5" s="1"/>
  <c r="T973" i="5"/>
  <c r="X973" i="5" s="1"/>
  <c r="T974" i="5"/>
  <c r="X974" i="5" s="1"/>
  <c r="T975" i="5"/>
  <c r="X975" i="5" s="1"/>
  <c r="T976" i="5"/>
  <c r="X976" i="5" s="1"/>
  <c r="Y976" i="5" s="1"/>
  <c r="T977" i="5"/>
  <c r="X977" i="5" s="1"/>
  <c r="Y977" i="5" s="1"/>
  <c r="T978" i="5"/>
  <c r="X978" i="5" s="1"/>
  <c r="T979" i="5"/>
  <c r="X979" i="5" s="1"/>
  <c r="T980" i="5"/>
  <c r="X980" i="5" s="1"/>
  <c r="T981" i="5"/>
  <c r="X981" i="5" s="1"/>
  <c r="Y981" i="5" s="1"/>
  <c r="T982" i="5"/>
  <c r="X982" i="5" s="1"/>
  <c r="Y982" i="5" s="1"/>
  <c r="T983" i="5"/>
  <c r="X983" i="5" s="1"/>
  <c r="Y983" i="5" s="1"/>
  <c r="T984" i="5"/>
  <c r="X984" i="5" s="1"/>
  <c r="Y984" i="5" s="1"/>
  <c r="T985" i="5"/>
  <c r="X985" i="5" s="1"/>
  <c r="Y985" i="5" s="1"/>
  <c r="T986" i="5"/>
  <c r="X986" i="5" s="1"/>
  <c r="Y986" i="5" s="1"/>
  <c r="T987" i="5"/>
  <c r="X987" i="5" s="1"/>
  <c r="Y987" i="5" s="1"/>
  <c r="T988" i="5"/>
  <c r="X988" i="5" s="1"/>
  <c r="Y988" i="5" s="1"/>
  <c r="T989" i="5"/>
  <c r="T990" i="5"/>
  <c r="X990" i="5" s="1"/>
  <c r="Y990" i="5" s="1"/>
  <c r="T991" i="5"/>
  <c r="X991" i="5" s="1"/>
  <c r="Y991" i="5" s="1"/>
  <c r="T992" i="5"/>
  <c r="X992" i="5" s="1"/>
  <c r="T993" i="5"/>
  <c r="X993" i="5" s="1"/>
  <c r="T994" i="5"/>
  <c r="X994" i="5" s="1"/>
  <c r="T995" i="5"/>
  <c r="X995" i="5" s="1"/>
  <c r="T996" i="5"/>
  <c r="X996" i="5" s="1"/>
  <c r="T997" i="5"/>
  <c r="X997" i="5" s="1"/>
  <c r="T998" i="5"/>
  <c r="X998" i="5" s="1"/>
  <c r="Y998" i="5" s="1"/>
  <c r="T999" i="5"/>
  <c r="X999" i="5" s="1"/>
  <c r="Y999" i="5" s="1"/>
  <c r="T1000" i="5"/>
  <c r="T1001" i="5"/>
  <c r="T1002" i="5"/>
  <c r="X1002" i="5" s="1"/>
  <c r="T1003" i="5"/>
  <c r="X1003" i="5" s="1"/>
  <c r="Y1003" i="5" s="1"/>
  <c r="T1004" i="5"/>
  <c r="T1005" i="5"/>
  <c r="X1005" i="5" s="1"/>
  <c r="Y1005" i="5" s="1"/>
  <c r="T1006" i="5"/>
  <c r="X1006" i="5" s="1"/>
  <c r="Y1006" i="5" s="1"/>
  <c r="T1007" i="5"/>
  <c r="X1007" i="5" s="1"/>
  <c r="Y1007" i="5" s="1"/>
  <c r="T1008" i="5"/>
  <c r="X1008" i="5" s="1"/>
  <c r="Y1008" i="5" s="1"/>
  <c r="T1009" i="5"/>
  <c r="X1009" i="5" s="1"/>
  <c r="Y1009" i="5" s="1"/>
  <c r="T1010" i="5"/>
  <c r="X1010" i="5" s="1"/>
  <c r="T1011" i="5"/>
  <c r="X1011" i="5" s="1"/>
  <c r="T1012" i="5"/>
  <c r="T1013" i="5"/>
  <c r="X1013" i="5" s="1"/>
  <c r="Y1013" i="5" s="1"/>
  <c r="T1014" i="5"/>
  <c r="X1014" i="5" s="1"/>
  <c r="T1015" i="5"/>
  <c r="X1015" i="5" s="1"/>
  <c r="T1016" i="5"/>
  <c r="T1017" i="5"/>
  <c r="X1017" i="5" s="1"/>
  <c r="Y1017" i="5" s="1"/>
  <c r="T1018" i="5"/>
  <c r="X1018" i="5" s="1"/>
  <c r="T1019" i="5"/>
  <c r="X1019" i="5" s="1"/>
  <c r="T1020" i="5"/>
  <c r="X1020" i="5" s="1"/>
  <c r="Y1020" i="5" s="1"/>
  <c r="T1021" i="5"/>
  <c r="X1021" i="5" s="1"/>
  <c r="Y1021" i="5" s="1"/>
  <c r="T1022" i="5"/>
  <c r="X1022" i="5" s="1"/>
  <c r="Z1022" i="5" s="1"/>
  <c r="T1023" i="5"/>
  <c r="X1023" i="5" s="1"/>
  <c r="T1024" i="5"/>
  <c r="T1025" i="5"/>
  <c r="X1025" i="5" s="1"/>
  <c r="T1026" i="5"/>
  <c r="X1026" i="5" s="1"/>
  <c r="T1027" i="5"/>
  <c r="X1027" i="5" s="1"/>
  <c r="Z1027" i="5" s="1"/>
  <c r="T1028" i="5"/>
  <c r="X1028" i="5" s="1"/>
  <c r="T1029" i="5"/>
  <c r="X1029" i="5" s="1"/>
  <c r="Y1029" i="5" s="1"/>
  <c r="T1030" i="5"/>
  <c r="X1030" i="5" s="1"/>
  <c r="Y1030" i="5" s="1"/>
  <c r="T1031" i="5"/>
  <c r="X1031" i="5" s="1"/>
  <c r="Y1031" i="5" s="1"/>
  <c r="T1032" i="5"/>
  <c r="X1032" i="5" s="1"/>
  <c r="Y1032" i="5" s="1"/>
  <c r="T1033" i="5"/>
  <c r="T1034" i="5"/>
  <c r="X1034" i="5" s="1"/>
  <c r="Y1034" i="5" s="1"/>
  <c r="T1035" i="5"/>
  <c r="X1035" i="5" s="1"/>
  <c r="Y1035" i="5" s="1"/>
  <c r="T1036" i="5"/>
  <c r="X1036" i="5" s="1"/>
  <c r="Y1036" i="5" s="1"/>
  <c r="T1037" i="5"/>
  <c r="X1037" i="5" s="1"/>
  <c r="Y1037" i="5" s="1"/>
  <c r="T1038" i="5"/>
  <c r="X1038" i="5" s="1"/>
  <c r="Y1038" i="5" s="1"/>
  <c r="T1039" i="5"/>
  <c r="X1039" i="5" s="1"/>
  <c r="T1040" i="5"/>
  <c r="X1040" i="5" s="1"/>
  <c r="T1041" i="5"/>
  <c r="X1041" i="5" s="1"/>
  <c r="T1042" i="5"/>
  <c r="X1042" i="5" s="1"/>
  <c r="T1043" i="5"/>
  <c r="X1043" i="5" s="1"/>
  <c r="T1044" i="5"/>
  <c r="X1044" i="5" s="1"/>
  <c r="T1045" i="5"/>
  <c r="X1045" i="5" s="1"/>
  <c r="Y1045" i="5" s="1"/>
  <c r="T1046" i="5"/>
  <c r="X1046" i="5" s="1"/>
  <c r="Y1046" i="5" s="1"/>
  <c r="T1047" i="5"/>
  <c r="X1047" i="5" s="1"/>
  <c r="Y1047" i="5" s="1"/>
  <c r="T1048" i="5"/>
  <c r="T1049" i="5"/>
  <c r="X1049" i="5" s="1"/>
  <c r="Y1049" i="5" s="1"/>
  <c r="T1050" i="5"/>
  <c r="X1050" i="5" s="1"/>
  <c r="T1051" i="5"/>
  <c r="X1051" i="5" s="1"/>
  <c r="Y1051" i="5" s="1"/>
  <c r="T1052" i="5"/>
  <c r="X1052" i="5" s="1"/>
  <c r="T1053" i="5"/>
  <c r="X1053" i="5" s="1"/>
  <c r="T1054" i="5"/>
  <c r="T1055" i="5"/>
  <c r="T1056" i="5"/>
  <c r="X1056" i="5" s="1"/>
  <c r="Y1056" i="5" s="1"/>
  <c r="T1057" i="5"/>
  <c r="X1057" i="5" s="1"/>
  <c r="Y1057" i="5" s="1"/>
  <c r="T1058" i="5"/>
  <c r="X1058" i="5" s="1"/>
  <c r="T1059" i="5"/>
  <c r="X1059" i="5" s="1"/>
  <c r="T1060" i="5"/>
  <c r="X1060" i="5" s="1"/>
  <c r="T1061" i="5"/>
  <c r="X1061" i="5" s="1"/>
  <c r="Y1061" i="5" s="1"/>
  <c r="T1062" i="5"/>
  <c r="X1062" i="5" s="1"/>
  <c r="Y1062" i="5" s="1"/>
  <c r="T1063" i="5"/>
  <c r="T1064" i="5"/>
  <c r="X1064" i="5" s="1"/>
  <c r="Y1064" i="5" s="1"/>
  <c r="T1065" i="5"/>
  <c r="X1065" i="5" s="1"/>
  <c r="Y1065" i="5" s="1"/>
  <c r="T1066" i="5"/>
  <c r="X1066" i="5" s="1"/>
  <c r="Y1066" i="5" s="1"/>
  <c r="T1067" i="5"/>
  <c r="X1067" i="5" s="1"/>
  <c r="Y1067" i="5" s="1"/>
  <c r="T1068" i="5"/>
  <c r="X1068" i="5" s="1"/>
  <c r="Y1068" i="5" s="1"/>
  <c r="T1069" i="5"/>
  <c r="X1069" i="5" s="1"/>
  <c r="Y1069" i="5" s="1"/>
  <c r="T1070" i="5"/>
  <c r="X1070" i="5" s="1"/>
  <c r="Y1070" i="5" s="1"/>
  <c r="T1071" i="5"/>
  <c r="X1071" i="5" s="1"/>
  <c r="T1072" i="5"/>
  <c r="X1072" i="5" s="1"/>
  <c r="T1073" i="5"/>
  <c r="X1073" i="5" s="1"/>
  <c r="T1074" i="5"/>
  <c r="X1074" i="5" s="1"/>
  <c r="T1075" i="5"/>
  <c r="X1075" i="5" s="1"/>
  <c r="T1076" i="5"/>
  <c r="X1076" i="5" s="1"/>
  <c r="T1077" i="5"/>
  <c r="X1077" i="5" s="1"/>
  <c r="Y1077" i="5" s="1"/>
  <c r="T1078" i="5"/>
  <c r="X1078" i="5" s="1"/>
  <c r="Y1078" i="5" s="1"/>
  <c r="T1079" i="5"/>
  <c r="X1079" i="5" s="1"/>
  <c r="Y1079" i="5" s="1"/>
  <c r="T1080" i="5"/>
  <c r="T1081" i="5"/>
  <c r="X1081" i="5" s="1"/>
  <c r="Y1081" i="5" s="1"/>
  <c r="T1082" i="5"/>
  <c r="X1082" i="5" s="1"/>
  <c r="Y1082" i="5" s="1"/>
  <c r="T1083" i="5"/>
  <c r="X1083" i="5" s="1"/>
  <c r="Y1083" i="5" s="1"/>
  <c r="T1084" i="5"/>
  <c r="T1085" i="5"/>
  <c r="X1085" i="5" s="1"/>
  <c r="Y1085" i="5" s="1"/>
  <c r="T1086" i="5"/>
  <c r="X1086" i="5" s="1"/>
  <c r="Y1086" i="5" s="1"/>
  <c r="T1087" i="5"/>
  <c r="X1087" i="5" s="1"/>
  <c r="Y1087" i="5" s="1"/>
  <c r="T1088" i="5"/>
  <c r="X1088" i="5" s="1"/>
  <c r="Y1088" i="5" s="1"/>
  <c r="T1089" i="5"/>
  <c r="X1089" i="5" s="1"/>
  <c r="Y1089" i="5" s="1"/>
  <c r="T1090" i="5"/>
  <c r="X1090" i="5" s="1"/>
  <c r="T1091" i="5"/>
  <c r="X1091" i="5" s="1"/>
  <c r="T1092" i="5"/>
  <c r="X1092" i="5" s="1"/>
  <c r="T1093" i="5"/>
  <c r="X1093" i="5" s="1"/>
  <c r="T1094" i="5"/>
  <c r="T1095" i="5"/>
  <c r="X1095" i="5" s="1"/>
  <c r="T1096" i="5"/>
  <c r="X1096" i="5" s="1"/>
  <c r="Y1096" i="5" s="1"/>
  <c r="T1097" i="5"/>
  <c r="X1097" i="5" s="1"/>
  <c r="T1098" i="5"/>
  <c r="X1098" i="5" s="1"/>
  <c r="Y1098" i="5" s="1"/>
  <c r="T1099" i="5"/>
  <c r="X1099" i="5" s="1"/>
  <c r="Y1099" i="5" s="1"/>
  <c r="T1100" i="5"/>
  <c r="X1100" i="5" s="1"/>
  <c r="T1101" i="5"/>
  <c r="X1101" i="5" s="1"/>
  <c r="Y1101" i="5" s="1"/>
  <c r="T1102" i="5"/>
  <c r="X1102" i="5" s="1"/>
  <c r="T1103" i="5"/>
  <c r="T1104" i="5"/>
  <c r="X1104" i="5" s="1"/>
  <c r="Y1104" i="5" s="1"/>
  <c r="T1105" i="5"/>
  <c r="X1105" i="5" s="1"/>
  <c r="Y1105" i="5" s="1"/>
  <c r="T1106" i="5"/>
  <c r="X1106" i="5" s="1"/>
  <c r="T1107" i="5"/>
  <c r="X1107" i="5" s="1"/>
  <c r="T1108" i="5"/>
  <c r="X1108" i="5" s="1"/>
  <c r="T1109" i="5"/>
  <c r="X1109" i="5" s="1"/>
  <c r="Y1109" i="5" s="1"/>
  <c r="T1110" i="5"/>
  <c r="X1110" i="5" s="1"/>
  <c r="Y1110" i="5" s="1"/>
  <c r="T1111" i="5"/>
  <c r="X1111" i="5" s="1"/>
  <c r="Y1111" i="5" s="1"/>
  <c r="T1112" i="5"/>
  <c r="T1113" i="5"/>
  <c r="X1113" i="5" s="1"/>
  <c r="T1114" i="5"/>
  <c r="X1114" i="5" s="1"/>
  <c r="Y1114" i="5" s="1"/>
  <c r="T1115" i="5"/>
  <c r="X1115" i="5" s="1"/>
  <c r="Y1115" i="5" s="1"/>
  <c r="T1116" i="5"/>
  <c r="T1117" i="5"/>
  <c r="X1117" i="5" s="1"/>
  <c r="T1118" i="5"/>
  <c r="X1118" i="5" s="1"/>
  <c r="T1119" i="5"/>
  <c r="T1120" i="5"/>
  <c r="X1120" i="5" s="1"/>
  <c r="T1121" i="5"/>
  <c r="X1121" i="5" s="1"/>
  <c r="Y1121" i="5" s="1"/>
  <c r="T1122" i="5"/>
  <c r="X1122" i="5" s="1"/>
  <c r="Z1122" i="5" s="1"/>
  <c r="T1123" i="5"/>
  <c r="X1123" i="5" s="1"/>
  <c r="T1124" i="5"/>
  <c r="X1124" i="5" s="1"/>
  <c r="T1125" i="5"/>
  <c r="X1125" i="5" s="1"/>
  <c r="Y1125" i="5" s="1"/>
  <c r="T1126" i="5"/>
  <c r="X1126" i="5" s="1"/>
  <c r="Y1126" i="5" s="1"/>
  <c r="T1127" i="5"/>
  <c r="X1127" i="5" s="1"/>
  <c r="Y1127" i="5" s="1"/>
  <c r="T1128" i="5"/>
  <c r="X1128" i="5" s="1"/>
  <c r="Y1128" i="5" s="1"/>
  <c r="T1129" i="5"/>
  <c r="T1130" i="5"/>
  <c r="X1130" i="5" s="1"/>
  <c r="Y1130" i="5" s="1"/>
  <c r="T1131" i="5"/>
  <c r="X1131" i="5" s="1"/>
  <c r="Y1131" i="5" s="1"/>
  <c r="T1132" i="5"/>
  <c r="X1132" i="5" s="1"/>
  <c r="T1133" i="5"/>
  <c r="X1133" i="5" s="1"/>
  <c r="T1134" i="5"/>
  <c r="X1134" i="5" s="1"/>
  <c r="Y1134" i="5" s="1"/>
  <c r="T1135" i="5"/>
  <c r="X1135" i="5" s="1"/>
  <c r="Y1135" i="5" s="1"/>
  <c r="T1136" i="5"/>
  <c r="T1137" i="5"/>
  <c r="X1137" i="5" s="1"/>
  <c r="Y1137" i="5" s="1"/>
  <c r="T1138" i="5"/>
  <c r="X1138" i="5" s="1"/>
  <c r="Z1138" i="5" s="1"/>
  <c r="T1139" i="5"/>
  <c r="X1139" i="5" s="1"/>
  <c r="T1140" i="5"/>
  <c r="T1141" i="5"/>
  <c r="X1141" i="5" s="1"/>
  <c r="Y1141" i="5" s="1"/>
  <c r="T1142" i="5"/>
  <c r="X1142" i="5" s="1"/>
  <c r="Y1142" i="5" s="1"/>
  <c r="T1143" i="5"/>
  <c r="X1143" i="5" s="1"/>
  <c r="Y1143" i="5" s="1"/>
  <c r="T1144" i="5"/>
  <c r="X1144" i="5" s="1"/>
  <c r="Y1144" i="5" s="1"/>
  <c r="T1145" i="5"/>
  <c r="X1145" i="5" s="1"/>
  <c r="T1146" i="5"/>
  <c r="X1146" i="5" s="1"/>
  <c r="T1147" i="5"/>
  <c r="X1147" i="5" s="1"/>
  <c r="Y1147" i="5" s="1"/>
  <c r="T1148" i="5"/>
  <c r="X1148" i="5" s="1"/>
  <c r="T1149" i="5"/>
  <c r="X1149" i="5" s="1"/>
  <c r="Y1149" i="5" s="1"/>
  <c r="T1150" i="5"/>
  <c r="X1150" i="5" s="1"/>
  <c r="T1151" i="5"/>
  <c r="X1151" i="5" s="1"/>
  <c r="T1152" i="5"/>
  <c r="X1152" i="5" s="1"/>
  <c r="T1153" i="5"/>
  <c r="X1153" i="5" s="1"/>
  <c r="Y1153" i="5" s="1"/>
  <c r="T1154" i="5"/>
  <c r="X1154" i="5" s="1"/>
  <c r="T1155" i="5"/>
  <c r="X1155" i="5" s="1"/>
  <c r="T1156" i="5"/>
  <c r="X1156" i="5" s="1"/>
  <c r="T1157" i="5"/>
  <c r="X1157" i="5" s="1"/>
  <c r="Y1157" i="5" s="1"/>
  <c r="T1158" i="5"/>
  <c r="X1158" i="5" s="1"/>
  <c r="Y1158" i="5" s="1"/>
  <c r="T1159" i="5"/>
  <c r="X1159" i="5" s="1"/>
  <c r="Y1159" i="5" s="1"/>
  <c r="T1160" i="5"/>
  <c r="T1161" i="5"/>
  <c r="X1161" i="5" s="1"/>
  <c r="T1162" i="5"/>
  <c r="X1162" i="5" s="1"/>
  <c r="T1163" i="5"/>
  <c r="T1164" i="5"/>
  <c r="X1164" i="5" s="1"/>
  <c r="Y1164" i="5" s="1"/>
  <c r="T1165" i="5"/>
  <c r="X1165" i="5" s="1"/>
  <c r="T1166" i="5"/>
  <c r="X1166" i="5" s="1"/>
  <c r="Y1166" i="5" s="1"/>
  <c r="T1167" i="5"/>
  <c r="X1167" i="5" s="1"/>
  <c r="T1168" i="5"/>
  <c r="X1168" i="5" s="1"/>
  <c r="T1169" i="5"/>
  <c r="X1169" i="5" s="1"/>
  <c r="T1170" i="5"/>
  <c r="X1170" i="5" s="1"/>
  <c r="T1171" i="5"/>
  <c r="X1171" i="5" s="1"/>
  <c r="T1172" i="5"/>
  <c r="X1172" i="5" s="1"/>
  <c r="T1173" i="5"/>
  <c r="X1173" i="5" s="1"/>
  <c r="T1174" i="5"/>
  <c r="T1175" i="5"/>
  <c r="X1175" i="5" s="1"/>
  <c r="Y1175" i="5" s="1"/>
  <c r="T1176" i="5"/>
  <c r="T1177" i="5"/>
  <c r="X1177" i="5" s="1"/>
  <c r="Y1177" i="5" s="1"/>
  <c r="T1178" i="5"/>
  <c r="X1178" i="5" s="1"/>
  <c r="Y1178" i="5" s="1"/>
  <c r="T1179" i="5"/>
  <c r="X1179" i="5" s="1"/>
  <c r="Y1179" i="5" s="1"/>
  <c r="T1180" i="5"/>
  <c r="X1180" i="5" s="1"/>
  <c r="Y1180" i="5" s="1"/>
  <c r="T1181" i="5"/>
  <c r="T1182" i="5"/>
  <c r="X1182" i="5" s="1"/>
  <c r="T1183" i="5"/>
  <c r="X1183" i="5" s="1"/>
  <c r="Y1183" i="5" s="1"/>
  <c r="T1184" i="5"/>
  <c r="X1184" i="5" s="1"/>
  <c r="T1185" i="5"/>
  <c r="X1185" i="5" s="1"/>
  <c r="T1186" i="5"/>
  <c r="X1186" i="5" s="1"/>
  <c r="T1187" i="5"/>
  <c r="T1188" i="5"/>
  <c r="X1188" i="5" s="1"/>
  <c r="T1189" i="5"/>
  <c r="X1189" i="5" s="1"/>
  <c r="Y1189" i="5" s="1"/>
  <c r="T1190" i="5"/>
  <c r="X1190" i="5" s="1"/>
  <c r="T1191" i="5"/>
  <c r="X1191" i="5" s="1"/>
  <c r="T1192" i="5"/>
  <c r="T1193" i="5"/>
  <c r="X1193" i="5" s="1"/>
  <c r="T1194" i="5"/>
  <c r="X1194" i="5" s="1"/>
  <c r="Y1194" i="5" s="1"/>
  <c r="T1195" i="5"/>
  <c r="X1195" i="5" s="1"/>
  <c r="Y1195" i="5" s="1"/>
  <c r="T1196" i="5"/>
  <c r="X1196" i="5" s="1"/>
  <c r="Y1196" i="5" s="1"/>
  <c r="T1197" i="5"/>
  <c r="X1197" i="5" s="1"/>
  <c r="Y1197" i="5" s="1"/>
  <c r="T1198" i="5"/>
  <c r="X1198" i="5" s="1"/>
  <c r="Y1198" i="5" s="1"/>
  <c r="T1199" i="5"/>
  <c r="X1199" i="5" s="1"/>
  <c r="Y1199" i="5" s="1"/>
  <c r="T1200" i="5"/>
  <c r="X1200" i="5" s="1"/>
  <c r="Y1200" i="5" s="1"/>
  <c r="T1201" i="5"/>
  <c r="X1201" i="5" s="1"/>
  <c r="Y1201" i="5" s="1"/>
  <c r="T1202" i="5"/>
  <c r="X1202" i="5" s="1"/>
  <c r="T1203" i="5"/>
  <c r="X1203" i="5" s="1"/>
  <c r="T1204" i="5"/>
  <c r="X1204" i="5" s="1"/>
  <c r="T1205" i="5"/>
  <c r="X1205" i="5" s="1"/>
  <c r="Y1205" i="5" s="1"/>
  <c r="T1206" i="5"/>
  <c r="X1206" i="5" s="1"/>
  <c r="Y1206" i="5" s="1"/>
  <c r="T1207" i="5"/>
  <c r="X1207" i="5" s="1"/>
  <c r="Y1207" i="5" s="1"/>
  <c r="T1208" i="5"/>
  <c r="X1208" i="5" s="1"/>
  <c r="Y1208" i="5" s="1"/>
  <c r="T1209" i="5"/>
  <c r="X1209" i="5" s="1"/>
  <c r="T1210" i="5"/>
  <c r="X1210" i="5" s="1"/>
  <c r="Y1210" i="5" s="1"/>
  <c r="T1211" i="5"/>
  <c r="X1211" i="5" s="1"/>
  <c r="Y1211" i="5" s="1"/>
  <c r="T1212" i="5"/>
  <c r="T1213" i="5"/>
  <c r="X1213" i="5" s="1"/>
  <c r="Y1213" i="5" s="1"/>
  <c r="T1214" i="5"/>
  <c r="X1214" i="5" s="1"/>
  <c r="Y1214" i="5" s="1"/>
  <c r="T1215" i="5"/>
  <c r="X1215" i="5" s="1"/>
  <c r="Y1215" i="5" s="1"/>
  <c r="T1216" i="5"/>
  <c r="X1216" i="5" s="1"/>
  <c r="Y1216" i="5" s="1"/>
  <c r="T1217" i="5"/>
  <c r="X1217" i="5" s="1"/>
  <c r="Y1217" i="5" s="1"/>
  <c r="T1218" i="5"/>
  <c r="X1218" i="5" s="1"/>
  <c r="T1219" i="5"/>
  <c r="X1219" i="5" s="1"/>
  <c r="T1220" i="5"/>
  <c r="X1220" i="5" s="1"/>
  <c r="T1221" i="5"/>
  <c r="X1221" i="5" s="1"/>
  <c r="Y1221" i="5" s="1"/>
  <c r="T1222" i="5"/>
  <c r="T1223" i="5"/>
  <c r="X1223" i="5" s="1"/>
  <c r="Y1223" i="5" s="1"/>
  <c r="T1224" i="5"/>
  <c r="T1225" i="5"/>
  <c r="X1225" i="5" s="1"/>
  <c r="Y1225" i="5" s="1"/>
  <c r="T1226" i="5"/>
  <c r="X1226" i="5" s="1"/>
  <c r="Y1226" i="5" s="1"/>
  <c r="T1227" i="5"/>
  <c r="X1227" i="5" s="1"/>
  <c r="Y1227" i="5" s="1"/>
  <c r="T1228" i="5"/>
  <c r="X1228" i="5" s="1"/>
  <c r="Y1228" i="5" s="1"/>
  <c r="T1229" i="5"/>
  <c r="X1229" i="5" s="1"/>
  <c r="T1230" i="5"/>
  <c r="X1230" i="5" s="1"/>
  <c r="T1231" i="5"/>
  <c r="X1231" i="5" s="1"/>
  <c r="T1232" i="5"/>
  <c r="X1232" i="5" s="1"/>
  <c r="Y1232" i="5" s="1"/>
  <c r="T1233" i="5"/>
  <c r="X1233" i="5" s="1"/>
  <c r="Y1233" i="5" s="1"/>
  <c r="T1234" i="5"/>
  <c r="X1234" i="5" s="1"/>
  <c r="T1235" i="5"/>
  <c r="X1235" i="5" s="1"/>
  <c r="T1236" i="5"/>
  <c r="X1236" i="5" s="1"/>
  <c r="T1237" i="5"/>
  <c r="X1237" i="5" s="1"/>
  <c r="Y1237" i="5" s="1"/>
  <c r="T1238" i="5"/>
  <c r="X1238" i="5" s="1"/>
  <c r="Y1238" i="5" s="1"/>
  <c r="T1239" i="5"/>
  <c r="X1239" i="5" s="1"/>
  <c r="Y1239" i="5" s="1"/>
  <c r="T1240" i="5"/>
  <c r="X1240" i="5" s="1"/>
  <c r="Y1240" i="5" s="1"/>
  <c r="T1241" i="5"/>
  <c r="X1241" i="5" s="1"/>
  <c r="T1242" i="5"/>
  <c r="X1242" i="5" s="1"/>
  <c r="T1243" i="5"/>
  <c r="X1243" i="5" s="1"/>
  <c r="Y1243" i="5" s="1"/>
  <c r="T1244" i="5"/>
  <c r="X1244" i="5" s="1"/>
  <c r="Y1244" i="5" s="1"/>
  <c r="T1245" i="5"/>
  <c r="X1245" i="5" s="1"/>
  <c r="T1246" i="5"/>
  <c r="X1246" i="5" s="1"/>
  <c r="T1247" i="5"/>
  <c r="X1247" i="5" s="1"/>
  <c r="Y1247" i="5" s="1"/>
  <c r="T1248" i="5"/>
  <c r="X1248" i="5" s="1"/>
  <c r="T1249" i="5"/>
  <c r="T1250" i="5"/>
  <c r="T1251" i="5"/>
  <c r="X1251" i="5" s="1"/>
  <c r="T1252" i="5"/>
  <c r="X1252" i="5" s="1"/>
  <c r="T1253" i="5"/>
  <c r="X1253" i="5" s="1"/>
  <c r="T1254" i="5"/>
  <c r="X1254" i="5" s="1"/>
  <c r="Y1254" i="5" s="1"/>
  <c r="T1255" i="5"/>
  <c r="X1255" i="5" s="1"/>
  <c r="Y1255" i="5" s="1"/>
  <c r="T1256" i="5"/>
  <c r="X1256" i="5" s="1"/>
  <c r="Y1256" i="5" s="1"/>
  <c r="T1257" i="5"/>
  <c r="X1257" i="5" s="1"/>
  <c r="T1258" i="5"/>
  <c r="X1258" i="5" s="1"/>
  <c r="Y1258" i="5" s="1"/>
  <c r="T1259" i="5"/>
  <c r="X1259" i="5" s="1"/>
  <c r="Y1259" i="5" s="1"/>
  <c r="T1260" i="5"/>
  <c r="X1260" i="5" s="1"/>
  <c r="T1261" i="5"/>
  <c r="X1261" i="5" s="1"/>
  <c r="T1262" i="5"/>
  <c r="X1262" i="5" s="1"/>
  <c r="Y1262" i="5" s="1"/>
  <c r="T1263" i="5"/>
  <c r="X1263" i="5" s="1"/>
  <c r="T1264" i="5"/>
  <c r="X1264" i="5" s="1"/>
  <c r="Y1264" i="5" s="1"/>
  <c r="T1265" i="5"/>
  <c r="X1265" i="5" s="1"/>
  <c r="Y1265" i="5" s="1"/>
  <c r="T1266" i="5"/>
  <c r="X1266" i="5" s="1"/>
  <c r="T1267" i="5"/>
  <c r="X1267" i="5" s="1"/>
  <c r="T1268" i="5"/>
  <c r="X1268" i="5" s="1"/>
  <c r="T1269" i="5"/>
  <c r="X1269" i="5" s="1"/>
  <c r="Y1269" i="5" s="1"/>
  <c r="T1270" i="5"/>
  <c r="X1270" i="5" s="1"/>
  <c r="T1271" i="5"/>
  <c r="X1271" i="5" s="1"/>
  <c r="T1272" i="5"/>
  <c r="X1272" i="5" s="1"/>
  <c r="T1273" i="5"/>
  <c r="X1273" i="5" s="1"/>
  <c r="Y1273" i="5" s="1"/>
  <c r="T1274" i="5"/>
  <c r="T1275" i="5"/>
  <c r="X1275" i="5" s="1"/>
  <c r="Y1275" i="5" s="1"/>
  <c r="T1276" i="5"/>
  <c r="X1276" i="5" s="1"/>
  <c r="Y1276" i="5" s="1"/>
  <c r="T1277" i="5"/>
  <c r="X1277" i="5" s="1"/>
  <c r="T1278" i="5"/>
  <c r="X1278" i="5" s="1"/>
  <c r="T1279" i="5"/>
  <c r="X1279" i="5" s="1"/>
  <c r="T1280" i="5"/>
  <c r="X1280" i="5" s="1"/>
  <c r="T1281" i="5"/>
  <c r="X1281" i="5" s="1"/>
  <c r="Y1281" i="5" s="1"/>
  <c r="T1282" i="5"/>
  <c r="X1282" i="5" s="1"/>
  <c r="T1283" i="5"/>
  <c r="X1283" i="5" s="1"/>
  <c r="T1284" i="5"/>
  <c r="T1285" i="5"/>
  <c r="X1285" i="5" s="1"/>
  <c r="Y1285" i="5" s="1"/>
  <c r="T1286" i="5"/>
  <c r="X1286" i="5" s="1"/>
  <c r="T1287" i="5"/>
  <c r="T1288" i="5"/>
  <c r="T1289" i="5"/>
  <c r="X1289" i="5" s="1"/>
  <c r="T1290" i="5"/>
  <c r="X1290" i="5" s="1"/>
  <c r="Y1290" i="5" s="1"/>
  <c r="T1291" i="5"/>
  <c r="X1291" i="5" s="1"/>
  <c r="Y1291" i="5" s="1"/>
  <c r="T1292" i="5"/>
  <c r="X1292" i="5" s="1"/>
  <c r="Y1292" i="5" s="1"/>
  <c r="T1293" i="5"/>
  <c r="X1293" i="5" s="1"/>
  <c r="Y1293" i="5" s="1"/>
  <c r="T1294" i="5"/>
  <c r="X1294" i="5" s="1"/>
  <c r="Y1294" i="5" s="1"/>
  <c r="T1295" i="5"/>
  <c r="X1295" i="5" s="1"/>
  <c r="Y1295" i="5" s="1"/>
  <c r="T1296" i="5"/>
  <c r="T1297" i="5"/>
  <c r="X1297" i="5" s="1"/>
  <c r="T1298" i="5"/>
  <c r="X1298" i="5" s="1"/>
  <c r="T1299" i="5"/>
  <c r="X1299" i="5" s="1"/>
  <c r="T1300" i="5"/>
  <c r="X1300" i="5" s="1"/>
  <c r="T1301" i="5"/>
  <c r="X1301" i="5" s="1"/>
  <c r="Y1301" i="5" s="1"/>
  <c r="X22" i="5" l="1"/>
  <c r="Y22" i="5" s="1"/>
  <c r="X882" i="5"/>
  <c r="X1080" i="5"/>
  <c r="Y1080" i="5" s="1"/>
  <c r="X108" i="5"/>
  <c r="Y108" i="5" s="1"/>
  <c r="X122" i="5"/>
  <c r="X37" i="5"/>
  <c r="Y37" i="5" s="1"/>
  <c r="X246" i="5"/>
  <c r="X329" i="5"/>
  <c r="Y329" i="5" s="1"/>
  <c r="X456" i="5"/>
  <c r="Y456" i="5" s="1"/>
  <c r="X585" i="5"/>
  <c r="Y585" i="5" s="1"/>
  <c r="X663" i="5"/>
  <c r="Y663" i="5" s="1"/>
  <c r="X1222" i="5"/>
  <c r="Y1222" i="5" s="1"/>
  <c r="X296" i="5"/>
  <c r="Y296" i="5" s="1"/>
  <c r="X359" i="5"/>
  <c r="Y359" i="5" s="1"/>
  <c r="X519" i="5"/>
  <c r="Y519" i="5" s="1"/>
  <c r="X581" i="5"/>
  <c r="Y581" i="5" s="1"/>
  <c r="X919" i="5"/>
  <c r="Y919" i="5" s="1"/>
  <c r="X170" i="5"/>
  <c r="Y170" i="5" s="1"/>
  <c r="X406" i="5"/>
  <c r="Z406" i="5" s="1"/>
  <c r="X486" i="5"/>
  <c r="Y486" i="5" s="1"/>
  <c r="X823" i="5"/>
  <c r="Y823" i="5" s="1"/>
  <c r="X1112" i="5"/>
  <c r="Y1112" i="5" s="1"/>
  <c r="X888" i="5"/>
  <c r="Y888" i="5" s="1"/>
  <c r="X695" i="5"/>
  <c r="Y695" i="5" s="1"/>
  <c r="X597" i="5"/>
  <c r="Y597" i="5" s="1"/>
  <c r="X64" i="5"/>
  <c r="Y64" i="5" s="1"/>
  <c r="X295" i="5"/>
  <c r="Y295" i="5" s="1"/>
  <c r="X263" i="5"/>
  <c r="Y263" i="5" s="1"/>
  <c r="X1287" i="5"/>
  <c r="Z1287" i="5" s="1"/>
  <c r="X126" i="5"/>
  <c r="Y126" i="5" s="1"/>
  <c r="X375" i="5"/>
  <c r="Y375" i="5" s="1"/>
  <c r="X904" i="5"/>
  <c r="Y904" i="5" s="1"/>
  <c r="X679" i="5"/>
  <c r="Z679" i="5" s="1"/>
  <c r="X536" i="5"/>
  <c r="Y536" i="5" s="1"/>
  <c r="X855" i="5"/>
  <c r="Y855" i="5" s="1"/>
  <c r="X245" i="5"/>
  <c r="Y245" i="5" s="1"/>
  <c r="X1094" i="5"/>
  <c r="Y1094" i="5" s="1"/>
  <c r="X632" i="5"/>
  <c r="Y632" i="5" s="1"/>
  <c r="X1192" i="5"/>
  <c r="Y1192" i="5" s="1"/>
  <c r="X109" i="5"/>
  <c r="Y109" i="5" s="1"/>
  <c r="X1288" i="5"/>
  <c r="Z1288" i="5" s="1"/>
  <c r="X600" i="5"/>
  <c r="Y600" i="5" s="1"/>
  <c r="X799" i="5"/>
  <c r="Y799" i="5" s="1"/>
  <c r="X639" i="5"/>
  <c r="Y639" i="5" s="1"/>
  <c r="X438" i="5"/>
  <c r="Y438" i="5" s="1"/>
  <c r="X290" i="5"/>
  <c r="Y290" i="5" s="1"/>
  <c r="X169" i="5"/>
  <c r="Y169" i="5" s="1"/>
  <c r="X902" i="5"/>
  <c r="Y902" i="5" s="1"/>
  <c r="X840" i="5"/>
  <c r="Y840" i="5" s="1"/>
  <c r="X36" i="5"/>
  <c r="Y36" i="5" s="1"/>
  <c r="X328" i="5"/>
  <c r="Y328" i="5" s="1"/>
  <c r="X1033" i="5"/>
  <c r="Y1033" i="5" s="1"/>
  <c r="X1129" i="5"/>
  <c r="Z1129" i="5" s="1"/>
  <c r="X1048" i="5"/>
  <c r="Y1048" i="5" s="1"/>
  <c r="X664" i="5"/>
  <c r="Y664" i="5" s="1"/>
  <c r="X856" i="5"/>
  <c r="Z856" i="5" s="1"/>
  <c r="X1174" i="5"/>
  <c r="Y1174" i="5" s="1"/>
  <c r="X338" i="5"/>
  <c r="Y338" i="5" s="1"/>
  <c r="X1160" i="5"/>
  <c r="Y1160" i="5" s="1"/>
  <c r="X808" i="5"/>
  <c r="Y808" i="5" s="1"/>
  <c r="X936" i="5"/>
  <c r="Y936" i="5" s="1"/>
  <c r="X824" i="5"/>
  <c r="Y824" i="5" s="1"/>
  <c r="X776" i="5"/>
  <c r="Y776" i="5" s="1"/>
  <c r="X360" i="5"/>
  <c r="Y360" i="5" s="1"/>
  <c r="X568" i="5"/>
  <c r="Y568" i="5" s="1"/>
  <c r="X967" i="5"/>
  <c r="Y967" i="5" s="1"/>
  <c r="X596" i="5"/>
  <c r="Y596" i="5" s="1"/>
  <c r="X1176" i="5"/>
  <c r="Y1176" i="5" s="1"/>
  <c r="X392" i="5"/>
  <c r="Y392" i="5" s="1"/>
  <c r="X1000" i="5"/>
  <c r="Y1000" i="5" s="1"/>
  <c r="X504" i="5"/>
  <c r="Y504" i="5" s="1"/>
  <c r="X230" i="5"/>
  <c r="Y230" i="5" s="1"/>
  <c r="X472" i="5"/>
  <c r="Y472" i="5" s="1"/>
  <c r="X424" i="5"/>
  <c r="Z424" i="5" s="1"/>
  <c r="X729" i="5"/>
  <c r="Y729" i="5" s="1"/>
  <c r="X20" i="5"/>
  <c r="Z20" i="5" s="1"/>
  <c r="X712" i="5"/>
  <c r="Y712" i="5" s="1"/>
  <c r="X171" i="5"/>
  <c r="Y171" i="5" s="1"/>
  <c r="X838" i="5"/>
  <c r="Y838" i="5" s="1"/>
  <c r="X376" i="5"/>
  <c r="Y376" i="5" s="1"/>
  <c r="X696" i="5"/>
  <c r="Y696" i="5" s="1"/>
  <c r="X248" i="5"/>
  <c r="Y248" i="5" s="1"/>
  <c r="X280" i="5"/>
  <c r="Y280" i="5" s="1"/>
  <c r="X408" i="5"/>
  <c r="Y408" i="5" s="1"/>
  <c r="X216" i="5"/>
  <c r="Y216" i="5" s="1"/>
  <c r="X232" i="5"/>
  <c r="Y232" i="5" s="1"/>
  <c r="X772" i="5"/>
  <c r="Z772" i="5" s="1"/>
  <c r="X264" i="5"/>
  <c r="Y264" i="5" s="1"/>
  <c r="X470" i="5"/>
  <c r="Y470" i="5" s="1"/>
  <c r="X142" i="5"/>
  <c r="Y142" i="5" s="1"/>
  <c r="X551" i="5"/>
  <c r="Y551" i="5" s="1"/>
  <c r="X440" i="5"/>
  <c r="Y440" i="5" s="1"/>
  <c r="X1284" i="5"/>
  <c r="Y1284" i="5" s="1"/>
  <c r="X872" i="5"/>
  <c r="Y872" i="5" s="1"/>
  <c r="X1187" i="5"/>
  <c r="Y1187" i="5" s="1"/>
  <c r="X4" i="5"/>
  <c r="Y4" i="5" s="1"/>
  <c r="X405" i="5"/>
  <c r="Y405" i="5" s="1"/>
  <c r="X312" i="5"/>
  <c r="Y312" i="5" s="1"/>
  <c r="X1001" i="5"/>
  <c r="Y1001" i="5" s="1"/>
  <c r="X1250" i="5"/>
  <c r="Y1250" i="5" s="1"/>
  <c r="X110" i="5"/>
  <c r="Y110" i="5" s="1"/>
  <c r="X162" i="5"/>
  <c r="Y162" i="5" s="1"/>
  <c r="X102" i="5"/>
  <c r="Y102" i="5" s="1"/>
  <c r="X1140" i="5"/>
  <c r="Z1140" i="5" s="1"/>
  <c r="X353" i="5"/>
  <c r="Y353" i="5" s="1"/>
  <c r="X241" i="5"/>
  <c r="Y241" i="5" s="1"/>
  <c r="X346" i="5"/>
  <c r="Y346" i="5" s="1"/>
  <c r="X370" i="5"/>
  <c r="Y370" i="5" s="1"/>
  <c r="X656" i="5"/>
  <c r="Y656" i="5" s="1"/>
  <c r="X915" i="5"/>
  <c r="Y915" i="5" s="1"/>
  <c r="X74" i="5"/>
  <c r="Y74" i="5" s="1"/>
  <c r="X1024" i="5"/>
  <c r="Y1024" i="5" s="1"/>
  <c r="X1116" i="5"/>
  <c r="Y1116" i="5" s="1"/>
  <c r="X137" i="5"/>
  <c r="Z137" i="5" s="1"/>
  <c r="X337" i="5"/>
  <c r="Y337" i="5" s="1"/>
  <c r="X348" i="5"/>
  <c r="Y348" i="5" s="1"/>
  <c r="X1274" i="5"/>
  <c r="Y1274" i="5" s="1"/>
  <c r="X503" i="5"/>
  <c r="Z503" i="5" s="1"/>
  <c r="X914" i="5"/>
  <c r="Y914" i="5" s="1"/>
  <c r="X223" i="5"/>
  <c r="Y223" i="5" s="1"/>
  <c r="X619" i="5"/>
  <c r="Y619" i="5" s="1"/>
  <c r="X1212" i="5"/>
  <c r="Z1212" i="5" s="1"/>
  <c r="X21" i="5"/>
  <c r="Y21" i="5" s="1"/>
  <c r="X524" i="5"/>
  <c r="Y524" i="5" s="1"/>
  <c r="X901" i="5"/>
  <c r="Y901" i="5" s="1"/>
  <c r="X567" i="5"/>
  <c r="Y567" i="5" s="1"/>
  <c r="X927" i="5"/>
  <c r="Y927" i="5" s="1"/>
  <c r="X945" i="5"/>
  <c r="Z945" i="5" s="1"/>
  <c r="X730" i="5"/>
  <c r="Y730" i="5" s="1"/>
  <c r="X189" i="5"/>
  <c r="Z189" i="5" s="1"/>
  <c r="X287" i="5"/>
  <c r="Y287" i="5" s="1"/>
  <c r="X1084" i="5"/>
  <c r="Y1084" i="5" s="1"/>
  <c r="X1181" i="5"/>
  <c r="Y1181" i="5" s="1"/>
  <c r="X281" i="5"/>
  <c r="Y281" i="5" s="1"/>
  <c r="X23" i="5"/>
  <c r="Y23" i="5" s="1"/>
  <c r="X1163" i="5"/>
  <c r="Y1163" i="5" s="1"/>
  <c r="X751" i="5"/>
  <c r="Y751" i="5" s="1"/>
  <c r="X266" i="5"/>
  <c r="Z266" i="5" s="1"/>
  <c r="X10" i="5"/>
  <c r="Y10" i="5" s="1"/>
  <c r="X702" i="5"/>
  <c r="Y702" i="5" s="1"/>
  <c r="X177" i="5"/>
  <c r="Y177" i="5" s="1"/>
  <c r="X478" i="5"/>
  <c r="Y478" i="5" s="1"/>
  <c r="X846" i="5"/>
  <c r="Y846" i="5" s="1"/>
  <c r="X764" i="5"/>
  <c r="Y764" i="5" s="1"/>
  <c r="X19" i="5"/>
  <c r="Z19" i="5" s="1"/>
  <c r="X124" i="5"/>
  <c r="Y124" i="5" s="1"/>
  <c r="X331" i="5"/>
  <c r="Y331" i="5" s="1"/>
  <c r="X1701" i="5"/>
  <c r="Y1701" i="5" s="1"/>
  <c r="X342" i="5"/>
  <c r="Y342" i="5" s="1"/>
  <c r="X1690" i="5"/>
  <c r="Z1690" i="5" s="1"/>
  <c r="X1689" i="5"/>
  <c r="Y1689" i="5" s="1"/>
  <c r="X1688" i="5"/>
  <c r="Y1688" i="5" s="1"/>
  <c r="X1703" i="5"/>
  <c r="Y1703" i="5" s="1"/>
  <c r="X1702" i="5"/>
  <c r="Y1702" i="5" s="1"/>
  <c r="X1694" i="5"/>
  <c r="Z1694" i="5" s="1"/>
  <c r="X526" i="5"/>
  <c r="Z526" i="5" s="1"/>
  <c r="X1695" i="5"/>
  <c r="Y1695" i="5" s="1"/>
  <c r="X1704" i="5"/>
  <c r="Z1704" i="5" s="1"/>
  <c r="X1700" i="5"/>
  <c r="Y1700" i="5" s="1"/>
  <c r="X1696" i="5"/>
  <c r="Z1696" i="5" s="1"/>
  <c r="X1698" i="5"/>
  <c r="Z1698" i="5" s="1"/>
  <c r="X1697" i="5"/>
  <c r="Z1697" i="5" s="1"/>
  <c r="X1699" i="5"/>
  <c r="Y1699" i="5" s="1"/>
  <c r="X1693" i="5"/>
  <c r="Y1693" i="5" s="1"/>
  <c r="X1677" i="5"/>
  <c r="Y1677" i="5" s="1"/>
  <c r="X1692" i="5"/>
  <c r="Y1692" i="5" s="1"/>
  <c r="X1676" i="5"/>
  <c r="Y1676" i="5" s="1"/>
  <c r="X1675" i="5"/>
  <c r="Z1675" i="5" s="1"/>
  <c r="X1683" i="5"/>
  <c r="Y1683" i="5" s="1"/>
  <c r="X1679" i="5"/>
  <c r="Y1679" i="5" s="1"/>
  <c r="X1691" i="5"/>
  <c r="Z1691" i="5" s="1"/>
  <c r="X1681" i="5"/>
  <c r="Z1681" i="5" s="1"/>
  <c r="X1670" i="5"/>
  <c r="Z1670" i="5" s="1"/>
  <c r="X1687" i="5"/>
  <c r="Z1687" i="5" s="1"/>
  <c r="X1684" i="5"/>
  <c r="Y1684" i="5" s="1"/>
  <c r="X1664" i="5"/>
  <c r="Z1664" i="5" s="1"/>
  <c r="X1686" i="5"/>
  <c r="Z1686" i="5" s="1"/>
  <c r="X1680" i="5"/>
  <c r="Y1680" i="5" s="1"/>
  <c r="X1685" i="5"/>
  <c r="Z1685" i="5" s="1"/>
  <c r="X1682" i="5"/>
  <c r="Y1682" i="5" s="1"/>
  <c r="X1663" i="5"/>
  <c r="Y1663" i="5" s="1"/>
  <c r="X1662" i="5"/>
  <c r="Y1662" i="5" s="1"/>
  <c r="X1673" i="5"/>
  <c r="Y1673" i="5" s="1"/>
  <c r="X1667" i="5"/>
  <c r="Y1667" i="5" s="1"/>
  <c r="X1672" i="5"/>
  <c r="Z1672" i="5" s="1"/>
  <c r="X1669" i="5"/>
  <c r="Z1669" i="5" s="1"/>
  <c r="X1666" i="5"/>
  <c r="Y1666" i="5" s="1"/>
  <c r="X1678" i="5"/>
  <c r="Z1678" i="5" s="1"/>
  <c r="X1651" i="5"/>
  <c r="Z1651" i="5" s="1"/>
  <c r="X1668" i="5"/>
  <c r="Z1668" i="5" s="1"/>
  <c r="X1674" i="5"/>
  <c r="Z1674" i="5" s="1"/>
  <c r="X1649" i="5"/>
  <c r="Y1649" i="5" s="1"/>
  <c r="X1671" i="5"/>
  <c r="Y1671" i="5" s="1"/>
  <c r="X317" i="5"/>
  <c r="Y317" i="5" s="1"/>
  <c r="X1659" i="5"/>
  <c r="Z1659" i="5" s="1"/>
  <c r="X1656" i="5"/>
  <c r="Z1656" i="5" s="1"/>
  <c r="X1653" i="5"/>
  <c r="Z1653" i="5" s="1"/>
  <c r="X1661" i="5"/>
  <c r="Z1661" i="5" s="1"/>
  <c r="X1658" i="5"/>
  <c r="Z1658" i="5" s="1"/>
  <c r="X1655" i="5"/>
  <c r="Z1655" i="5" s="1"/>
  <c r="X1660" i="5"/>
  <c r="Z1660" i="5" s="1"/>
  <c r="X1657" i="5"/>
  <c r="Y1657" i="5" s="1"/>
  <c r="X1654" i="5"/>
  <c r="Z1654" i="5" s="1"/>
  <c r="X1665" i="5"/>
  <c r="Y1665" i="5" s="1"/>
  <c r="X1623" i="5"/>
  <c r="Z1623" i="5" s="1"/>
  <c r="X1633" i="5"/>
  <c r="Z1633" i="5" s="1"/>
  <c r="X1638" i="5"/>
  <c r="Y1638" i="5" s="1"/>
  <c r="X316" i="5"/>
  <c r="Y316" i="5" s="1"/>
  <c r="X1637" i="5"/>
  <c r="Y1637" i="5" s="1"/>
  <c r="X1249" i="5"/>
  <c r="Y1249" i="5" s="1"/>
  <c r="X1648" i="5"/>
  <c r="Y1648" i="5" s="1"/>
  <c r="X960" i="5"/>
  <c r="Y960" i="5" s="1"/>
  <c r="X1646" i="5"/>
  <c r="Y1646" i="5" s="1"/>
  <c r="X1643" i="5"/>
  <c r="Z1643" i="5" s="1"/>
  <c r="X1640" i="5"/>
  <c r="Y1640" i="5" s="1"/>
  <c r="X1652" i="5"/>
  <c r="Z1652" i="5" s="1"/>
  <c r="X1650" i="5"/>
  <c r="Z1650" i="5" s="1"/>
  <c r="X1647" i="5"/>
  <c r="Z1647" i="5" s="1"/>
  <c r="X1630" i="5"/>
  <c r="Y1630" i="5" s="1"/>
  <c r="X1629" i="5"/>
  <c r="Z1629" i="5" s="1"/>
  <c r="X1645" i="5"/>
  <c r="Y1645" i="5" s="1"/>
  <c r="X1644" i="5"/>
  <c r="Z1644" i="5" s="1"/>
  <c r="X1642" i="5"/>
  <c r="Z1642" i="5" s="1"/>
  <c r="X1641" i="5"/>
  <c r="Y1641" i="5" s="1"/>
  <c r="X1625" i="5"/>
  <c r="Y1625" i="5" s="1"/>
  <c r="X1624" i="5"/>
  <c r="Y1624" i="5" s="1"/>
  <c r="X1634" i="5"/>
  <c r="Y1634" i="5" s="1"/>
  <c r="X1627" i="5"/>
  <c r="Z1627" i="5" s="1"/>
  <c r="X1639" i="5"/>
  <c r="Z1639" i="5" s="1"/>
  <c r="X1636" i="5"/>
  <c r="Z1636" i="5" s="1"/>
  <c r="X1632" i="5"/>
  <c r="Z1632" i="5" s="1"/>
  <c r="X1611" i="5"/>
  <c r="Y1611" i="5" s="1"/>
  <c r="X1622" i="5"/>
  <c r="Y1622" i="5" s="1"/>
  <c r="X1619" i="5"/>
  <c r="Z1619" i="5" s="1"/>
  <c r="X1616" i="5"/>
  <c r="Y1616" i="5" s="1"/>
  <c r="X1635" i="5"/>
  <c r="Y1635" i="5" s="1"/>
  <c r="X1631" i="5"/>
  <c r="Z1631" i="5" s="1"/>
  <c r="X1628" i="5"/>
  <c r="Y1628" i="5" s="1"/>
  <c r="X1610" i="5"/>
  <c r="Y1610" i="5" s="1"/>
  <c r="X1612" i="5"/>
  <c r="Y1612" i="5" s="1"/>
  <c r="X1605" i="5"/>
  <c r="Z1605" i="5" s="1"/>
  <c r="X1618" i="5"/>
  <c r="Y1618" i="5" s="1"/>
  <c r="X1617" i="5"/>
  <c r="Z1617" i="5" s="1"/>
  <c r="X1626" i="5"/>
  <c r="Z1626" i="5" s="1"/>
  <c r="X1621" i="5"/>
  <c r="Y1621" i="5" s="1"/>
  <c r="X1615" i="5"/>
  <c r="Y1615" i="5" s="1"/>
  <c r="X1620" i="5"/>
  <c r="Z1620" i="5" s="1"/>
  <c r="X1614" i="5"/>
  <c r="Y1614" i="5" s="1"/>
  <c r="X1296" i="5"/>
  <c r="Y1296" i="5" s="1"/>
  <c r="X1599" i="5"/>
  <c r="Y1599" i="5" s="1"/>
  <c r="X1598" i="5"/>
  <c r="Y1598" i="5" s="1"/>
  <c r="X1597" i="5"/>
  <c r="Y1597" i="5" s="1"/>
  <c r="X1607" i="5"/>
  <c r="Z1607" i="5" s="1"/>
  <c r="X1604" i="5"/>
  <c r="Z1604" i="5" s="1"/>
  <c r="X1601" i="5"/>
  <c r="Y1601" i="5" s="1"/>
  <c r="X1613" i="5"/>
  <c r="Z1613" i="5" s="1"/>
  <c r="X1608" i="5"/>
  <c r="Z1608" i="5" s="1"/>
  <c r="X1603" i="5"/>
  <c r="Z1603" i="5" s="1"/>
  <c r="X1602" i="5"/>
  <c r="Z1602" i="5" s="1"/>
  <c r="X1609" i="5"/>
  <c r="Y1609" i="5" s="1"/>
  <c r="X1586" i="5"/>
  <c r="Y1586" i="5" s="1"/>
  <c r="X1606" i="5"/>
  <c r="Z1606" i="5" s="1"/>
  <c r="X1585" i="5"/>
  <c r="Z1585" i="5" s="1"/>
  <c r="X1584" i="5"/>
  <c r="Z1584" i="5" s="1"/>
  <c r="X1592" i="5"/>
  <c r="Z1592" i="5" s="1"/>
  <c r="X1594" i="5"/>
  <c r="Z1594" i="5" s="1"/>
  <c r="X1591" i="5"/>
  <c r="Z1591" i="5" s="1"/>
  <c r="X1588" i="5"/>
  <c r="Y1588" i="5" s="1"/>
  <c r="X1600" i="5"/>
  <c r="Z1600" i="5" s="1"/>
  <c r="X1596" i="5"/>
  <c r="Y1596" i="5" s="1"/>
  <c r="X1590" i="5"/>
  <c r="Z1590" i="5" s="1"/>
  <c r="X1589" i="5"/>
  <c r="Z1589" i="5" s="1"/>
  <c r="X1595" i="5"/>
  <c r="Y1595" i="5" s="1"/>
  <c r="X1573" i="5"/>
  <c r="Z1573" i="5" s="1"/>
  <c r="X1593" i="5"/>
  <c r="Z1593" i="5" s="1"/>
  <c r="X1562" i="5"/>
  <c r="Y1562" i="5" s="1"/>
  <c r="X1572" i="5"/>
  <c r="Z1572" i="5" s="1"/>
  <c r="X1571" i="5"/>
  <c r="Y1571" i="5" s="1"/>
  <c r="X1582" i="5"/>
  <c r="Y1582" i="5" s="1"/>
  <c r="X1578" i="5"/>
  <c r="Z1578" i="5" s="1"/>
  <c r="X1575" i="5"/>
  <c r="Y1575" i="5" s="1"/>
  <c r="X1587" i="5"/>
  <c r="Y1587" i="5" s="1"/>
  <c r="X1565" i="5"/>
  <c r="Z1565" i="5" s="1"/>
  <c r="X1583" i="5"/>
  <c r="Z1583" i="5" s="1"/>
  <c r="X1580" i="5"/>
  <c r="Y1580" i="5" s="1"/>
  <c r="X1579" i="5"/>
  <c r="Y1579" i="5" s="1"/>
  <c r="X1012" i="5"/>
  <c r="Z1012" i="5" s="1"/>
  <c r="X1544" i="5"/>
  <c r="Z1544" i="5" s="1"/>
  <c r="X1560" i="5"/>
  <c r="Z1560" i="5" s="1"/>
  <c r="X1559" i="5"/>
  <c r="Z1559" i="5" s="1"/>
  <c r="X1581" i="5"/>
  <c r="Z1581" i="5" s="1"/>
  <c r="X1577" i="5"/>
  <c r="Z1577" i="5" s="1"/>
  <c r="X1576" i="5"/>
  <c r="Y1576" i="5" s="1"/>
  <c r="X1558" i="5"/>
  <c r="Z1558" i="5" s="1"/>
  <c r="X1570" i="5"/>
  <c r="Z1570" i="5" s="1"/>
  <c r="X1567" i="5"/>
  <c r="Y1567" i="5" s="1"/>
  <c r="X1564" i="5"/>
  <c r="Y1564" i="5" s="1"/>
  <c r="X1568" i="5"/>
  <c r="Y1568" i="5" s="1"/>
  <c r="X1574" i="5"/>
  <c r="Z1574" i="5" s="1"/>
  <c r="X1566" i="5"/>
  <c r="Z1566" i="5" s="1"/>
  <c r="X1569" i="5"/>
  <c r="Y1569" i="5" s="1"/>
  <c r="X1563" i="5"/>
  <c r="Z1563" i="5" s="1"/>
  <c r="X1546" i="5"/>
  <c r="Z1546" i="5" s="1"/>
  <c r="X1545" i="5"/>
  <c r="Z1545" i="5" s="1"/>
  <c r="X1555" i="5"/>
  <c r="Z1555" i="5" s="1"/>
  <c r="X1552" i="5"/>
  <c r="Z1552" i="5" s="1"/>
  <c r="X1549" i="5"/>
  <c r="Y1549" i="5" s="1"/>
  <c r="X1561" i="5"/>
  <c r="Y1561" i="5" s="1"/>
  <c r="X1557" i="5"/>
  <c r="Y1557" i="5" s="1"/>
  <c r="X1551" i="5"/>
  <c r="Y1551" i="5" s="1"/>
  <c r="X1540" i="5"/>
  <c r="Y1540" i="5" s="1"/>
  <c r="X1556" i="5"/>
  <c r="Z1556" i="5" s="1"/>
  <c r="X1550" i="5"/>
  <c r="Y1550" i="5" s="1"/>
  <c r="X1538" i="5"/>
  <c r="Z1538" i="5" s="1"/>
  <c r="X1537" i="5"/>
  <c r="Z1537" i="5" s="1"/>
  <c r="X1553" i="5"/>
  <c r="Z1553" i="5" s="1"/>
  <c r="X1519" i="5"/>
  <c r="Y1519" i="5" s="1"/>
  <c r="X1541" i="5"/>
  <c r="Y1541" i="5" s="1"/>
  <c r="X1554" i="5"/>
  <c r="Y1554" i="5" s="1"/>
  <c r="X1543" i="5"/>
  <c r="Z1543" i="5" s="1"/>
  <c r="X1532" i="5"/>
  <c r="Z1532" i="5" s="1"/>
  <c r="X1542" i="5"/>
  <c r="Y1542" i="5" s="1"/>
  <c r="X1539" i="5"/>
  <c r="Z1539" i="5" s="1"/>
  <c r="X1536" i="5"/>
  <c r="Y1536" i="5" s="1"/>
  <c r="X1548" i="5"/>
  <c r="Z1548" i="5" s="1"/>
  <c r="X1547" i="5"/>
  <c r="Y1547" i="5" s="1"/>
  <c r="X1504" i="5"/>
  <c r="Y1504" i="5" s="1"/>
  <c r="X1521" i="5"/>
  <c r="Y1521" i="5" s="1"/>
  <c r="X1533" i="5"/>
  <c r="Z1533" i="5" s="1"/>
  <c r="X1534" i="5"/>
  <c r="Y1534" i="5" s="1"/>
  <c r="X1528" i="5"/>
  <c r="Y1528" i="5" s="1"/>
  <c r="X1525" i="5"/>
  <c r="Y1525" i="5" s="1"/>
  <c r="X1527" i="5"/>
  <c r="Z1527" i="5" s="1"/>
  <c r="X1529" i="5"/>
  <c r="Y1529" i="5" s="1"/>
  <c r="X1526" i="5"/>
  <c r="Z1526" i="5" s="1"/>
  <c r="X1523" i="5"/>
  <c r="Z1523" i="5" s="1"/>
  <c r="X1535" i="5"/>
  <c r="Z1535" i="5" s="1"/>
  <c r="X1524" i="5"/>
  <c r="Z1524" i="5" s="1"/>
  <c r="X1520" i="5"/>
  <c r="Y1520" i="5" s="1"/>
  <c r="X1531" i="5"/>
  <c r="Z1531" i="5" s="1"/>
  <c r="X1530" i="5"/>
  <c r="Z1530" i="5" s="1"/>
  <c r="X1506" i="5"/>
  <c r="Z1506" i="5" s="1"/>
  <c r="X1515" i="5"/>
  <c r="Z1515" i="5" s="1"/>
  <c r="X1516" i="5"/>
  <c r="Z1516" i="5" s="1"/>
  <c r="X1517" i="5"/>
  <c r="Z1517" i="5" s="1"/>
  <c r="X1511" i="5"/>
  <c r="Z1511" i="5" s="1"/>
  <c r="X1513" i="5"/>
  <c r="Z1513" i="5" s="1"/>
  <c r="X1505" i="5"/>
  <c r="Z1505" i="5" s="1"/>
  <c r="X1479" i="5"/>
  <c r="Y1479" i="5" s="1"/>
  <c r="X1496" i="5"/>
  <c r="Y1496" i="5" s="1"/>
  <c r="X1514" i="5"/>
  <c r="Y1514" i="5" s="1"/>
  <c r="X1510" i="5"/>
  <c r="Y1510" i="5" s="1"/>
  <c r="X1522" i="5"/>
  <c r="Z1522" i="5" s="1"/>
  <c r="X1518" i="5"/>
  <c r="Z1518" i="5" s="1"/>
  <c r="X1512" i="5"/>
  <c r="Z1512" i="5" s="1"/>
  <c r="X391" i="5"/>
  <c r="Y391" i="5" s="1"/>
  <c r="X1494" i="5"/>
  <c r="Z1494" i="5" s="1"/>
  <c r="X1493" i="5"/>
  <c r="Y1493" i="5" s="1"/>
  <c r="X1503" i="5"/>
  <c r="Z1503" i="5" s="1"/>
  <c r="X1500" i="5"/>
  <c r="Z1500" i="5" s="1"/>
  <c r="X1497" i="5"/>
  <c r="Y1497" i="5" s="1"/>
  <c r="X1502" i="5"/>
  <c r="Z1502" i="5" s="1"/>
  <c r="X1499" i="5"/>
  <c r="Z1499" i="5" s="1"/>
  <c r="X1509" i="5"/>
  <c r="Z1509" i="5" s="1"/>
  <c r="X1507" i="5"/>
  <c r="Z1507" i="5" s="1"/>
  <c r="X1501" i="5"/>
  <c r="Y1501" i="5" s="1"/>
  <c r="X1498" i="5"/>
  <c r="Y1498" i="5" s="1"/>
  <c r="X1508" i="5"/>
  <c r="Z1508" i="5" s="1"/>
  <c r="X1492" i="5"/>
  <c r="Z1492" i="5" s="1"/>
  <c r="X1467" i="5"/>
  <c r="Y1467" i="5" s="1"/>
  <c r="X1487" i="5"/>
  <c r="Z1487" i="5" s="1"/>
  <c r="X1477" i="5"/>
  <c r="Z1477" i="5" s="1"/>
  <c r="X1474" i="5"/>
  <c r="Z1474" i="5" s="1"/>
  <c r="X1488" i="5"/>
  <c r="Z1488" i="5" s="1"/>
  <c r="X1490" i="5"/>
  <c r="Z1490" i="5" s="1"/>
  <c r="X1454" i="5"/>
  <c r="Y1454" i="5" s="1"/>
  <c r="X1472" i="5"/>
  <c r="Z1472" i="5" s="1"/>
  <c r="X1485" i="5"/>
  <c r="Y1485" i="5" s="1"/>
  <c r="X1484" i="5"/>
  <c r="Y1484" i="5" s="1"/>
  <c r="X1486" i="5"/>
  <c r="Z1486" i="5" s="1"/>
  <c r="X1453" i="5"/>
  <c r="Y1453" i="5" s="1"/>
  <c r="X1471" i="5"/>
  <c r="Y1471" i="5" s="1"/>
  <c r="X1491" i="5"/>
  <c r="Z1491" i="5" s="1"/>
  <c r="X1489" i="5"/>
  <c r="Y1489" i="5" s="1"/>
  <c r="X1495" i="5"/>
  <c r="Y1495" i="5" s="1"/>
  <c r="X1473" i="5"/>
  <c r="Z1473" i="5" s="1"/>
  <c r="X1455" i="5"/>
  <c r="Z1455" i="5" s="1"/>
  <c r="X1478" i="5"/>
  <c r="Z1478" i="5" s="1"/>
  <c r="X1475" i="5"/>
  <c r="Z1475" i="5" s="1"/>
  <c r="X1469" i="5"/>
  <c r="Y1469" i="5" s="1"/>
  <c r="X1468" i="5"/>
  <c r="Z1468" i="5" s="1"/>
  <c r="X1476" i="5"/>
  <c r="Z1476" i="5" s="1"/>
  <c r="X1483" i="5"/>
  <c r="Y1483" i="5" s="1"/>
  <c r="X1428" i="5"/>
  <c r="Y1428" i="5" s="1"/>
  <c r="X1482" i="5"/>
  <c r="Y1482" i="5" s="1"/>
  <c r="X1481" i="5"/>
  <c r="Z1481" i="5" s="1"/>
  <c r="X1480" i="5"/>
  <c r="Z1480" i="5" s="1"/>
  <c r="X1463" i="5"/>
  <c r="Y1463" i="5" s="1"/>
  <c r="X1466" i="5"/>
  <c r="Y1466" i="5" s="1"/>
  <c r="X1465" i="5"/>
  <c r="Z1465" i="5" s="1"/>
  <c r="X1464" i="5"/>
  <c r="Z1464" i="5" s="1"/>
  <c r="X1461" i="5"/>
  <c r="Z1461" i="5" s="1"/>
  <c r="X1458" i="5"/>
  <c r="Y1458" i="5" s="1"/>
  <c r="X1470" i="5"/>
  <c r="Z1470" i="5" s="1"/>
  <c r="X1460" i="5"/>
  <c r="Z1460" i="5" s="1"/>
  <c r="X1462" i="5"/>
  <c r="Z1462" i="5" s="1"/>
  <c r="X1449" i="5"/>
  <c r="Z1449" i="5" s="1"/>
  <c r="X1459" i="5"/>
  <c r="Y1459" i="5" s="1"/>
  <c r="X1443" i="5"/>
  <c r="Y1443" i="5" s="1"/>
  <c r="X1442" i="5"/>
  <c r="Y1442" i="5" s="1"/>
  <c r="X1441" i="5"/>
  <c r="Z1441" i="5" s="1"/>
  <c r="X1450" i="5"/>
  <c r="Z1450" i="5" s="1"/>
  <c r="X1447" i="5"/>
  <c r="Y1447" i="5" s="1"/>
  <c r="X1457" i="5"/>
  <c r="Z1457" i="5" s="1"/>
  <c r="X1448" i="5"/>
  <c r="Z1448" i="5" s="1"/>
  <c r="X911" i="5"/>
  <c r="Y911" i="5" s="1"/>
  <c r="X1446" i="5"/>
  <c r="Y1446" i="5" s="1"/>
  <c r="X1456" i="5"/>
  <c r="Y1456" i="5" s="1"/>
  <c r="X1452" i="5"/>
  <c r="Z1452" i="5" s="1"/>
  <c r="X1451" i="5"/>
  <c r="Z1451" i="5" s="1"/>
  <c r="X1445" i="5"/>
  <c r="Y1445" i="5" s="1"/>
  <c r="X1434" i="5"/>
  <c r="Z1434" i="5" s="1"/>
  <c r="X1430" i="5"/>
  <c r="Y1430" i="5" s="1"/>
  <c r="X1437" i="5"/>
  <c r="Y1437" i="5" s="1"/>
  <c r="X1436" i="5"/>
  <c r="Z1436" i="5" s="1"/>
  <c r="X1429" i="5"/>
  <c r="Y1429" i="5" s="1"/>
  <c r="X1439" i="5"/>
  <c r="Z1439" i="5" s="1"/>
  <c r="X1433" i="5"/>
  <c r="Y1433" i="5" s="1"/>
  <c r="X1438" i="5"/>
  <c r="Z1438" i="5" s="1"/>
  <c r="X1435" i="5"/>
  <c r="Z1435" i="5" s="1"/>
  <c r="X1432" i="5"/>
  <c r="Z1432" i="5" s="1"/>
  <c r="X1444" i="5"/>
  <c r="Y1444" i="5" s="1"/>
  <c r="X1440" i="5"/>
  <c r="Z1440" i="5" s="1"/>
  <c r="X1422" i="5"/>
  <c r="Y1422" i="5" s="1"/>
  <c r="X1416" i="5"/>
  <c r="Z1416" i="5" s="1"/>
  <c r="X1417" i="5"/>
  <c r="Y1417" i="5" s="1"/>
  <c r="X1415" i="5"/>
  <c r="Y1415" i="5" s="1"/>
  <c r="X1421" i="5"/>
  <c r="Z1421" i="5" s="1"/>
  <c r="X1420" i="5"/>
  <c r="Z1420" i="5" s="1"/>
  <c r="X1425" i="5"/>
  <c r="Z1425" i="5" s="1"/>
  <c r="X1431" i="5"/>
  <c r="Z1431" i="5" s="1"/>
  <c r="X1424" i="5"/>
  <c r="Z1424" i="5" s="1"/>
  <c r="X1426" i="5"/>
  <c r="Z1426" i="5" s="1"/>
  <c r="X1423" i="5"/>
  <c r="Z1423" i="5" s="1"/>
  <c r="X1419" i="5"/>
  <c r="Y1419" i="5" s="1"/>
  <c r="X1410" i="5"/>
  <c r="Z1410" i="5" s="1"/>
  <c r="X1427" i="5"/>
  <c r="Y1427" i="5" s="1"/>
  <c r="X1404" i="5"/>
  <c r="Z1404" i="5" s="1"/>
  <c r="X1403" i="5"/>
  <c r="Y1403" i="5" s="1"/>
  <c r="X1402" i="5"/>
  <c r="Y1402" i="5" s="1"/>
  <c r="X7" i="5"/>
  <c r="Y7" i="5" s="1"/>
  <c r="X1413" i="5"/>
  <c r="Z1413" i="5" s="1"/>
  <c r="X1412" i="5"/>
  <c r="Y1412" i="5" s="1"/>
  <c r="X1409" i="5"/>
  <c r="Z1409" i="5" s="1"/>
  <c r="X1406" i="5"/>
  <c r="Y1406" i="5" s="1"/>
  <c r="X1418" i="5"/>
  <c r="Z1418" i="5" s="1"/>
  <c r="X1414" i="5"/>
  <c r="Y1414" i="5" s="1"/>
  <c r="X1408" i="5"/>
  <c r="Y1408" i="5" s="1"/>
  <c r="X1394" i="5"/>
  <c r="Y1394" i="5" s="1"/>
  <c r="X1391" i="5"/>
  <c r="Y1391" i="5" s="1"/>
  <c r="X1411" i="5"/>
  <c r="Z1411" i="5" s="1"/>
  <c r="X1407" i="5"/>
  <c r="Y1407" i="5" s="1"/>
  <c r="X1397" i="5"/>
  <c r="Y1397" i="5" s="1"/>
  <c r="X1389" i="5"/>
  <c r="Z1389" i="5" s="1"/>
  <c r="X1398" i="5"/>
  <c r="Y1398" i="5" s="1"/>
  <c r="X1400" i="5"/>
  <c r="Y1400" i="5" s="1"/>
  <c r="X1399" i="5"/>
  <c r="Y1399" i="5" s="1"/>
  <c r="X1396" i="5"/>
  <c r="Y1396" i="5" s="1"/>
  <c r="X1393" i="5"/>
  <c r="Z1393" i="5" s="1"/>
  <c r="X1405" i="5"/>
  <c r="Y1405" i="5" s="1"/>
  <c r="X1362" i="5"/>
  <c r="Y1362" i="5" s="1"/>
  <c r="X1401" i="5"/>
  <c r="Z1401" i="5" s="1"/>
  <c r="X1395" i="5"/>
  <c r="Z1395" i="5" s="1"/>
  <c r="X1390" i="5"/>
  <c r="Y1390" i="5" s="1"/>
  <c r="X1383" i="5"/>
  <c r="Y1383" i="5" s="1"/>
  <c r="X1361" i="5"/>
  <c r="Z1361" i="5" s="1"/>
  <c r="X1378" i="5"/>
  <c r="Y1378" i="5" s="1"/>
  <c r="X1377" i="5"/>
  <c r="Y1377" i="5" s="1"/>
  <c r="X1376" i="5"/>
  <c r="Z1376" i="5" s="1"/>
  <c r="X1384" i="5"/>
  <c r="Y1384" i="5" s="1"/>
  <c r="X1380" i="5"/>
  <c r="Y1380" i="5" s="1"/>
  <c r="X1387" i="5"/>
  <c r="Z1387" i="5" s="1"/>
  <c r="X1381" i="5"/>
  <c r="Z1381" i="5" s="1"/>
  <c r="X1386" i="5"/>
  <c r="Z1386" i="5" s="1"/>
  <c r="X1392" i="5"/>
  <c r="Y1392" i="5" s="1"/>
  <c r="X1370" i="5"/>
  <c r="Z1370" i="5" s="1"/>
  <c r="X1385" i="5"/>
  <c r="Z1385" i="5" s="1"/>
  <c r="X1388" i="5"/>
  <c r="Z1388" i="5" s="1"/>
  <c r="X1382" i="5"/>
  <c r="Z1382" i="5" s="1"/>
  <c r="X1363" i="5"/>
  <c r="Y1363" i="5" s="1"/>
  <c r="X1375" i="5"/>
  <c r="Y1375" i="5" s="1"/>
  <c r="X1373" i="5"/>
  <c r="Y1373" i="5" s="1"/>
  <c r="X1367" i="5"/>
  <c r="Y1367" i="5" s="1"/>
  <c r="X1379" i="5"/>
  <c r="Z1379" i="5" s="1"/>
  <c r="X1374" i="5"/>
  <c r="Z1374" i="5" s="1"/>
  <c r="X1357" i="5"/>
  <c r="Z1357" i="5" s="1"/>
  <c r="X1352" i="5"/>
  <c r="Y1352" i="5" s="1"/>
  <c r="X1369" i="5"/>
  <c r="Z1369" i="5" s="1"/>
  <c r="X1371" i="5"/>
  <c r="Y1371" i="5" s="1"/>
  <c r="X1351" i="5"/>
  <c r="Y1351" i="5" s="1"/>
  <c r="X1372" i="5"/>
  <c r="Y1372" i="5" s="1"/>
  <c r="X1368" i="5"/>
  <c r="Y1368" i="5" s="1"/>
  <c r="X1360" i="5"/>
  <c r="Y1360" i="5" s="1"/>
  <c r="X1354" i="5"/>
  <c r="Y1354" i="5" s="1"/>
  <c r="X1366" i="5"/>
  <c r="Z1366" i="5" s="1"/>
  <c r="X1356" i="5"/>
  <c r="Z1356" i="5" s="1"/>
  <c r="X1355" i="5"/>
  <c r="Z1355" i="5" s="1"/>
  <c r="X1365" i="5"/>
  <c r="Y1365" i="5" s="1"/>
  <c r="X1364" i="5"/>
  <c r="Z1364" i="5" s="1"/>
  <c r="X1350" i="5"/>
  <c r="Y1350" i="5" s="1"/>
  <c r="X1359" i="5"/>
  <c r="Y1359" i="5" s="1"/>
  <c r="X1358" i="5"/>
  <c r="Z1358" i="5" s="1"/>
  <c r="X1338" i="5"/>
  <c r="Z1338" i="5" s="1"/>
  <c r="X1348" i="5"/>
  <c r="Y1348" i="5" s="1"/>
  <c r="X1347" i="5"/>
  <c r="Z1347" i="5" s="1"/>
  <c r="X1344" i="5"/>
  <c r="Y1344" i="5" s="1"/>
  <c r="X1341" i="5"/>
  <c r="Y1341" i="5" s="1"/>
  <c r="X1353" i="5"/>
  <c r="Z1353" i="5" s="1"/>
  <c r="X1342" i="5"/>
  <c r="Y1342" i="5" s="1"/>
  <c r="X1346" i="5"/>
  <c r="Z1346" i="5" s="1"/>
  <c r="X1305" i="5"/>
  <c r="Y1305" i="5" s="1"/>
  <c r="X1349" i="5"/>
  <c r="Y1349" i="5" s="1"/>
  <c r="X1304" i="5"/>
  <c r="Z1304" i="5" s="1"/>
  <c r="X1343" i="5"/>
  <c r="Z1343" i="5" s="1"/>
  <c r="X1345" i="5"/>
  <c r="Y1345" i="5" s="1"/>
  <c r="X1340" i="5"/>
  <c r="Y1340" i="5" s="1"/>
  <c r="X1339" i="5"/>
  <c r="Y1339" i="5" s="1"/>
  <c r="X1337" i="5"/>
  <c r="Z1337" i="5" s="1"/>
  <c r="X94" i="5"/>
  <c r="Y94" i="5" s="1"/>
  <c r="X1336" i="5"/>
  <c r="Z1336" i="5" s="1"/>
  <c r="X1335" i="5"/>
  <c r="Z1335" i="5" s="1"/>
  <c r="X439" i="5"/>
  <c r="Y439" i="5" s="1"/>
  <c r="X1333" i="5"/>
  <c r="Z1333" i="5" s="1"/>
  <c r="X345" i="5"/>
  <c r="Y345" i="5" s="1"/>
  <c r="X1334" i="5"/>
  <c r="Z1334" i="5" s="1"/>
  <c r="X1303" i="5"/>
  <c r="Y1303" i="5" s="1"/>
  <c r="X1332" i="5"/>
  <c r="Y1332" i="5" s="1"/>
  <c r="X1328" i="5"/>
  <c r="Y1328" i="5" s="1"/>
  <c r="X1324" i="5"/>
  <c r="Y1324" i="5" s="1"/>
  <c r="X1315" i="5"/>
  <c r="Z1315" i="5" s="1"/>
  <c r="X1302" i="5"/>
  <c r="Z1302" i="5" s="1"/>
  <c r="X1311" i="5"/>
  <c r="Z1311" i="5" s="1"/>
  <c r="X1320" i="5"/>
  <c r="Z1320" i="5" s="1"/>
  <c r="X1331" i="5"/>
  <c r="Y1331" i="5" s="1"/>
  <c r="X1318" i="5"/>
  <c r="Y1318" i="5" s="1"/>
  <c r="X1310" i="5"/>
  <c r="Y1310" i="5" s="1"/>
  <c r="X1326" i="5"/>
  <c r="Z1326" i="5" s="1"/>
  <c r="X1309" i="5"/>
  <c r="Z1309" i="5" s="1"/>
  <c r="X1325" i="5"/>
  <c r="Y1325" i="5" s="1"/>
  <c r="X1319" i="5"/>
  <c r="Y1319" i="5" s="1"/>
  <c r="X1327" i="5"/>
  <c r="Y1327" i="5" s="1"/>
  <c r="X1323" i="5"/>
  <c r="Z1323" i="5" s="1"/>
  <c r="X560" i="5"/>
  <c r="Y560" i="5" s="1"/>
  <c r="X1314" i="5"/>
  <c r="Y1314" i="5" s="1"/>
  <c r="X1330" i="5"/>
  <c r="Z1330" i="5" s="1"/>
  <c r="X1322" i="5"/>
  <c r="Y1322" i="5" s="1"/>
  <c r="X1317" i="5"/>
  <c r="Z1317" i="5" s="1"/>
  <c r="X1313" i="5"/>
  <c r="Y1313" i="5" s="1"/>
  <c r="X1329" i="5"/>
  <c r="Z1329" i="5" s="1"/>
  <c r="X1321" i="5"/>
  <c r="Z1321" i="5" s="1"/>
  <c r="X1316" i="5"/>
  <c r="Y1316" i="5" s="1"/>
  <c r="X1312" i="5"/>
  <c r="Y1312" i="5" s="1"/>
  <c r="X1308" i="5"/>
  <c r="Z1308" i="5" s="1"/>
  <c r="X1307" i="5"/>
  <c r="Z1307" i="5" s="1"/>
  <c r="X1306" i="5"/>
  <c r="Z1306" i="5" s="1"/>
  <c r="X203" i="5"/>
  <c r="Y203" i="5" s="1"/>
  <c r="X193" i="5"/>
  <c r="Y193" i="5" s="1"/>
  <c r="X5" i="5"/>
  <c r="Y5" i="5" s="1"/>
  <c r="X79" i="5"/>
  <c r="Y79" i="5" s="1"/>
  <c r="X302" i="5"/>
  <c r="Z302" i="5" s="1"/>
  <c r="X414" i="5"/>
  <c r="Y414" i="5" s="1"/>
  <c r="X748" i="5"/>
  <c r="Y748" i="5" s="1"/>
  <c r="X461" i="5"/>
  <c r="Y461" i="5" s="1"/>
  <c r="X132" i="5"/>
  <c r="Y132" i="5" s="1"/>
  <c r="X54" i="5"/>
  <c r="Y54" i="5" s="1"/>
  <c r="X268" i="5"/>
  <c r="Y268" i="5" s="1"/>
  <c r="X1063" i="5"/>
  <c r="Y1063" i="5" s="1"/>
  <c r="X747" i="5"/>
  <c r="Y747" i="5" s="1"/>
  <c r="X255" i="5"/>
  <c r="Y255" i="5" s="1"/>
  <c r="X1224" i="5"/>
  <c r="Y1224" i="5" s="1"/>
  <c r="X117" i="5"/>
  <c r="Y117" i="5" s="1"/>
  <c r="X271" i="5"/>
  <c r="Y271" i="5" s="1"/>
  <c r="X215" i="5"/>
  <c r="Y215" i="5" s="1"/>
  <c r="X1055" i="5"/>
  <c r="Y1055" i="5" s="1"/>
  <c r="X1119" i="5"/>
  <c r="Y1119" i="5" s="1"/>
  <c r="X511" i="5"/>
  <c r="Y511" i="5" s="1"/>
  <c r="X9" i="5"/>
  <c r="Y9" i="5" s="1"/>
  <c r="X584" i="5"/>
  <c r="Y584" i="5" s="1"/>
  <c r="X493" i="5"/>
  <c r="Y493" i="5" s="1"/>
  <c r="X989" i="5"/>
  <c r="Y989" i="5" s="1"/>
  <c r="X413" i="5"/>
  <c r="Y413" i="5" s="1"/>
  <c r="X200" i="5"/>
  <c r="Z200" i="5" s="1"/>
  <c r="X197" i="5"/>
  <c r="Y197" i="5" s="1"/>
  <c r="X445" i="5"/>
  <c r="Y445" i="5" s="1"/>
  <c r="X896" i="5"/>
  <c r="Y896" i="5" s="1"/>
  <c r="X131" i="5"/>
  <c r="Y131" i="5" s="1"/>
  <c r="X480" i="5"/>
  <c r="Y480" i="5" s="1"/>
  <c r="X160" i="5"/>
  <c r="Y160" i="5" s="1"/>
  <c r="X98" i="5"/>
  <c r="Y98" i="5" s="1"/>
  <c r="X40" i="5"/>
  <c r="Y40" i="5" s="1"/>
  <c r="X39" i="5"/>
  <c r="Z39" i="5" s="1"/>
  <c r="X687" i="5"/>
  <c r="Y687" i="5" s="1"/>
  <c r="X555" i="5"/>
  <c r="Y555" i="5" s="1"/>
  <c r="X557" i="5"/>
  <c r="Y557" i="5" s="1"/>
  <c r="X191" i="5"/>
  <c r="Y191" i="5" s="1"/>
  <c r="X96" i="5"/>
  <c r="Y96" i="5" s="1"/>
  <c r="X693" i="5"/>
  <c r="Y693" i="5" s="1"/>
  <c r="X778" i="5"/>
  <c r="Y778" i="5" s="1"/>
  <c r="X270" i="5"/>
  <c r="Y270" i="5" s="1"/>
  <c r="X1004" i="5"/>
  <c r="Y1004" i="5" s="1"/>
  <c r="X186" i="5"/>
  <c r="Y186" i="5" s="1"/>
  <c r="X366" i="5"/>
  <c r="Y366" i="5" s="1"/>
  <c r="X542" i="5"/>
  <c r="Z542" i="5" s="1"/>
  <c r="X543" i="5"/>
  <c r="Y543" i="5" s="1"/>
  <c r="X832" i="5"/>
  <c r="Y832" i="5" s="1"/>
  <c r="X1016" i="5"/>
  <c r="Z1016" i="5" s="1"/>
  <c r="X204" i="5"/>
  <c r="Y204" i="5" s="1"/>
  <c r="X201" i="5"/>
  <c r="Z201" i="5" s="1"/>
  <c r="X198" i="5"/>
  <c r="Z198" i="5" s="1"/>
  <c r="X1103" i="5"/>
  <c r="Y1103" i="5" s="1"/>
  <c r="X238" i="5"/>
  <c r="Y238" i="5" s="1"/>
  <c r="X278" i="5"/>
  <c r="Y278" i="5" s="1"/>
  <c r="X1054" i="5"/>
  <c r="Z1054" i="5" s="1"/>
  <c r="X429" i="5"/>
  <c r="Y429" i="5" s="1"/>
  <c r="X715" i="5"/>
  <c r="Y715" i="5" s="1"/>
  <c r="X768" i="5"/>
  <c r="Y768" i="5" s="1"/>
  <c r="X100" i="5"/>
  <c r="Y100" i="5" s="1"/>
  <c r="X744" i="5"/>
  <c r="Y744" i="5" s="1"/>
  <c r="X208" i="5"/>
  <c r="Z208" i="5" s="1"/>
  <c r="X852" i="5"/>
  <c r="Y852" i="5" s="1"/>
  <c r="X683" i="5"/>
  <c r="Y683" i="5" s="1"/>
  <c r="X488" i="5"/>
  <c r="Y488" i="5" s="1"/>
  <c r="X28" i="5"/>
  <c r="Y28" i="5" s="1"/>
  <c r="X153" i="5"/>
  <c r="Z153" i="5" s="1"/>
  <c r="X209" i="5"/>
  <c r="Y209" i="5" s="1"/>
  <c r="X336" i="5"/>
  <c r="Y336" i="5" s="1"/>
  <c r="X1136" i="5"/>
  <c r="Y1136" i="5" s="1"/>
  <c r="X630" i="5"/>
  <c r="Y630" i="5" s="1"/>
  <c r="X845" i="5"/>
  <c r="Y845" i="5" s="1"/>
  <c r="X206" i="5"/>
  <c r="Y206" i="5" s="1"/>
  <c r="X575" i="5"/>
  <c r="Y575" i="5" s="1"/>
  <c r="X925" i="5"/>
  <c r="Y925" i="5" s="1"/>
  <c r="X26" i="5"/>
  <c r="Z26" i="5" s="1"/>
  <c r="X115" i="5"/>
  <c r="Y115" i="5" s="1"/>
  <c r="X459" i="5"/>
  <c r="Y459" i="5" s="1"/>
  <c r="X821" i="5"/>
  <c r="Y821" i="5" s="1"/>
  <c r="X207" i="5"/>
  <c r="Y207" i="5" s="1"/>
  <c r="X318" i="5"/>
  <c r="Y318" i="5" s="1"/>
  <c r="X116" i="5"/>
  <c r="Y116" i="5" s="1"/>
  <c r="X426" i="5"/>
  <c r="Y426" i="5" s="1"/>
  <c r="X149" i="5"/>
  <c r="Y149" i="5" s="1"/>
  <c r="X205" i="5"/>
  <c r="Y205" i="5" s="1"/>
  <c r="X202" i="5"/>
  <c r="Z202" i="5" s="1"/>
  <c r="X199" i="5"/>
  <c r="Y199" i="5" s="1"/>
  <c r="X154" i="5"/>
  <c r="Z154" i="5" s="1"/>
  <c r="X50" i="5"/>
  <c r="Z50" i="5" s="1"/>
  <c r="X756" i="5"/>
  <c r="Y756" i="5" s="1"/>
  <c r="X229" i="5"/>
  <c r="Y229" i="5" s="1"/>
  <c r="X89" i="5"/>
  <c r="Z89" i="5" s="1"/>
  <c r="X91" i="5"/>
  <c r="Y91" i="5" s="1"/>
  <c r="X155" i="5"/>
  <c r="Y155" i="5" s="1"/>
  <c r="X146" i="5"/>
  <c r="Z146" i="5" s="1"/>
  <c r="X151" i="5"/>
  <c r="Y151" i="5" s="1"/>
  <c r="X148" i="5"/>
  <c r="Y148" i="5" s="1"/>
  <c r="X145" i="5"/>
  <c r="Y145" i="5" s="1"/>
  <c r="X157" i="5"/>
  <c r="Z157" i="5" s="1"/>
  <c r="X99" i="5"/>
  <c r="Y99" i="5" s="1"/>
  <c r="X156" i="5"/>
  <c r="Y156" i="5" s="1"/>
  <c r="X86" i="5"/>
  <c r="Z86" i="5" s="1"/>
  <c r="X147" i="5"/>
  <c r="Y147" i="5" s="1"/>
  <c r="X90" i="5"/>
  <c r="Y90" i="5" s="1"/>
  <c r="X152" i="5"/>
  <c r="Z152" i="5" s="1"/>
  <c r="X934" i="5"/>
  <c r="Y934" i="5" s="1"/>
  <c r="X135" i="5"/>
  <c r="Y135" i="5" s="1"/>
  <c r="X150" i="5"/>
  <c r="Z150" i="5" s="1"/>
  <c r="X52" i="5"/>
  <c r="Z52" i="5" s="1"/>
  <c r="X84" i="5"/>
  <c r="Z84" i="5" s="1"/>
  <c r="X82" i="5"/>
  <c r="Z82" i="5" s="1"/>
  <c r="X87" i="5"/>
  <c r="Z87" i="5" s="1"/>
  <c r="X81" i="5"/>
  <c r="Y81" i="5" s="1"/>
  <c r="X51" i="5"/>
  <c r="Z51" i="5" s="1"/>
  <c r="X83" i="5"/>
  <c r="Z83" i="5" s="1"/>
  <c r="X80" i="5"/>
  <c r="Y80" i="5" s="1"/>
  <c r="X88" i="5"/>
  <c r="Z88" i="5" s="1"/>
  <c r="X85" i="5"/>
  <c r="Y85" i="5" s="1"/>
  <c r="X92" i="5"/>
  <c r="Z92" i="5" s="1"/>
  <c r="Z1295" i="5"/>
  <c r="Z1214" i="5"/>
  <c r="X46" i="5"/>
  <c r="Y46" i="5" s="1"/>
  <c r="X43" i="5"/>
  <c r="Z43" i="5" s="1"/>
  <c r="X269" i="5"/>
  <c r="Y269" i="5" s="1"/>
  <c r="Z1294" i="5"/>
  <c r="Z1070" i="5"/>
  <c r="Z926" i="5"/>
  <c r="Z473" i="5"/>
  <c r="X649" i="5"/>
  <c r="Y649" i="5" s="1"/>
  <c r="Z235" i="5"/>
  <c r="X45" i="5"/>
  <c r="Z45" i="5" s="1"/>
  <c r="X42" i="5"/>
  <c r="Z42" i="5" s="1"/>
  <c r="Z908" i="5"/>
  <c r="Z190" i="5"/>
  <c r="X47" i="5"/>
  <c r="Z47" i="5" s="1"/>
  <c r="X44" i="5"/>
  <c r="Z44" i="5" s="1"/>
  <c r="X41" i="5"/>
  <c r="Z41" i="5" s="1"/>
  <c r="Z827" i="5"/>
  <c r="X53" i="5"/>
  <c r="Z53" i="5" s="1"/>
  <c r="Z909" i="5"/>
  <c r="Z667" i="5"/>
  <c r="X49" i="5"/>
  <c r="Z49" i="5" s="1"/>
  <c r="Z684" i="5"/>
  <c r="Z651" i="5"/>
  <c r="X48" i="5"/>
  <c r="Y48" i="5" s="1"/>
  <c r="Z251" i="5"/>
  <c r="Y350" i="5"/>
  <c r="Z495" i="5"/>
  <c r="Y795" i="5"/>
  <c r="Z795" i="5"/>
  <c r="Z492" i="5"/>
  <c r="Z1126" i="5"/>
  <c r="Z831" i="5"/>
  <c r="Z668" i="5"/>
  <c r="Z236" i="5"/>
  <c r="Z1083" i="5"/>
  <c r="Z603" i="5"/>
  <c r="Z593" i="5"/>
  <c r="Z381" i="5"/>
  <c r="Z591" i="5"/>
  <c r="X690" i="5"/>
  <c r="Z690" i="5" s="1"/>
  <c r="Y234" i="5"/>
  <c r="Z765" i="5"/>
  <c r="Z379" i="5"/>
  <c r="Z130" i="5"/>
  <c r="Z982" i="5"/>
  <c r="Z750" i="5"/>
  <c r="Z589" i="5"/>
  <c r="Z97" i="5"/>
  <c r="Z812" i="5"/>
  <c r="Z395" i="5"/>
  <c r="Z1038" i="5"/>
  <c r="Z592" i="5"/>
  <c r="Z971" i="5"/>
  <c r="Z732" i="5"/>
  <c r="Z587" i="5"/>
  <c r="Z240" i="5"/>
  <c r="Z159" i="5"/>
  <c r="Y1122" i="5"/>
  <c r="Z959" i="5"/>
  <c r="Z571" i="5"/>
  <c r="Y512" i="5"/>
  <c r="Z941" i="5"/>
  <c r="Z558" i="5"/>
  <c r="Z334" i="5"/>
  <c r="Z829" i="5"/>
  <c r="Z1085" i="5"/>
  <c r="Y510" i="5"/>
  <c r="Z928" i="5"/>
  <c r="Z704" i="5"/>
  <c r="Z272" i="5"/>
  <c r="Z24" i="5"/>
  <c r="Z1031" i="5"/>
  <c r="Z1030" i="5"/>
  <c r="Z464" i="5"/>
  <c r="Z335" i="5"/>
  <c r="Z12" i="5"/>
  <c r="X484" i="5"/>
  <c r="Z484" i="5" s="1"/>
  <c r="Z790" i="5"/>
  <c r="Z1292" i="5"/>
  <c r="Z1020" i="5"/>
  <c r="Z887" i="5"/>
  <c r="Z752" i="5"/>
  <c r="Z544" i="5"/>
  <c r="Z179" i="5"/>
  <c r="Z11" i="5"/>
  <c r="Z1243" i="5"/>
  <c r="Z1006" i="5"/>
  <c r="Z886" i="5"/>
  <c r="Z655" i="5"/>
  <c r="Z539" i="5"/>
  <c r="Z417" i="5"/>
  <c r="Z178" i="5"/>
  <c r="Z8" i="5"/>
  <c r="Z374" i="5"/>
  <c r="Z1078" i="5"/>
  <c r="Z471" i="5"/>
  <c r="Z196" i="5"/>
  <c r="Z320" i="5"/>
  <c r="Z879" i="5"/>
  <c r="Z140" i="5"/>
  <c r="Z1164" i="5"/>
  <c r="Z985" i="5"/>
  <c r="Z860" i="5"/>
  <c r="Z636" i="5"/>
  <c r="Z139" i="5"/>
  <c r="Z885" i="5"/>
  <c r="Z653" i="5"/>
  <c r="Z416" i="5"/>
  <c r="Z1183" i="5"/>
  <c r="Z988" i="5"/>
  <c r="Z749" i="5"/>
  <c r="Z415" i="5"/>
  <c r="Z1128" i="5"/>
  <c r="Z984" i="5"/>
  <c r="Z742" i="5"/>
  <c r="Z635" i="5"/>
  <c r="Z399" i="5"/>
  <c r="Z299" i="5"/>
  <c r="Z319" i="5"/>
  <c r="Z1127" i="5"/>
  <c r="Z983" i="5"/>
  <c r="Z833" i="5"/>
  <c r="Z735" i="5"/>
  <c r="Z606" i="5"/>
  <c r="Z509" i="5"/>
  <c r="Z398" i="5"/>
  <c r="Z283" i="5"/>
  <c r="Z134" i="5"/>
  <c r="Y273" i="5"/>
  <c r="Z273" i="5"/>
  <c r="Y1168" i="5"/>
  <c r="Z1168" i="5"/>
  <c r="Y1167" i="5"/>
  <c r="Z1167" i="5"/>
  <c r="Y1246" i="5"/>
  <c r="Z1246" i="5"/>
  <c r="Y1102" i="5"/>
  <c r="Z1102" i="5"/>
  <c r="Y862" i="5"/>
  <c r="Z862" i="5"/>
  <c r="Y1297" i="5"/>
  <c r="Z1297" i="5"/>
  <c r="Y1245" i="5"/>
  <c r="Z1245" i="5"/>
  <c r="Y1165" i="5"/>
  <c r="Z1165" i="5"/>
  <c r="Y1148" i="5"/>
  <c r="Z1148" i="5"/>
  <c r="Y1100" i="5"/>
  <c r="Z1100" i="5"/>
  <c r="Y874" i="5"/>
  <c r="Z874" i="5"/>
  <c r="Y218" i="5"/>
  <c r="Z218" i="5"/>
  <c r="Y1146" i="5"/>
  <c r="Z1146" i="5"/>
  <c r="Y970" i="5"/>
  <c r="Z970" i="5"/>
  <c r="Y586" i="5"/>
  <c r="Z586" i="5"/>
  <c r="Y762" i="5"/>
  <c r="Z762" i="5"/>
  <c r="Y570" i="5"/>
  <c r="Z570" i="5"/>
  <c r="Y449" i="5"/>
  <c r="Z449" i="5"/>
  <c r="Y1002" i="5"/>
  <c r="Z1002" i="5"/>
  <c r="Y1242" i="5"/>
  <c r="Z1242" i="5"/>
  <c r="Y1050" i="5"/>
  <c r="Z1050" i="5"/>
  <c r="Y794" i="5"/>
  <c r="Z794" i="5"/>
  <c r="Y618" i="5"/>
  <c r="Z618" i="5"/>
  <c r="Y410" i="5"/>
  <c r="Z410" i="5"/>
  <c r="Z250" i="5"/>
  <c r="Z1223" i="5"/>
  <c r="Z1125" i="5"/>
  <c r="Z1080" i="5"/>
  <c r="Z1029" i="5"/>
  <c r="Z933" i="5"/>
  <c r="Z881" i="5"/>
  <c r="Z713" i="5"/>
  <c r="Z633" i="5"/>
  <c r="Z549" i="5"/>
  <c r="Z377" i="5"/>
  <c r="Z289" i="5"/>
  <c r="Z29" i="5"/>
  <c r="Y1138" i="5"/>
  <c r="Z1293" i="5"/>
  <c r="Z1175" i="5"/>
  <c r="Z1121" i="5"/>
  <c r="Z1079" i="5"/>
  <c r="Z1021" i="5"/>
  <c r="Z981" i="5"/>
  <c r="Z929" i="5"/>
  <c r="Z880" i="5"/>
  <c r="Z830" i="5"/>
  <c r="Z789" i="5"/>
  <c r="Z705" i="5"/>
  <c r="Z666" i="5"/>
  <c r="Z590" i="5"/>
  <c r="Z545" i="5"/>
  <c r="Z508" i="5"/>
  <c r="Z465" i="5"/>
  <c r="Z333" i="5"/>
  <c r="Z288" i="5"/>
  <c r="Z133" i="5"/>
  <c r="Z27" i="5"/>
  <c r="Z111" i="5"/>
  <c r="Z1221" i="5"/>
  <c r="Z977" i="5"/>
  <c r="Z785" i="5"/>
  <c r="Z665" i="5"/>
  <c r="Z617" i="5"/>
  <c r="Z505" i="5"/>
  <c r="Z188" i="5"/>
  <c r="Z95" i="5"/>
  <c r="Y576" i="5"/>
  <c r="Z1275" i="5"/>
  <c r="Z1217" i="5"/>
  <c r="Z1115" i="5"/>
  <c r="Z1077" i="5"/>
  <c r="Z1017" i="5"/>
  <c r="Z976" i="5"/>
  <c r="Z878" i="5"/>
  <c r="Z828" i="5"/>
  <c r="Z782" i="5"/>
  <c r="Z746" i="5"/>
  <c r="Z703" i="5"/>
  <c r="Z616" i="5"/>
  <c r="Z588" i="5"/>
  <c r="Z496" i="5"/>
  <c r="Z460" i="5"/>
  <c r="Z411" i="5"/>
  <c r="Z369" i="5"/>
  <c r="Z330" i="5"/>
  <c r="Z282" i="5"/>
  <c r="Z239" i="5"/>
  <c r="Z185" i="5"/>
  <c r="Z1194" i="5"/>
  <c r="Z378" i="5"/>
  <c r="X407" i="5"/>
  <c r="Y407" i="5" s="1"/>
  <c r="Y528" i="5"/>
  <c r="Z1216" i="5"/>
  <c r="Z1166" i="5"/>
  <c r="Z781" i="5"/>
  <c r="Z745" i="5"/>
  <c r="Z615" i="5"/>
  <c r="Z368" i="5"/>
  <c r="Z329" i="5"/>
  <c r="Z184" i="5"/>
  <c r="Z93" i="5"/>
  <c r="Z1269" i="5"/>
  <c r="Z1215" i="5"/>
  <c r="Z1069" i="5"/>
  <c r="Z1005" i="5"/>
  <c r="Z921" i="5"/>
  <c r="Z873" i="5"/>
  <c r="Z826" i="5"/>
  <c r="Z780" i="5"/>
  <c r="Z743" i="5"/>
  <c r="Z701" i="5"/>
  <c r="Z654" i="5"/>
  <c r="Z614" i="5"/>
  <c r="Z538" i="5"/>
  <c r="Z494" i="5"/>
  <c r="Z457" i="5"/>
  <c r="Z409" i="5"/>
  <c r="Z367" i="5"/>
  <c r="Z321" i="5"/>
  <c r="Z237" i="5"/>
  <c r="Z180" i="5"/>
  <c r="Z129" i="5"/>
  <c r="Z13" i="5"/>
  <c r="Z112" i="5"/>
  <c r="Z1082" i="5"/>
  <c r="Z714" i="5"/>
  <c r="Z553" i="5"/>
  <c r="Z585" i="5"/>
  <c r="Z128" i="5"/>
  <c r="Z1264" i="5"/>
  <c r="Z1213" i="5"/>
  <c r="Z1153" i="5"/>
  <c r="Z1065" i="5"/>
  <c r="Z1003" i="5"/>
  <c r="Z609" i="5"/>
  <c r="Z448" i="5"/>
  <c r="Z361" i="5"/>
  <c r="Z127" i="5"/>
  <c r="Z1262" i="5"/>
  <c r="Z1200" i="5"/>
  <c r="Z1149" i="5"/>
  <c r="Z1099" i="5"/>
  <c r="Z1056" i="5"/>
  <c r="Z958" i="5"/>
  <c r="Z907" i="5"/>
  <c r="Z859" i="5"/>
  <c r="Z810" i="5"/>
  <c r="Z763" i="5"/>
  <c r="Z734" i="5"/>
  <c r="Z689" i="5"/>
  <c r="Z608" i="5"/>
  <c r="Z520" i="5"/>
  <c r="Z489" i="5"/>
  <c r="Z447" i="5"/>
  <c r="Z397" i="5"/>
  <c r="Z352" i="5"/>
  <c r="Z234" i="5"/>
  <c r="Z73" i="5"/>
  <c r="Z1247" i="5"/>
  <c r="Z1199" i="5"/>
  <c r="Z1089" i="5"/>
  <c r="Z957" i="5"/>
  <c r="Z906" i="5"/>
  <c r="Z849" i="5"/>
  <c r="Z809" i="5"/>
  <c r="Z733" i="5"/>
  <c r="Z688" i="5"/>
  <c r="Z646" i="5"/>
  <c r="Z607" i="5"/>
  <c r="Z569" i="5"/>
  <c r="Z479" i="5"/>
  <c r="Z446" i="5"/>
  <c r="Z396" i="5"/>
  <c r="Z351" i="5"/>
  <c r="Z233" i="5"/>
  <c r="Z172" i="5"/>
  <c r="Z72" i="5"/>
  <c r="Z938" i="5"/>
  <c r="Z298" i="5"/>
  <c r="Z217" i="5"/>
  <c r="Z953" i="5"/>
  <c r="Z801" i="5"/>
  <c r="Z645" i="5"/>
  <c r="Z518" i="5"/>
  <c r="Z257" i="5"/>
  <c r="Z67" i="5"/>
  <c r="X313" i="5"/>
  <c r="Z793" i="5"/>
  <c r="Z634" i="5"/>
  <c r="Z297" i="5"/>
  <c r="Z1265" i="5"/>
  <c r="Z1101" i="5"/>
  <c r="Z537" i="5"/>
  <c r="Z1088" i="5"/>
  <c r="Z1051" i="5"/>
  <c r="Z905" i="5"/>
  <c r="Z761" i="5"/>
  <c r="Z1196" i="5"/>
  <c r="Z1087" i="5"/>
  <c r="Z987" i="5"/>
  <c r="Z943" i="5"/>
  <c r="Z893" i="5"/>
  <c r="Z843" i="5"/>
  <c r="Z800" i="5"/>
  <c r="Z757" i="5"/>
  <c r="Z731" i="5"/>
  <c r="Z686" i="5"/>
  <c r="Z641" i="5"/>
  <c r="Z605" i="5"/>
  <c r="Z517" i="5"/>
  <c r="Z475" i="5"/>
  <c r="Z441" i="5"/>
  <c r="Z394" i="5"/>
  <c r="Z349" i="5"/>
  <c r="Z315" i="5"/>
  <c r="Z220" i="5"/>
  <c r="Z158" i="5"/>
  <c r="Z114" i="5"/>
  <c r="Z66" i="5"/>
  <c r="Z554" i="5"/>
  <c r="Z1178" i="5"/>
  <c r="Z249" i="5"/>
  <c r="Z1066" i="5"/>
  <c r="Z969" i="5"/>
  <c r="Z825" i="5"/>
  <c r="Z697" i="5"/>
  <c r="Z613" i="5"/>
  <c r="Z78" i="5"/>
  <c r="Y221" i="5"/>
  <c r="Z1197" i="5"/>
  <c r="Z1147" i="5"/>
  <c r="Z848" i="5"/>
  <c r="Z1244" i="5"/>
  <c r="Z1195" i="5"/>
  <c r="Z1130" i="5"/>
  <c r="Z1086" i="5"/>
  <c r="Z1049" i="5"/>
  <c r="Z986" i="5"/>
  <c r="Z942" i="5"/>
  <c r="Z889" i="5"/>
  <c r="Z841" i="5"/>
  <c r="Z753" i="5"/>
  <c r="Z685" i="5"/>
  <c r="Z637" i="5"/>
  <c r="Z604" i="5"/>
  <c r="Z556" i="5"/>
  <c r="Z513" i="5"/>
  <c r="Z474" i="5"/>
  <c r="Z427" i="5"/>
  <c r="Z393" i="5"/>
  <c r="Z254" i="5"/>
  <c r="Z219" i="5"/>
  <c r="Z144" i="5"/>
  <c r="Z113" i="5"/>
  <c r="Z55" i="5"/>
  <c r="Y1279" i="5"/>
  <c r="Z1279" i="5"/>
  <c r="Y1039" i="5"/>
  <c r="Z1039" i="5"/>
  <c r="Y769" i="5"/>
  <c r="Z769" i="5"/>
  <c r="Y1145" i="5"/>
  <c r="Z1145" i="5"/>
  <c r="Y347" i="5"/>
  <c r="Z347" i="5"/>
  <c r="Z1225" i="5"/>
  <c r="Y1278" i="5"/>
  <c r="Z1278" i="5"/>
  <c r="Y412" i="5"/>
  <c r="Z412" i="5"/>
  <c r="Y891" i="5"/>
  <c r="Z891" i="5"/>
  <c r="Z861" i="5"/>
  <c r="Y890" i="5"/>
  <c r="Z890" i="5"/>
  <c r="Y490" i="5"/>
  <c r="Z490" i="5"/>
  <c r="Y1289" i="5"/>
  <c r="Z1289" i="5"/>
  <c r="Y1161" i="5"/>
  <c r="Z1161" i="5"/>
  <c r="Y373" i="5"/>
  <c r="Z373" i="5"/>
  <c r="Z1118" i="5"/>
  <c r="Y1118" i="5"/>
  <c r="Y972" i="5"/>
  <c r="Z972" i="5"/>
  <c r="Y875" i="5"/>
  <c r="Z875" i="5"/>
  <c r="Y362" i="5"/>
  <c r="Z362" i="5"/>
  <c r="Y1257" i="5"/>
  <c r="Z1257" i="5"/>
  <c r="Y1097" i="5"/>
  <c r="Z1097" i="5"/>
  <c r="Y1023" i="5"/>
  <c r="Z1023" i="5"/>
  <c r="Z811" i="5"/>
  <c r="Y1117" i="5"/>
  <c r="Z1117" i="5"/>
  <c r="Y423" i="5"/>
  <c r="Z423" i="5"/>
  <c r="Y1286" i="5"/>
  <c r="Z1286" i="5"/>
  <c r="Y1190" i="5"/>
  <c r="Z1190" i="5"/>
  <c r="Y422" i="5"/>
  <c r="Z422" i="5"/>
  <c r="Y421" i="5"/>
  <c r="Z421" i="5"/>
  <c r="Y309" i="5"/>
  <c r="Z309" i="5"/>
  <c r="Y261" i="5"/>
  <c r="Z261" i="5"/>
  <c r="Y1185" i="5"/>
  <c r="Z1185" i="5"/>
  <c r="Y1277" i="5"/>
  <c r="Z1277" i="5"/>
  <c r="Y892" i="5"/>
  <c r="Z892" i="5"/>
  <c r="Y1025" i="5"/>
  <c r="Z1025" i="5"/>
  <c r="Y1018" i="5"/>
  <c r="Z1018" i="5"/>
  <c r="Y698" i="5"/>
  <c r="Z698" i="5"/>
  <c r="Y1241" i="5"/>
  <c r="Z1241" i="5"/>
  <c r="Y1193" i="5"/>
  <c r="Z1193" i="5"/>
  <c r="Y1113" i="5"/>
  <c r="Z1113" i="5"/>
  <c r="Y1188" i="5"/>
  <c r="Z1188" i="5"/>
  <c r="Y548" i="5"/>
  <c r="Z548" i="5"/>
  <c r="Y659" i="5"/>
  <c r="Z659" i="5"/>
  <c r="Y579" i="5"/>
  <c r="Z579" i="5"/>
  <c r="Y1182" i="5"/>
  <c r="Z1182" i="5"/>
  <c r="Y1263" i="5"/>
  <c r="Z1263" i="5"/>
  <c r="Y1041" i="5"/>
  <c r="Z1041" i="5"/>
  <c r="Y1261" i="5"/>
  <c r="Z1261" i="5"/>
  <c r="Y784" i="5"/>
  <c r="Z784" i="5"/>
  <c r="Y944" i="5"/>
  <c r="Z944" i="5"/>
  <c r="Y939" i="5"/>
  <c r="Z939" i="5"/>
  <c r="Y1019" i="5"/>
  <c r="Z1019" i="5"/>
  <c r="Y491" i="5"/>
  <c r="Z491" i="5"/>
  <c r="Y25" i="5"/>
  <c r="Z25" i="5"/>
  <c r="Z1198" i="5"/>
  <c r="Y1162" i="5"/>
  <c r="Z1162" i="5"/>
  <c r="Y682" i="5"/>
  <c r="Z682" i="5"/>
  <c r="Y506" i="5"/>
  <c r="Z506" i="5"/>
  <c r="Y1209" i="5"/>
  <c r="Z1209" i="5"/>
  <c r="Y1184" i="5"/>
  <c r="Z1184" i="5"/>
  <c r="Z1177" i="5"/>
  <c r="Y755" i="5"/>
  <c r="Z755" i="5"/>
  <c r="Y419" i="5"/>
  <c r="Z419" i="5"/>
  <c r="Y547" i="5"/>
  <c r="Z547" i="5"/>
  <c r="Z1081" i="5"/>
  <c r="Y658" i="5"/>
  <c r="Z658" i="5"/>
  <c r="Y546" i="5"/>
  <c r="Z546" i="5"/>
  <c r="Z1273" i="5"/>
  <c r="Y1280" i="5"/>
  <c r="Z1280" i="5"/>
  <c r="Y1120" i="5"/>
  <c r="Z1120" i="5"/>
  <c r="Y1040" i="5"/>
  <c r="Z1040" i="5"/>
  <c r="Y864" i="5"/>
  <c r="Z864" i="5"/>
  <c r="Y1260" i="5"/>
  <c r="Z1260" i="5"/>
  <c r="Y863" i="5"/>
  <c r="Z863" i="5"/>
  <c r="Y783" i="5"/>
  <c r="Z783" i="5"/>
  <c r="Y707" i="5"/>
  <c r="Z707" i="5"/>
  <c r="Y643" i="5"/>
  <c r="Z643" i="5"/>
  <c r="Y627" i="5"/>
  <c r="Z627" i="5"/>
  <c r="Y499" i="5"/>
  <c r="Z499" i="5"/>
  <c r="Y451" i="5"/>
  <c r="Z451" i="5"/>
  <c r="Y355" i="5"/>
  <c r="Z355" i="5"/>
  <c r="Y307" i="5"/>
  <c r="Z307" i="5"/>
  <c r="Y243" i="5"/>
  <c r="Z243" i="5"/>
  <c r="Y105" i="5"/>
  <c r="Z105" i="5"/>
  <c r="Y31" i="5"/>
  <c r="Z31" i="5"/>
  <c r="Y817" i="5"/>
  <c r="Z817" i="5"/>
  <c r="Z1142" i="5"/>
  <c r="Z314" i="5"/>
  <c r="Y1266" i="5"/>
  <c r="Z1266" i="5"/>
  <c r="Y1202" i="5"/>
  <c r="Z1202" i="5"/>
  <c r="Y1154" i="5"/>
  <c r="Z1154" i="5"/>
  <c r="Y1090" i="5"/>
  <c r="Z1090" i="5"/>
  <c r="Y1026" i="5"/>
  <c r="Z1026" i="5"/>
  <c r="Y962" i="5"/>
  <c r="Z962" i="5"/>
  <c r="Y818" i="5"/>
  <c r="Z818" i="5"/>
  <c r="Y754" i="5"/>
  <c r="Z754" i="5"/>
  <c r="Y706" i="5"/>
  <c r="Z706" i="5"/>
  <c r="Y626" i="5"/>
  <c r="Z626" i="5"/>
  <c r="Y562" i="5"/>
  <c r="Z562" i="5"/>
  <c r="Y498" i="5"/>
  <c r="Z498" i="5"/>
  <c r="Y450" i="5"/>
  <c r="Z450" i="5"/>
  <c r="Y386" i="5"/>
  <c r="Z386" i="5"/>
  <c r="Y322" i="5"/>
  <c r="Z322" i="5"/>
  <c r="Y258" i="5"/>
  <c r="Z258" i="5"/>
  <c r="Y210" i="5"/>
  <c r="Z210" i="5"/>
  <c r="Y120" i="5"/>
  <c r="Z120" i="5"/>
  <c r="Y59" i="5"/>
  <c r="Z59" i="5"/>
  <c r="Y816" i="5"/>
  <c r="Z816" i="5"/>
  <c r="Z1238" i="5"/>
  <c r="Z534" i="5"/>
  <c r="Z437" i="5"/>
  <c r="Z65" i="5"/>
  <c r="Y993" i="5"/>
  <c r="Z993" i="5"/>
  <c r="Y225" i="5"/>
  <c r="Z225" i="5"/>
  <c r="Y1052" i="5"/>
  <c r="Z1052" i="5"/>
  <c r="Y975" i="5"/>
  <c r="Z975" i="5"/>
  <c r="Y1027" i="5"/>
  <c r="Y166" i="5"/>
  <c r="Z1281" i="5"/>
  <c r="Z1259" i="5"/>
  <c r="Z1237" i="5"/>
  <c r="Z1137" i="5"/>
  <c r="Z990" i="5"/>
  <c r="Z968" i="5"/>
  <c r="Z871" i="5"/>
  <c r="Z774" i="5"/>
  <c r="Z727" i="5"/>
  <c r="Z677" i="5"/>
  <c r="Z652" i="5"/>
  <c r="Z577" i="5"/>
  <c r="Z533" i="5"/>
  <c r="Z458" i="5"/>
  <c r="Z433" i="5"/>
  <c r="Z389" i="5"/>
  <c r="Z256" i="5"/>
  <c r="Z168" i="5"/>
  <c r="Z107" i="5"/>
  <c r="Z3" i="5"/>
  <c r="Y760" i="5"/>
  <c r="Z760" i="5"/>
  <c r="Y680" i="5"/>
  <c r="Z680" i="5"/>
  <c r="Y344" i="5"/>
  <c r="Z344" i="5"/>
  <c r="Y324" i="5"/>
  <c r="Z324" i="5"/>
  <c r="Y1095" i="5"/>
  <c r="Z1095" i="5"/>
  <c r="Y1015" i="5"/>
  <c r="Z1015" i="5"/>
  <c r="Y583" i="5"/>
  <c r="Z583" i="5"/>
  <c r="Y125" i="5"/>
  <c r="Z125" i="5"/>
  <c r="Z952" i="5"/>
  <c r="Z711" i="5"/>
  <c r="Y1014" i="5"/>
  <c r="Z1014" i="5"/>
  <c r="Y758" i="5"/>
  <c r="Z758" i="5"/>
  <c r="Y582" i="5"/>
  <c r="Z582" i="5"/>
  <c r="Y739" i="5"/>
  <c r="Z739" i="5"/>
  <c r="Z807" i="5"/>
  <c r="Z294" i="5"/>
  <c r="Z34" i="5"/>
  <c r="Y1253" i="5"/>
  <c r="Z1253" i="5"/>
  <c r="Y1093" i="5"/>
  <c r="Z1093" i="5"/>
  <c r="Y1282" i="5"/>
  <c r="Z1282" i="5"/>
  <c r="Y1186" i="5"/>
  <c r="Z1186" i="5"/>
  <c r="Y1058" i="5"/>
  <c r="Z1058" i="5"/>
  <c r="Y978" i="5"/>
  <c r="Z978" i="5"/>
  <c r="Y898" i="5"/>
  <c r="Z898" i="5"/>
  <c r="Y850" i="5"/>
  <c r="Z850" i="5"/>
  <c r="Y786" i="5"/>
  <c r="Z786" i="5"/>
  <c r="Y674" i="5"/>
  <c r="Z674" i="5"/>
  <c r="Y610" i="5"/>
  <c r="Z610" i="5"/>
  <c r="Y530" i="5"/>
  <c r="Z530" i="5"/>
  <c r="Y466" i="5"/>
  <c r="Z466" i="5"/>
  <c r="Y418" i="5"/>
  <c r="Z418" i="5"/>
  <c r="Y226" i="5"/>
  <c r="Z226" i="5"/>
  <c r="Y136" i="5"/>
  <c r="Z136" i="5"/>
  <c r="Y14" i="5"/>
  <c r="Z14" i="5"/>
  <c r="Y267" i="5"/>
  <c r="Z267" i="5"/>
  <c r="Z991" i="5"/>
  <c r="Z922" i="5"/>
  <c r="Z728" i="5"/>
  <c r="Z631" i="5"/>
  <c r="Z390" i="5"/>
  <c r="Y1169" i="5"/>
  <c r="Z1169" i="5"/>
  <c r="Y737" i="5"/>
  <c r="Z737" i="5"/>
  <c r="Y481" i="5"/>
  <c r="Z481" i="5"/>
  <c r="Y401" i="5"/>
  <c r="Z401" i="5"/>
  <c r="Y305" i="5"/>
  <c r="Z305" i="5"/>
  <c r="Y119" i="5"/>
  <c r="Z119" i="5"/>
  <c r="Y1248" i="5"/>
  <c r="Z1248" i="5"/>
  <c r="Y1072" i="5"/>
  <c r="Z1072" i="5"/>
  <c r="Z736" i="5"/>
  <c r="Y736" i="5"/>
  <c r="Y640" i="5"/>
  <c r="Z640" i="5"/>
  <c r="Y224" i="5"/>
  <c r="Z224" i="5"/>
  <c r="Y974" i="5"/>
  <c r="Z974" i="5"/>
  <c r="Y1022" i="5"/>
  <c r="Z1258" i="5"/>
  <c r="Z1208" i="5"/>
  <c r="Z673" i="5"/>
  <c r="Z529" i="5"/>
  <c r="Z507" i="5"/>
  <c r="Z432" i="5"/>
  <c r="Z311" i="5"/>
  <c r="Z63" i="5"/>
  <c r="Y1231" i="5"/>
  <c r="Z1231" i="5"/>
  <c r="Y815" i="5"/>
  <c r="Z815" i="5"/>
  <c r="Y383" i="5"/>
  <c r="Z383" i="5"/>
  <c r="Y194" i="5"/>
  <c r="Z194" i="5"/>
  <c r="Y894" i="5"/>
  <c r="Z894" i="5"/>
  <c r="Z1232" i="5"/>
  <c r="Z869" i="5"/>
  <c r="Z822" i="5"/>
  <c r="Z672" i="5"/>
  <c r="Z431" i="5"/>
  <c r="Z310" i="5"/>
  <c r="Z163" i="5"/>
  <c r="Y1230" i="5"/>
  <c r="Z1230" i="5"/>
  <c r="Y1150" i="5"/>
  <c r="Z1150" i="5"/>
  <c r="Y798" i="5"/>
  <c r="Z798" i="5"/>
  <c r="Y718" i="5"/>
  <c r="Z718" i="5"/>
  <c r="Y638" i="5"/>
  <c r="Z638" i="5"/>
  <c r="Y462" i="5"/>
  <c r="Z462" i="5"/>
  <c r="Y382" i="5"/>
  <c r="Z382" i="5"/>
  <c r="Y286" i="5"/>
  <c r="Z286" i="5"/>
  <c r="Y71" i="5"/>
  <c r="Z71" i="5"/>
  <c r="Y624" i="5"/>
  <c r="Z1256" i="5"/>
  <c r="Z1228" i="5"/>
  <c r="Z1206" i="5"/>
  <c r="Z1159" i="5"/>
  <c r="Z1134" i="5"/>
  <c r="Z1109" i="5"/>
  <c r="Z1062" i="5"/>
  <c r="Z1037" i="5"/>
  <c r="Z1009" i="5"/>
  <c r="Z965" i="5"/>
  <c r="Z940" i="5"/>
  <c r="Z912" i="5"/>
  <c r="Z865" i="5"/>
  <c r="Z721" i="5"/>
  <c r="Z671" i="5"/>
  <c r="Z599" i="5"/>
  <c r="Z574" i="5"/>
  <c r="Z552" i="5"/>
  <c r="Z527" i="5"/>
  <c r="Z477" i="5"/>
  <c r="Z455" i="5"/>
  <c r="Z430" i="5"/>
  <c r="Z380" i="5"/>
  <c r="Z358" i="5"/>
  <c r="Z332" i="5"/>
  <c r="Z279" i="5"/>
  <c r="Z253" i="5"/>
  <c r="Z231" i="5"/>
  <c r="Z58" i="5"/>
  <c r="Y1272" i="5"/>
  <c r="Z1272" i="5"/>
  <c r="Y141" i="5"/>
  <c r="Z141" i="5"/>
  <c r="Y323" i="5"/>
  <c r="Z323" i="5"/>
  <c r="Y918" i="5"/>
  <c r="Z918" i="5"/>
  <c r="Y502" i="5"/>
  <c r="Z502" i="5"/>
  <c r="Y326" i="5"/>
  <c r="Z326" i="5"/>
  <c r="Z951" i="5"/>
  <c r="Z854" i="5"/>
  <c r="Z710" i="5"/>
  <c r="Z469" i="5"/>
  <c r="Z343" i="5"/>
  <c r="Y1173" i="5"/>
  <c r="Z1173" i="5"/>
  <c r="Y997" i="5"/>
  <c r="Z997" i="5"/>
  <c r="Y917" i="5"/>
  <c r="Z917" i="5"/>
  <c r="Y741" i="5"/>
  <c r="Z741" i="5"/>
  <c r="Y661" i="5"/>
  <c r="Z661" i="5"/>
  <c r="Y325" i="5"/>
  <c r="Z325" i="5"/>
  <c r="Y1073" i="5"/>
  <c r="Z1073" i="5"/>
  <c r="Y468" i="5"/>
  <c r="Z468" i="5"/>
  <c r="Z1144" i="5"/>
  <c r="Z1047" i="5"/>
  <c r="Z950" i="5"/>
  <c r="Z903" i="5"/>
  <c r="Z853" i="5"/>
  <c r="Z806" i="5"/>
  <c r="Z709" i="5"/>
  <c r="Z565" i="5"/>
  <c r="Z33" i="5"/>
  <c r="Y1300" i="5"/>
  <c r="Z1300" i="5"/>
  <c r="Y1268" i="5"/>
  <c r="Z1268" i="5"/>
  <c r="Y1236" i="5"/>
  <c r="Z1236" i="5"/>
  <c r="Y1220" i="5"/>
  <c r="Z1220" i="5"/>
  <c r="Y1108" i="5"/>
  <c r="Z1108" i="5"/>
  <c r="Y1076" i="5"/>
  <c r="Z1076" i="5"/>
  <c r="Y1060" i="5"/>
  <c r="Z1060" i="5"/>
  <c r="Y1028" i="5"/>
  <c r="Z1028" i="5"/>
  <c r="Y996" i="5"/>
  <c r="Z996" i="5"/>
  <c r="Y964" i="5"/>
  <c r="Z964" i="5"/>
  <c r="Y932" i="5"/>
  <c r="Z932" i="5"/>
  <c r="Y900" i="5"/>
  <c r="Z900" i="5"/>
  <c r="Y868" i="5"/>
  <c r="Z868" i="5"/>
  <c r="Y820" i="5"/>
  <c r="Z820" i="5"/>
  <c r="Y788" i="5"/>
  <c r="Z788" i="5"/>
  <c r="Y724" i="5"/>
  <c r="Z724" i="5"/>
  <c r="Y676" i="5"/>
  <c r="Z676" i="5"/>
  <c r="Y644" i="5"/>
  <c r="Z644" i="5"/>
  <c r="Y612" i="5"/>
  <c r="Z612" i="5"/>
  <c r="Y580" i="5"/>
  <c r="Z580" i="5"/>
  <c r="Y532" i="5"/>
  <c r="Z532" i="5"/>
  <c r="Y500" i="5"/>
  <c r="Z500" i="5"/>
  <c r="Y436" i="5"/>
  <c r="Z436" i="5"/>
  <c r="Y404" i="5"/>
  <c r="Z404" i="5"/>
  <c r="Y372" i="5"/>
  <c r="Z372" i="5"/>
  <c r="Y340" i="5"/>
  <c r="Z340" i="5"/>
  <c r="Y292" i="5"/>
  <c r="Z292" i="5"/>
  <c r="Y260" i="5"/>
  <c r="Z260" i="5"/>
  <c r="Y212" i="5"/>
  <c r="Z212" i="5"/>
  <c r="Y167" i="5"/>
  <c r="Z167" i="5"/>
  <c r="Y122" i="5"/>
  <c r="Z122" i="5"/>
  <c r="Y77" i="5"/>
  <c r="Z77" i="5"/>
  <c r="Y16" i="5"/>
  <c r="Z16" i="5"/>
  <c r="Z1096" i="5"/>
  <c r="Z1046" i="5"/>
  <c r="Z924" i="5"/>
  <c r="Z805" i="5"/>
  <c r="Z262" i="5"/>
  <c r="Y1299" i="5"/>
  <c r="Z1299" i="5"/>
  <c r="Y1267" i="5"/>
  <c r="Z1267" i="5"/>
  <c r="Y1235" i="5"/>
  <c r="Z1235" i="5"/>
  <c r="Y1203" i="5"/>
  <c r="Z1203" i="5"/>
  <c r="Y1171" i="5"/>
  <c r="Z1171" i="5"/>
  <c r="Y1139" i="5"/>
  <c r="Z1139" i="5"/>
  <c r="Y1091" i="5"/>
  <c r="Z1091" i="5"/>
  <c r="Y1075" i="5"/>
  <c r="Z1075" i="5"/>
  <c r="Y1043" i="5"/>
  <c r="Z1043" i="5"/>
  <c r="Y1011" i="5"/>
  <c r="Z1011" i="5"/>
  <c r="Y979" i="5"/>
  <c r="Z979" i="5"/>
  <c r="Y883" i="5"/>
  <c r="Z883" i="5"/>
  <c r="Y851" i="5"/>
  <c r="Z851" i="5"/>
  <c r="Y819" i="5"/>
  <c r="Z819" i="5"/>
  <c r="Y787" i="5"/>
  <c r="Z787" i="5"/>
  <c r="Y723" i="5"/>
  <c r="Z723" i="5"/>
  <c r="Y675" i="5"/>
  <c r="Z675" i="5"/>
  <c r="Y611" i="5"/>
  <c r="Z611" i="5"/>
  <c r="Y563" i="5"/>
  <c r="Z563" i="5"/>
  <c r="Y515" i="5"/>
  <c r="Z515" i="5"/>
  <c r="Y435" i="5"/>
  <c r="Z435" i="5"/>
  <c r="Y387" i="5"/>
  <c r="Z387" i="5"/>
  <c r="Y371" i="5"/>
  <c r="Z371" i="5"/>
  <c r="Y275" i="5"/>
  <c r="Z275" i="5"/>
  <c r="Y227" i="5"/>
  <c r="Z227" i="5"/>
  <c r="Y182" i="5"/>
  <c r="Z182" i="5"/>
  <c r="Y121" i="5"/>
  <c r="Z121" i="5"/>
  <c r="Y76" i="5"/>
  <c r="Z76" i="5"/>
  <c r="Z1067" i="5"/>
  <c r="Z923" i="5"/>
  <c r="Y1234" i="5"/>
  <c r="Z1234" i="5"/>
  <c r="Y1170" i="5"/>
  <c r="Z1170" i="5"/>
  <c r="Y1106" i="5"/>
  <c r="Z1106" i="5"/>
  <c r="Y1042" i="5"/>
  <c r="Z1042" i="5"/>
  <c r="Y994" i="5"/>
  <c r="Z994" i="5"/>
  <c r="Y930" i="5"/>
  <c r="Z930" i="5"/>
  <c r="Z834" i="5"/>
  <c r="Y834" i="5"/>
  <c r="Y770" i="5"/>
  <c r="Z770" i="5"/>
  <c r="Y594" i="5"/>
  <c r="Z594" i="5"/>
  <c r="Y482" i="5"/>
  <c r="Z482" i="5"/>
  <c r="Y402" i="5"/>
  <c r="Z402" i="5"/>
  <c r="Y274" i="5"/>
  <c r="Z274" i="5"/>
  <c r="Y181" i="5"/>
  <c r="Z181" i="5"/>
  <c r="Y104" i="5"/>
  <c r="Z104" i="5"/>
  <c r="Y30" i="5"/>
  <c r="Z30" i="5"/>
  <c r="Y1053" i="5"/>
  <c r="Z1053" i="5"/>
  <c r="Z1141" i="5"/>
  <c r="Z487" i="5"/>
  <c r="Z108" i="5"/>
  <c r="Y561" i="5"/>
  <c r="Z561" i="5"/>
  <c r="Y103" i="5"/>
  <c r="Z103" i="5"/>
  <c r="Y1152" i="5"/>
  <c r="Z1152" i="5"/>
  <c r="Y304" i="5"/>
  <c r="Z304" i="5"/>
  <c r="Y797" i="5"/>
  <c r="Z797" i="5"/>
  <c r="Z1233" i="5"/>
  <c r="Z1064" i="5"/>
  <c r="Z920" i="5"/>
  <c r="Z773" i="5"/>
  <c r="Y1151" i="5"/>
  <c r="Z1151" i="5"/>
  <c r="Y1071" i="5"/>
  <c r="Z1071" i="5"/>
  <c r="Y719" i="5"/>
  <c r="Z719" i="5"/>
  <c r="Y559" i="5"/>
  <c r="Z559" i="5"/>
  <c r="Y303" i="5"/>
  <c r="Z303" i="5"/>
  <c r="Y101" i="5"/>
  <c r="Z101" i="5"/>
  <c r="Y973" i="5"/>
  <c r="Z973" i="5"/>
  <c r="Z1110" i="5"/>
  <c r="Z725" i="5"/>
  <c r="Z650" i="5"/>
  <c r="Z456" i="5"/>
  <c r="Y1229" i="5"/>
  <c r="Z1229" i="5"/>
  <c r="Y1133" i="5"/>
  <c r="Z1133" i="5"/>
  <c r="Y877" i="5"/>
  <c r="Z877" i="5"/>
  <c r="Z717" i="5"/>
  <c r="Y717" i="5"/>
  <c r="Y621" i="5"/>
  <c r="Z621" i="5"/>
  <c r="Y541" i="5"/>
  <c r="Z541" i="5"/>
  <c r="Y365" i="5"/>
  <c r="Z365" i="5"/>
  <c r="Y285" i="5"/>
  <c r="Z285" i="5"/>
  <c r="Y192" i="5"/>
  <c r="Z192" i="5"/>
  <c r="Y176" i="5"/>
  <c r="Z176" i="5"/>
  <c r="Y70" i="5"/>
  <c r="Z70" i="5"/>
  <c r="Z1255" i="5"/>
  <c r="Z1227" i="5"/>
  <c r="Z1205" i="5"/>
  <c r="Z1180" i="5"/>
  <c r="Z1158" i="5"/>
  <c r="Z1105" i="5"/>
  <c r="Z1061" i="5"/>
  <c r="Z1036" i="5"/>
  <c r="Z1008" i="5"/>
  <c r="Z961" i="5"/>
  <c r="Z842" i="5"/>
  <c r="Z814" i="5"/>
  <c r="Z792" i="5"/>
  <c r="Z767" i="5"/>
  <c r="Z720" i="5"/>
  <c r="Z670" i="5"/>
  <c r="Z648" i="5"/>
  <c r="Z623" i="5"/>
  <c r="Z598" i="5"/>
  <c r="Z573" i="5"/>
  <c r="Z501" i="5"/>
  <c r="Z476" i="5"/>
  <c r="Z454" i="5"/>
  <c r="Z357" i="5"/>
  <c r="Z301" i="5"/>
  <c r="Z252" i="5"/>
  <c r="Z187" i="5"/>
  <c r="Z161" i="5"/>
  <c r="Z57" i="5"/>
  <c r="Z22" i="5"/>
  <c r="Y1271" i="5"/>
  <c r="Z1271" i="5"/>
  <c r="Y1191" i="5"/>
  <c r="Z1191" i="5"/>
  <c r="Y935" i="5"/>
  <c r="Z935" i="5"/>
  <c r="Y839" i="5"/>
  <c r="Z839" i="5"/>
  <c r="Y759" i="5"/>
  <c r="Z759" i="5"/>
  <c r="Y327" i="5"/>
  <c r="Z327" i="5"/>
  <c r="Y247" i="5"/>
  <c r="Z247" i="5"/>
  <c r="Z35" i="5"/>
  <c r="Y1270" i="5"/>
  <c r="Z1270" i="5"/>
  <c r="Y662" i="5"/>
  <c r="Z662" i="5"/>
  <c r="Y246" i="5"/>
  <c r="Z246" i="5"/>
  <c r="Y18" i="5"/>
  <c r="Z18" i="5"/>
  <c r="Z1098" i="5"/>
  <c r="Z566" i="5"/>
  <c r="Y837" i="5"/>
  <c r="Z837" i="5"/>
  <c r="Y485" i="5"/>
  <c r="Z485" i="5"/>
  <c r="Y123" i="5"/>
  <c r="Z123" i="5"/>
  <c r="Y17" i="5"/>
  <c r="Z17" i="5"/>
  <c r="Y1298" i="5"/>
  <c r="Z1298" i="5"/>
  <c r="Y992" i="5"/>
  <c r="Z992" i="5"/>
  <c r="Y913" i="5"/>
  <c r="Z913" i="5"/>
  <c r="Y738" i="5"/>
  <c r="Z738" i="5"/>
  <c r="Z293" i="5"/>
  <c r="Y1252" i="5"/>
  <c r="Z1252" i="5"/>
  <c r="Y1204" i="5"/>
  <c r="Z1204" i="5"/>
  <c r="Y1172" i="5"/>
  <c r="Z1172" i="5"/>
  <c r="Y1156" i="5"/>
  <c r="Z1156" i="5"/>
  <c r="Y1124" i="5"/>
  <c r="Z1124" i="5"/>
  <c r="Y1092" i="5"/>
  <c r="Z1092" i="5"/>
  <c r="Y1044" i="5"/>
  <c r="Z1044" i="5"/>
  <c r="Y980" i="5"/>
  <c r="Z980" i="5"/>
  <c r="Y948" i="5"/>
  <c r="Z948" i="5"/>
  <c r="Y916" i="5"/>
  <c r="Z916" i="5"/>
  <c r="Y884" i="5"/>
  <c r="Z884" i="5"/>
  <c r="Y836" i="5"/>
  <c r="Z836" i="5"/>
  <c r="Y804" i="5"/>
  <c r="Z804" i="5"/>
  <c r="Y740" i="5"/>
  <c r="Z740" i="5"/>
  <c r="Y708" i="5"/>
  <c r="Z708" i="5"/>
  <c r="Y692" i="5"/>
  <c r="Z692" i="5"/>
  <c r="Y660" i="5"/>
  <c r="Z660" i="5"/>
  <c r="Y628" i="5"/>
  <c r="Z628" i="5"/>
  <c r="Y564" i="5"/>
  <c r="Z564" i="5"/>
  <c r="Y516" i="5"/>
  <c r="Z516" i="5"/>
  <c r="Y452" i="5"/>
  <c r="Z452" i="5"/>
  <c r="Y420" i="5"/>
  <c r="Z420" i="5"/>
  <c r="Y388" i="5"/>
  <c r="Z388" i="5"/>
  <c r="Y356" i="5"/>
  <c r="Z356" i="5"/>
  <c r="Y308" i="5"/>
  <c r="Z308" i="5"/>
  <c r="Y276" i="5"/>
  <c r="Z276" i="5"/>
  <c r="Y244" i="5"/>
  <c r="Z244" i="5"/>
  <c r="Y228" i="5"/>
  <c r="Z228" i="5"/>
  <c r="Y183" i="5"/>
  <c r="Z183" i="5"/>
  <c r="Y138" i="5"/>
  <c r="Z138" i="5"/>
  <c r="Y106" i="5"/>
  <c r="Z106" i="5"/>
  <c r="Y61" i="5"/>
  <c r="Z61" i="5"/>
  <c r="Y32" i="5"/>
  <c r="Z32" i="5"/>
  <c r="Y467" i="5"/>
  <c r="Z467" i="5"/>
  <c r="Z1240" i="5"/>
  <c r="Z1143" i="5"/>
  <c r="Z1068" i="5"/>
  <c r="Z999" i="5"/>
  <c r="Z949" i="5"/>
  <c r="Z341" i="5"/>
  <c r="Z214" i="5"/>
  <c r="Z6" i="5"/>
  <c r="Y1283" i="5"/>
  <c r="Z1283" i="5"/>
  <c r="Y1251" i="5"/>
  <c r="Z1251" i="5"/>
  <c r="Y1219" i="5"/>
  <c r="Z1219" i="5"/>
  <c r="Y1155" i="5"/>
  <c r="Z1155" i="5"/>
  <c r="Y1123" i="5"/>
  <c r="Z1123" i="5"/>
  <c r="Y1107" i="5"/>
  <c r="Z1107" i="5"/>
  <c r="Y1059" i="5"/>
  <c r="Z1059" i="5"/>
  <c r="Y995" i="5"/>
  <c r="Z995" i="5"/>
  <c r="Y963" i="5"/>
  <c r="Z963" i="5"/>
  <c r="Y931" i="5"/>
  <c r="Z931" i="5"/>
  <c r="Y899" i="5"/>
  <c r="Z899" i="5"/>
  <c r="Y867" i="5"/>
  <c r="Z867" i="5"/>
  <c r="Z835" i="5"/>
  <c r="Y835" i="5"/>
  <c r="Y803" i="5"/>
  <c r="Z803" i="5"/>
  <c r="Y771" i="5"/>
  <c r="Z771" i="5"/>
  <c r="Y691" i="5"/>
  <c r="Z691" i="5"/>
  <c r="Y595" i="5"/>
  <c r="Z595" i="5"/>
  <c r="Y531" i="5"/>
  <c r="Z531" i="5"/>
  <c r="Y483" i="5"/>
  <c r="Z483" i="5"/>
  <c r="Y403" i="5"/>
  <c r="Z403" i="5"/>
  <c r="Y339" i="5"/>
  <c r="Z339" i="5"/>
  <c r="Y291" i="5"/>
  <c r="Z291" i="5"/>
  <c r="Y259" i="5"/>
  <c r="Z259" i="5"/>
  <c r="Y211" i="5"/>
  <c r="Z211" i="5"/>
  <c r="Y60" i="5"/>
  <c r="Z60" i="5"/>
  <c r="Z1239" i="5"/>
  <c r="Z1189" i="5"/>
  <c r="Z1045" i="5"/>
  <c r="Z998" i="5"/>
  <c r="Z535" i="5"/>
  <c r="Z213" i="5"/>
  <c r="Y1218" i="5"/>
  <c r="Z1218" i="5"/>
  <c r="Y1074" i="5"/>
  <c r="Z1074" i="5"/>
  <c r="Y1010" i="5"/>
  <c r="Z1010" i="5"/>
  <c r="Y946" i="5"/>
  <c r="Z946" i="5"/>
  <c r="Y882" i="5"/>
  <c r="Z882" i="5"/>
  <c r="Y866" i="5"/>
  <c r="Z866" i="5"/>
  <c r="Y802" i="5"/>
  <c r="Z802" i="5"/>
  <c r="Y722" i="5"/>
  <c r="Z722" i="5"/>
  <c r="Y642" i="5"/>
  <c r="Z642" i="5"/>
  <c r="Y578" i="5"/>
  <c r="Z578" i="5"/>
  <c r="Y514" i="5"/>
  <c r="Z514" i="5"/>
  <c r="Y434" i="5"/>
  <c r="Z434" i="5"/>
  <c r="Y354" i="5"/>
  <c r="Z354" i="5"/>
  <c r="Y306" i="5"/>
  <c r="Z306" i="5"/>
  <c r="Y242" i="5"/>
  <c r="Z242" i="5"/>
  <c r="Y165" i="5"/>
  <c r="Z165" i="5"/>
  <c r="Y75" i="5"/>
  <c r="Z75" i="5"/>
  <c r="Z1285" i="5"/>
  <c r="Z897" i="5"/>
  <c r="Z847" i="5"/>
  <c r="Z775" i="5"/>
  <c r="Z678" i="5"/>
  <c r="Y657" i="5"/>
  <c r="Z657" i="5"/>
  <c r="Y384" i="5"/>
  <c r="Z384" i="5"/>
  <c r="Y195" i="5"/>
  <c r="Z195" i="5"/>
  <c r="Y895" i="5"/>
  <c r="Z895" i="5"/>
  <c r="Z1111" i="5"/>
  <c r="Z870" i="5"/>
  <c r="Z726" i="5"/>
  <c r="Z629" i="5"/>
  <c r="Z385" i="5"/>
  <c r="Z164" i="5"/>
  <c r="Z2" i="5"/>
  <c r="Y463" i="5"/>
  <c r="Z463" i="5"/>
  <c r="Y796" i="5"/>
  <c r="Z796" i="5"/>
  <c r="Z1207" i="5"/>
  <c r="Z1135" i="5"/>
  <c r="Z1013" i="5"/>
  <c r="Z966" i="5"/>
  <c r="Z844" i="5"/>
  <c r="Z625" i="5"/>
  <c r="Z62" i="5"/>
  <c r="Y1132" i="5"/>
  <c r="Z1132" i="5"/>
  <c r="Y956" i="5"/>
  <c r="Z956" i="5"/>
  <c r="Y876" i="5"/>
  <c r="Z876" i="5"/>
  <c r="Y700" i="5"/>
  <c r="Z700" i="5"/>
  <c r="Y620" i="5"/>
  <c r="Z620" i="5"/>
  <c r="Y540" i="5"/>
  <c r="Z540" i="5"/>
  <c r="Y444" i="5"/>
  <c r="Z444" i="5"/>
  <c r="Y364" i="5"/>
  <c r="Z364" i="5"/>
  <c r="Y284" i="5"/>
  <c r="Z284" i="5"/>
  <c r="Y175" i="5"/>
  <c r="Z175" i="5"/>
  <c r="Y69" i="5"/>
  <c r="Z69" i="5"/>
  <c r="Z1301" i="5"/>
  <c r="Z1276" i="5"/>
  <c r="Z1254" i="5"/>
  <c r="Z1226" i="5"/>
  <c r="Z1201" i="5"/>
  <c r="Z1179" i="5"/>
  <c r="Z1157" i="5"/>
  <c r="Z1104" i="5"/>
  <c r="Z1057" i="5"/>
  <c r="Z1032" i="5"/>
  <c r="Z1007" i="5"/>
  <c r="Z910" i="5"/>
  <c r="Z813" i="5"/>
  <c r="Z791" i="5"/>
  <c r="Z766" i="5"/>
  <c r="Z716" i="5"/>
  <c r="Z694" i="5"/>
  <c r="Z669" i="5"/>
  <c r="Z647" i="5"/>
  <c r="Z622" i="5"/>
  <c r="Z572" i="5"/>
  <c r="Z550" i="5"/>
  <c r="Z525" i="5"/>
  <c r="Z497" i="5"/>
  <c r="Z453" i="5"/>
  <c r="Z428" i="5"/>
  <c r="Z400" i="5"/>
  <c r="Z300" i="5"/>
  <c r="Z277" i="5"/>
  <c r="Z222" i="5"/>
  <c r="Z118" i="5"/>
  <c r="Z56" i="5"/>
  <c r="Z1291" i="5"/>
  <c r="Z1114" i="5"/>
  <c r="Z1035" i="5"/>
  <c r="Z937" i="5"/>
  <c r="Z858" i="5"/>
  <c r="Z779" i="5"/>
  <c r="Z681" i="5"/>
  <c r="Z602" i="5"/>
  <c r="Z523" i="5"/>
  <c r="Z425" i="5"/>
  <c r="Z143" i="5"/>
  <c r="Z38" i="5"/>
  <c r="Z1290" i="5"/>
  <c r="Z1211" i="5"/>
  <c r="Z1034" i="5"/>
  <c r="Z955" i="5"/>
  <c r="Z857" i="5"/>
  <c r="Z699" i="5"/>
  <c r="Z601" i="5"/>
  <c r="Z522" i="5"/>
  <c r="Z443" i="5"/>
  <c r="Z174" i="5"/>
  <c r="Z37" i="5"/>
  <c r="Z1210" i="5"/>
  <c r="Z1131" i="5"/>
  <c r="Z954" i="5"/>
  <c r="Z777" i="5"/>
  <c r="Z521" i="5"/>
  <c r="Z442" i="5"/>
  <c r="Z363" i="5"/>
  <c r="Z265" i="5"/>
  <c r="Z173" i="5"/>
  <c r="Z68" i="5"/>
  <c r="X947" i="5"/>
  <c r="X15" i="5"/>
  <c r="AC127" i="2"/>
  <c r="AC123" i="2"/>
  <c r="AC121" i="2"/>
  <c r="AC119" i="2"/>
  <c r="AC96" i="2"/>
  <c r="AC78" i="2"/>
  <c r="AC62" i="2"/>
  <c r="AC56" i="2"/>
  <c r="AC52" i="2"/>
  <c r="AC51" i="2"/>
  <c r="AC49" i="2"/>
  <c r="AC48" i="2"/>
  <c r="AC47" i="2"/>
  <c r="AC29" i="2"/>
  <c r="AC21" i="2"/>
  <c r="AC20" i="2"/>
  <c r="AC19" i="2"/>
  <c r="AC18" i="2"/>
  <c r="AC8" i="2"/>
  <c r="AC5" i="2"/>
  <c r="AC4" i="2"/>
  <c r="Z663" i="5" l="1"/>
  <c r="Z296" i="5"/>
  <c r="Z1222" i="5"/>
  <c r="Z290" i="5"/>
  <c r="Z359" i="5"/>
  <c r="Z519" i="5"/>
  <c r="Z919" i="5"/>
  <c r="Z170" i="5"/>
  <c r="Z581" i="5"/>
  <c r="Z1094" i="5"/>
  <c r="Z823" i="5"/>
  <c r="Z888" i="5"/>
  <c r="Z486" i="5"/>
  <c r="Z1112" i="5"/>
  <c r="Y406" i="5"/>
  <c r="Z695" i="5"/>
  <c r="Z109" i="5"/>
  <c r="Z64" i="5"/>
  <c r="Z597" i="5"/>
  <c r="Z295" i="5"/>
  <c r="Z263" i="5"/>
  <c r="Y1287" i="5"/>
  <c r="Z126" i="5"/>
  <c r="Z904" i="5"/>
  <c r="Y679" i="5"/>
  <c r="Z536" i="5"/>
  <c r="Z245" i="5"/>
  <c r="Z855" i="5"/>
  <c r="Z375" i="5"/>
  <c r="Z1192" i="5"/>
  <c r="Z632" i="5"/>
  <c r="Y1288" i="5"/>
  <c r="Z600" i="5"/>
  <c r="Z438" i="5"/>
  <c r="Z639" i="5"/>
  <c r="Z799" i="5"/>
  <c r="Z902" i="5"/>
  <c r="Z36" i="5"/>
  <c r="Z840" i="5"/>
  <c r="Z967" i="5"/>
  <c r="Z328" i="5"/>
  <c r="Z1174" i="5"/>
  <c r="Z776" i="5"/>
  <c r="Z169" i="5"/>
  <c r="Z664" i="5"/>
  <c r="Z1033" i="5"/>
  <c r="Z1048" i="5"/>
  <c r="Y856" i="5"/>
  <c r="Z338" i="5"/>
  <c r="Z936" i="5"/>
  <c r="Z824" i="5"/>
  <c r="Z712" i="5"/>
  <c r="Y1129" i="5"/>
  <c r="Z1187" i="5"/>
  <c r="Z808" i="5"/>
  <c r="Z1160" i="5"/>
  <c r="Z360" i="5"/>
  <c r="Z376" i="5"/>
  <c r="Z568" i="5"/>
  <c r="Z1176" i="5"/>
  <c r="Z405" i="5"/>
  <c r="Z248" i="5"/>
  <c r="Z392" i="5"/>
  <c r="Z596" i="5"/>
  <c r="Y772" i="5"/>
  <c r="Z1000" i="5"/>
  <c r="Z504" i="5"/>
  <c r="Z729" i="5"/>
  <c r="Z472" i="5"/>
  <c r="Y424" i="5"/>
  <c r="Z230" i="5"/>
  <c r="Y20" i="5"/>
  <c r="Z171" i="5"/>
  <c r="Z838" i="5"/>
  <c r="Z696" i="5"/>
  <c r="Z312" i="5"/>
  <c r="Z280" i="5"/>
  <c r="Z408" i="5"/>
  <c r="Z232" i="5"/>
  <c r="Z216" i="5"/>
  <c r="Z470" i="5"/>
  <c r="Z264" i="5"/>
  <c r="Z142" i="5"/>
  <c r="Z551" i="5"/>
  <c r="Z440" i="5"/>
  <c r="Z872" i="5"/>
  <c r="Z1284" i="5"/>
  <c r="Z4" i="5"/>
  <c r="Z1001" i="5"/>
  <c r="Z915" i="5"/>
  <c r="Z1250" i="5"/>
  <c r="Z162" i="5"/>
  <c r="Z110" i="5"/>
  <c r="Z102" i="5"/>
  <c r="Z241" i="5"/>
  <c r="Z353" i="5"/>
  <c r="Z370" i="5"/>
  <c r="Z346" i="5"/>
  <c r="Y1140" i="5"/>
  <c r="Z348" i="5"/>
  <c r="Y137" i="5"/>
  <c r="Z656" i="5"/>
  <c r="Z1274" i="5"/>
  <c r="Z1024" i="5"/>
  <c r="Z1116" i="5"/>
  <c r="Z74" i="5"/>
  <c r="Z901" i="5"/>
  <c r="Z21" i="5"/>
  <c r="Y1212" i="5"/>
  <c r="Y503" i="5"/>
  <c r="Z914" i="5"/>
  <c r="Z619" i="5"/>
  <c r="Z223" i="5"/>
  <c r="Z337" i="5"/>
  <c r="Y945" i="5"/>
  <c r="Z730" i="5"/>
  <c r="Z524" i="5"/>
  <c r="Z927" i="5"/>
  <c r="Z567" i="5"/>
  <c r="Z1163" i="5"/>
  <c r="Z1181" i="5"/>
  <c r="Z23" i="5"/>
  <c r="Z1084" i="5"/>
  <c r="Y189" i="5"/>
  <c r="Z281" i="5"/>
  <c r="Z287" i="5"/>
  <c r="Y266" i="5"/>
  <c r="Z751" i="5"/>
  <c r="Y19" i="5"/>
  <c r="Z124" i="5"/>
  <c r="Z177" i="5"/>
  <c r="Z10" i="5"/>
  <c r="Z702" i="5"/>
  <c r="Z331" i="5"/>
  <c r="Z478" i="5"/>
  <c r="Z764" i="5"/>
  <c r="Z846" i="5"/>
  <c r="Z342" i="5"/>
  <c r="Z1701" i="5"/>
  <c r="Y1690" i="5"/>
  <c r="Z1682" i="5"/>
  <c r="Z1703" i="5"/>
  <c r="Z1683" i="5"/>
  <c r="Y1685" i="5"/>
  <c r="Z1702" i="5"/>
  <c r="Y1697" i="5"/>
  <c r="Z1615" i="5"/>
  <c r="Z1693" i="5"/>
  <c r="Z1688" i="5"/>
  <c r="Z1699" i="5"/>
  <c r="Y1670" i="5"/>
  <c r="Y1681" i="5"/>
  <c r="Z1249" i="5"/>
  <c r="Z1677" i="5"/>
  <c r="Z1692" i="5"/>
  <c r="Z1673" i="5"/>
  <c r="Z1689" i="5"/>
  <c r="Y1675" i="5"/>
  <c r="Y1659" i="5"/>
  <c r="Z1695" i="5"/>
  <c r="Y526" i="5"/>
  <c r="Z1676" i="5"/>
  <c r="Y1696" i="5"/>
  <c r="Y1698" i="5"/>
  <c r="Y1704" i="5"/>
  <c r="Y1694" i="5"/>
  <c r="Y1532" i="5"/>
  <c r="Z1662" i="5"/>
  <c r="Y1678" i="5"/>
  <c r="Z1700" i="5"/>
  <c r="Y1661" i="5"/>
  <c r="Y1691" i="5"/>
  <c r="Z316" i="5"/>
  <c r="Z1649" i="5"/>
  <c r="Z1663" i="5"/>
  <c r="Z1680" i="5"/>
  <c r="Y1664" i="5"/>
  <c r="Y1656" i="5"/>
  <c r="Z1667" i="5"/>
  <c r="Y1686" i="5"/>
  <c r="Z1684" i="5"/>
  <c r="Z1671" i="5"/>
  <c r="Y1687" i="5"/>
  <c r="Z960" i="5"/>
  <c r="Z1679" i="5"/>
  <c r="Z1666" i="5"/>
  <c r="Z1611" i="5"/>
  <c r="Y1672" i="5"/>
  <c r="Z1616" i="5"/>
  <c r="Y1617" i="5"/>
  <c r="Y1629" i="5"/>
  <c r="Z1645" i="5"/>
  <c r="Y1674" i="5"/>
  <c r="Y1620" i="5"/>
  <c r="Z1634" i="5"/>
  <c r="Y1623" i="5"/>
  <c r="Y1653" i="5"/>
  <c r="Z1635" i="5"/>
  <c r="Y1651" i="5"/>
  <c r="Z1599" i="5"/>
  <c r="Z1637" i="5"/>
  <c r="Y1668" i="5"/>
  <c r="Z317" i="5"/>
  <c r="Y1658" i="5"/>
  <c r="Y1633" i="5"/>
  <c r="Z1665" i="5"/>
  <c r="Y1669" i="5"/>
  <c r="Y1594" i="5"/>
  <c r="Z1625" i="5"/>
  <c r="Y1660" i="5"/>
  <c r="Z1640" i="5"/>
  <c r="Z1598" i="5"/>
  <c r="Z1638" i="5"/>
  <c r="Y1643" i="5"/>
  <c r="Z1646" i="5"/>
  <c r="Z1562" i="5"/>
  <c r="Z1657" i="5"/>
  <c r="Y1644" i="5"/>
  <c r="Z1601" i="5"/>
  <c r="Y1654" i="5"/>
  <c r="Y1642" i="5"/>
  <c r="Y1606" i="5"/>
  <c r="Y1655" i="5"/>
  <c r="Z1641" i="5"/>
  <c r="Z1648" i="5"/>
  <c r="Z1618" i="5"/>
  <c r="Z1630" i="5"/>
  <c r="Y1647" i="5"/>
  <c r="Y1627" i="5"/>
  <c r="Y1650" i="5"/>
  <c r="Z1624" i="5"/>
  <c r="Z1628" i="5"/>
  <c r="Z1296" i="5"/>
  <c r="Z1588" i="5"/>
  <c r="Y1652" i="5"/>
  <c r="Y1591" i="5"/>
  <c r="Y1631" i="5"/>
  <c r="Y1603" i="5"/>
  <c r="Y1632" i="5"/>
  <c r="Y1573" i="5"/>
  <c r="Y1602" i="5"/>
  <c r="Y1639" i="5"/>
  <c r="Z1621" i="5"/>
  <c r="Y1572" i="5"/>
  <c r="Z1612" i="5"/>
  <c r="Y1619" i="5"/>
  <c r="Z1582" i="5"/>
  <c r="Y1636" i="5"/>
  <c r="Z1622" i="5"/>
  <c r="Z1417" i="5"/>
  <c r="Y1577" i="5"/>
  <c r="Z1541" i="5"/>
  <c r="Z1610" i="5"/>
  <c r="Z1554" i="5"/>
  <c r="Y1585" i="5"/>
  <c r="Z1597" i="5"/>
  <c r="Y1605" i="5"/>
  <c r="Y1590" i="5"/>
  <c r="Y1626" i="5"/>
  <c r="Y1553" i="5"/>
  <c r="Y1604" i="5"/>
  <c r="Z1571" i="5"/>
  <c r="Z1614" i="5"/>
  <c r="Y1584" i="5"/>
  <c r="Y1607" i="5"/>
  <c r="Y1592" i="5"/>
  <c r="Y1608" i="5"/>
  <c r="Y1570" i="5"/>
  <c r="Z1498" i="5"/>
  <c r="Y1613" i="5"/>
  <c r="Z1586" i="5"/>
  <c r="Y1593" i="5"/>
  <c r="Z1609" i="5"/>
  <c r="Y1552" i="5"/>
  <c r="Z1428" i="5"/>
  <c r="Z1595" i="5"/>
  <c r="Z1471" i="5"/>
  <c r="Y1560" i="5"/>
  <c r="Y1589" i="5"/>
  <c r="Z1519" i="5"/>
  <c r="Y1565" i="5"/>
  <c r="Y1581" i="5"/>
  <c r="Z1596" i="5"/>
  <c r="Y1545" i="5"/>
  <c r="Z1568" i="5"/>
  <c r="Y1558" i="5"/>
  <c r="Z1587" i="5"/>
  <c r="Y1600" i="5"/>
  <c r="Y1559" i="5"/>
  <c r="Z1575" i="5"/>
  <c r="Y1555" i="5"/>
  <c r="Y1578" i="5"/>
  <c r="Z1579" i="5"/>
  <c r="Z1580" i="5"/>
  <c r="Y1537" i="5"/>
  <c r="Z1561" i="5"/>
  <c r="Y1583" i="5"/>
  <c r="Z1549" i="5"/>
  <c r="Z54" i="5"/>
  <c r="Y1012" i="5"/>
  <c r="Y1544" i="5"/>
  <c r="Y1538" i="5"/>
  <c r="Z1576" i="5"/>
  <c r="Z1564" i="5"/>
  <c r="Y1533" i="5"/>
  <c r="Y1566" i="5"/>
  <c r="Z1534" i="5"/>
  <c r="Y1546" i="5"/>
  <c r="Z1528" i="5"/>
  <c r="Z1540" i="5"/>
  <c r="Y1574" i="5"/>
  <c r="Z1569" i="5"/>
  <c r="Y1473" i="5"/>
  <c r="Y1563" i="5"/>
  <c r="Z1567" i="5"/>
  <c r="Z1459" i="5"/>
  <c r="Y1556" i="5"/>
  <c r="Y1513" i="5"/>
  <c r="Z1557" i="5"/>
  <c r="Y1477" i="5"/>
  <c r="Y1508" i="5"/>
  <c r="Z1551" i="5"/>
  <c r="Z1542" i="5"/>
  <c r="Y1480" i="5"/>
  <c r="Y1530" i="5"/>
  <c r="Z1550" i="5"/>
  <c r="Z1521" i="5"/>
  <c r="Y1531" i="5"/>
  <c r="Y1518" i="5"/>
  <c r="Y1494" i="5"/>
  <c r="Z1529" i="5"/>
  <c r="Y1548" i="5"/>
  <c r="Z1445" i="5"/>
  <c r="Z1536" i="5"/>
  <c r="Z1547" i="5"/>
  <c r="Y1506" i="5"/>
  <c r="Y1527" i="5"/>
  <c r="Y1543" i="5"/>
  <c r="Y1512" i="5"/>
  <c r="Z1504" i="5"/>
  <c r="Y1539" i="5"/>
  <c r="Y1492" i="5"/>
  <c r="Z1402" i="5"/>
  <c r="Y1505" i="5"/>
  <c r="Y1526" i="5"/>
  <c r="Z1520" i="5"/>
  <c r="Y1535" i="5"/>
  <c r="Y1516" i="5"/>
  <c r="Y1523" i="5"/>
  <c r="Y1517" i="5"/>
  <c r="Y1524" i="5"/>
  <c r="Z1525" i="5"/>
  <c r="Y1507" i="5"/>
  <c r="Y1522" i="5"/>
  <c r="Z391" i="5"/>
  <c r="Y1515" i="5"/>
  <c r="Z1514" i="5"/>
  <c r="Z1495" i="5"/>
  <c r="Z1496" i="5"/>
  <c r="Y1487" i="5"/>
  <c r="Z1479" i="5"/>
  <c r="Z1489" i="5"/>
  <c r="Y1486" i="5"/>
  <c r="Z1510" i="5"/>
  <c r="Z1493" i="5"/>
  <c r="Z1467" i="5"/>
  <c r="Y1491" i="5"/>
  <c r="Y1511" i="5"/>
  <c r="Z1453" i="5"/>
  <c r="Y1465" i="5"/>
  <c r="Y1481" i="5"/>
  <c r="Z1501" i="5"/>
  <c r="Y1509" i="5"/>
  <c r="Z1443" i="5"/>
  <c r="Y1499" i="5"/>
  <c r="Z1497" i="5"/>
  <c r="Y1474" i="5"/>
  <c r="Y1502" i="5"/>
  <c r="Y1503" i="5"/>
  <c r="Y1488" i="5"/>
  <c r="Y1500" i="5"/>
  <c r="Z1437" i="5"/>
  <c r="Z1454" i="5"/>
  <c r="Y1472" i="5"/>
  <c r="Y1490" i="5"/>
  <c r="Y1475" i="5"/>
  <c r="Z1463" i="5"/>
  <c r="Z1485" i="5"/>
  <c r="Z1442" i="5"/>
  <c r="Y1450" i="5"/>
  <c r="Z1466" i="5"/>
  <c r="Z1484" i="5"/>
  <c r="Y1455" i="5"/>
  <c r="Z1482" i="5"/>
  <c r="Z1458" i="5"/>
  <c r="Y1476" i="5"/>
  <c r="Y1434" i="5"/>
  <c r="Z1483" i="5"/>
  <c r="Y1478" i="5"/>
  <c r="Z1430" i="5"/>
  <c r="Z1456" i="5"/>
  <c r="Y1468" i="5"/>
  <c r="Y1421" i="5"/>
  <c r="Z1469" i="5"/>
  <c r="Z1447" i="5"/>
  <c r="Y1420" i="5"/>
  <c r="Y1441" i="5"/>
  <c r="Y1464" i="5"/>
  <c r="Z1422" i="5"/>
  <c r="Y1461" i="5"/>
  <c r="Y1449" i="5"/>
  <c r="Y1361" i="5"/>
  <c r="Z1368" i="5"/>
  <c r="Y1462" i="5"/>
  <c r="Y1416" i="5"/>
  <c r="Y1470" i="5"/>
  <c r="Y1460" i="5"/>
  <c r="Y1432" i="5"/>
  <c r="Y1439" i="5"/>
  <c r="Y1451" i="5"/>
  <c r="Y1457" i="5"/>
  <c r="Y1431" i="5"/>
  <c r="Z1372" i="5"/>
  <c r="Y1448" i="5"/>
  <c r="Y1452" i="5"/>
  <c r="Z1433" i="5"/>
  <c r="Z1446" i="5"/>
  <c r="Z1378" i="5"/>
  <c r="Y1404" i="5"/>
  <c r="Z1403" i="5"/>
  <c r="Z1427" i="5"/>
  <c r="Z911" i="5"/>
  <c r="Z1415" i="5"/>
  <c r="Z1391" i="5"/>
  <c r="Z1394" i="5"/>
  <c r="Y1436" i="5"/>
  <c r="Y1438" i="5"/>
  <c r="Z1429" i="5"/>
  <c r="Y1440" i="5"/>
  <c r="Y1411" i="5"/>
  <c r="Z1444" i="5"/>
  <c r="Y1410" i="5"/>
  <c r="Y1435" i="5"/>
  <c r="Y1409" i="5"/>
  <c r="Y1424" i="5"/>
  <c r="Z1412" i="5"/>
  <c r="Z560" i="5"/>
  <c r="Y1389" i="5"/>
  <c r="Y1423" i="5"/>
  <c r="Z1398" i="5"/>
  <c r="Y1413" i="5"/>
  <c r="Z1397" i="5"/>
  <c r="Y1425" i="5"/>
  <c r="Z1419" i="5"/>
  <c r="Y1426" i="5"/>
  <c r="Z1408" i="5"/>
  <c r="Z1414" i="5"/>
  <c r="Z7" i="5"/>
  <c r="Z1407" i="5"/>
  <c r="Z1390" i="5"/>
  <c r="Z1375" i="5"/>
  <c r="Y1418" i="5"/>
  <c r="Z1399" i="5"/>
  <c r="Z1383" i="5"/>
  <c r="Z1406" i="5"/>
  <c r="Z1396" i="5"/>
  <c r="Z1362" i="5"/>
  <c r="Y1401" i="5"/>
  <c r="Z1384" i="5"/>
  <c r="Z1405" i="5"/>
  <c r="Z1316" i="5"/>
  <c r="Z1377" i="5"/>
  <c r="Y1393" i="5"/>
  <c r="Z1400" i="5"/>
  <c r="Y1376" i="5"/>
  <c r="Y1395" i="5"/>
  <c r="Z1360" i="5"/>
  <c r="Z1373" i="5"/>
  <c r="Y1358" i="5"/>
  <c r="Y1370" i="5"/>
  <c r="Z1380" i="5"/>
  <c r="Z1349" i="5"/>
  <c r="Y1385" i="5"/>
  <c r="Y1379" i="5"/>
  <c r="Z1363" i="5"/>
  <c r="Y1381" i="5"/>
  <c r="Y1386" i="5"/>
  <c r="Y1382" i="5"/>
  <c r="Z1392" i="5"/>
  <c r="Z1351" i="5"/>
  <c r="Y1387" i="5"/>
  <c r="Y1388" i="5"/>
  <c r="Y1355" i="5"/>
  <c r="Y1357" i="5"/>
  <c r="Y1304" i="5"/>
  <c r="Z1352" i="5"/>
  <c r="Z1367" i="5"/>
  <c r="Z1371" i="5"/>
  <c r="Z1345" i="5"/>
  <c r="Z1344" i="5"/>
  <c r="Y1374" i="5"/>
  <c r="Z1339" i="5"/>
  <c r="Z1348" i="5"/>
  <c r="Y1343" i="5"/>
  <c r="Y1369" i="5"/>
  <c r="Z1314" i="5"/>
  <c r="Z1340" i="5"/>
  <c r="Y1364" i="5"/>
  <c r="Y1333" i="5"/>
  <c r="Y1330" i="5"/>
  <c r="Z1365" i="5"/>
  <c r="Y1311" i="5"/>
  <c r="Z1359" i="5"/>
  <c r="Z1331" i="5"/>
  <c r="Y1337" i="5"/>
  <c r="Z1354" i="5"/>
  <c r="Z1328" i="5"/>
  <c r="Y1335" i="5"/>
  <c r="Z1350" i="5"/>
  <c r="Y302" i="5"/>
  <c r="Y1329" i="5"/>
  <c r="Y1356" i="5"/>
  <c r="Y1366" i="5"/>
  <c r="Z1324" i="5"/>
  <c r="Y1338" i="5"/>
  <c r="Y1346" i="5"/>
  <c r="Y1317" i="5"/>
  <c r="Y1353" i="5"/>
  <c r="Z1342" i="5"/>
  <c r="Z193" i="5"/>
  <c r="Y1321" i="5"/>
  <c r="Y1326" i="5"/>
  <c r="Z79" i="5"/>
  <c r="Z1305" i="5"/>
  <c r="Y1302" i="5"/>
  <c r="Z1322" i="5"/>
  <c r="Y1347" i="5"/>
  <c r="Y1336" i="5"/>
  <c r="Z1332" i="5"/>
  <c r="Z1341" i="5"/>
  <c r="Z1303" i="5"/>
  <c r="Z439" i="5"/>
  <c r="Y1334" i="5"/>
  <c r="Z94" i="5"/>
  <c r="Y1320" i="5"/>
  <c r="Z1312" i="5"/>
  <c r="Y1309" i="5"/>
  <c r="Y1323" i="5"/>
  <c r="Z345" i="5"/>
  <c r="Z1313" i="5"/>
  <c r="Z1319" i="5"/>
  <c r="Z5" i="5"/>
  <c r="Z1325" i="5"/>
  <c r="Z1310" i="5"/>
  <c r="Z1318" i="5"/>
  <c r="Z271" i="5"/>
  <c r="Y1315" i="5"/>
  <c r="Z1327" i="5"/>
  <c r="Z132" i="5"/>
  <c r="Z203" i="5"/>
  <c r="Y1307" i="5"/>
  <c r="Y1308" i="5"/>
  <c r="Z748" i="5"/>
  <c r="Y1306" i="5"/>
  <c r="Z461" i="5"/>
  <c r="Z414" i="5"/>
  <c r="Z1063" i="5"/>
  <c r="Z747" i="5"/>
  <c r="Z268" i="5"/>
  <c r="Z255" i="5"/>
  <c r="Z1224" i="5"/>
  <c r="Z117" i="5"/>
  <c r="Z1055" i="5"/>
  <c r="Z9" i="5"/>
  <c r="Z215" i="5"/>
  <c r="Z1119" i="5"/>
  <c r="Z511" i="5"/>
  <c r="Z584" i="5"/>
  <c r="Z989" i="5"/>
  <c r="Z197" i="5"/>
  <c r="Y200" i="5"/>
  <c r="Z480" i="5"/>
  <c r="Z493" i="5"/>
  <c r="Z413" i="5"/>
  <c r="Z160" i="5"/>
  <c r="Z98" i="5"/>
  <c r="Z445" i="5"/>
  <c r="Z40" i="5"/>
  <c r="Z131" i="5"/>
  <c r="Z191" i="5"/>
  <c r="Z896" i="5"/>
  <c r="Y39" i="5"/>
  <c r="Z557" i="5"/>
  <c r="Z693" i="5"/>
  <c r="Z687" i="5"/>
  <c r="Z96" i="5"/>
  <c r="Z744" i="5"/>
  <c r="Z555" i="5"/>
  <c r="Z270" i="5"/>
  <c r="Z778" i="5"/>
  <c r="Z832" i="5"/>
  <c r="Z186" i="5"/>
  <c r="Z366" i="5"/>
  <c r="Z543" i="5"/>
  <c r="Z1004" i="5"/>
  <c r="Y542" i="5"/>
  <c r="Y1016" i="5"/>
  <c r="Z1103" i="5"/>
  <c r="Z278" i="5"/>
  <c r="Z429" i="5"/>
  <c r="Y198" i="5"/>
  <c r="Y1054" i="5"/>
  <c r="Y201" i="5"/>
  <c r="Z204" i="5"/>
  <c r="Z238" i="5"/>
  <c r="Z715" i="5"/>
  <c r="Z488" i="5"/>
  <c r="Z768" i="5"/>
  <c r="Z100" i="5"/>
  <c r="Z28" i="5"/>
  <c r="Y208" i="5"/>
  <c r="Z852" i="5"/>
  <c r="Z683" i="5"/>
  <c r="Y153" i="5"/>
  <c r="Z575" i="5"/>
  <c r="Z845" i="5"/>
  <c r="Z209" i="5"/>
  <c r="Z925" i="5"/>
  <c r="Z1136" i="5"/>
  <c r="Z336" i="5"/>
  <c r="Z206" i="5"/>
  <c r="Y26" i="5"/>
  <c r="Z821" i="5"/>
  <c r="Z115" i="5"/>
  <c r="Z459" i="5"/>
  <c r="Z630" i="5"/>
  <c r="Y690" i="5"/>
  <c r="Z318" i="5"/>
  <c r="Z207" i="5"/>
  <c r="Z116" i="5"/>
  <c r="Z426" i="5"/>
  <c r="Z205" i="5"/>
  <c r="Z756" i="5"/>
  <c r="Z149" i="5"/>
  <c r="Z229" i="5"/>
  <c r="Z80" i="5"/>
  <c r="Z199" i="5"/>
  <c r="Y202" i="5"/>
  <c r="Y150" i="5"/>
  <c r="Z147" i="5"/>
  <c r="Y50" i="5"/>
  <c r="Z91" i="5"/>
  <c r="Y154" i="5"/>
  <c r="Z155" i="5"/>
  <c r="Y152" i="5"/>
  <c r="Z135" i="5"/>
  <c r="Y157" i="5"/>
  <c r="Z151" i="5"/>
  <c r="Z46" i="5"/>
  <c r="Y89" i="5"/>
  <c r="Z85" i="5"/>
  <c r="Y87" i="5"/>
  <c r="Z269" i="5"/>
  <c r="Y42" i="5"/>
  <c r="Y92" i="5"/>
  <c r="Z145" i="5"/>
  <c r="Z934" i="5"/>
  <c r="Z90" i="5"/>
  <c r="Y146" i="5"/>
  <c r="Z649" i="5"/>
  <c r="Z156" i="5"/>
  <c r="Y43" i="5"/>
  <c r="Y86" i="5"/>
  <c r="Y82" i="5"/>
  <c r="Y52" i="5"/>
  <c r="Z99" i="5"/>
  <c r="Z148" i="5"/>
  <c r="Y84" i="5"/>
  <c r="Y41" i="5"/>
  <c r="Y45" i="5"/>
  <c r="Y88" i="5"/>
  <c r="Y83" i="5"/>
  <c r="Y51" i="5"/>
  <c r="Z81" i="5"/>
  <c r="Y484" i="5"/>
  <c r="Y49" i="5"/>
  <c r="Y53" i="5"/>
  <c r="Z48" i="5"/>
  <c r="Y44" i="5"/>
  <c r="Y47" i="5"/>
  <c r="Z407" i="5"/>
  <c r="Y313" i="5"/>
  <c r="Z313" i="5"/>
  <c r="Y15" i="5"/>
  <c r="Z15" i="5"/>
  <c r="Y947" i="5"/>
  <c r="Z947" i="5"/>
</calcChain>
</file>

<file path=xl/sharedStrings.xml><?xml version="1.0" encoding="utf-8"?>
<sst xmlns="http://schemas.openxmlformats.org/spreadsheetml/2006/main" count="6024" uniqueCount="226">
  <si>
    <t>PDD_SB (2025)</t>
  </si>
  <si>
    <t>PDD con Muestra Asociada_2025</t>
  </si>
  <si>
    <t>Sitios Presuntos 2025</t>
  </si>
  <si>
    <t>ED_GITT asignada PDD_2025</t>
  </si>
  <si>
    <t>PDD en Busqueda Inversa_ 2025</t>
  </si>
  <si>
    <t>PEV_PRB Asignado_2025</t>
  </si>
  <si>
    <t>SB_Mejoradas Avance 2025</t>
  </si>
  <si>
    <t>SB_ Mejoradas Pendiente</t>
  </si>
  <si>
    <t>Postulados BI para Verificación_ Avance 2025</t>
  </si>
  <si>
    <t>Postulados BI para Verificación_ Pendiente</t>
  </si>
  <si>
    <t>Potenciales PEV_Avance 2025</t>
  </si>
  <si>
    <t>NORTE</t>
  </si>
  <si>
    <t>ATLÁNTICO</t>
  </si>
  <si>
    <t>Sin Determinar</t>
  </si>
  <si>
    <t>CESAR</t>
  </si>
  <si>
    <t>CÓRDOBA</t>
  </si>
  <si>
    <t>MAGDALENA</t>
  </si>
  <si>
    <t>SUCRE</t>
  </si>
  <si>
    <t>NOROCCIDENTE</t>
  </si>
  <si>
    <t>ANTIOQUIA</t>
  </si>
  <si>
    <t>CALDAS</t>
  </si>
  <si>
    <t>CHOCÓ</t>
  </si>
  <si>
    <t>URABÁ REGIÓN</t>
  </si>
  <si>
    <t>NORORIENTE</t>
  </si>
  <si>
    <t>MAGDALENA MEDIO REGIÓN</t>
  </si>
  <si>
    <t>NORTE DE SANTANDER</t>
  </si>
  <si>
    <t>SANTANDER</t>
  </si>
  <si>
    <t>CENTRO</t>
  </si>
  <si>
    <t>BOGOTÁ - CUNDINAMARCA</t>
  </si>
  <si>
    <t>BOYACÁ</t>
  </si>
  <si>
    <t>TOLIMA</t>
  </si>
  <si>
    <t>ORIENTE</t>
  </si>
  <si>
    <t>ARAUCA</t>
  </si>
  <si>
    <t>CASANARE</t>
  </si>
  <si>
    <t>GUAVIARE</t>
  </si>
  <si>
    <t>META</t>
  </si>
  <si>
    <t>SUR</t>
  </si>
  <si>
    <t>CAQUETÁ</t>
  </si>
  <si>
    <t>HUILA</t>
  </si>
  <si>
    <t>PUTUMAYO</t>
  </si>
  <si>
    <t>SUROCCIDENTE</t>
  </si>
  <si>
    <t>CAUCA</t>
  </si>
  <si>
    <t>NARIÑO</t>
  </si>
  <si>
    <t>PACÍFICO NARIÑENSE</t>
  </si>
  <si>
    <t>RISARALDA</t>
  </si>
  <si>
    <t>VALLE DEL CAUCA</t>
  </si>
  <si>
    <t>Sin Información</t>
  </si>
  <si>
    <t>Atlántico - Río Magdalena</t>
  </si>
  <si>
    <t>Del Archipielago</t>
  </si>
  <si>
    <t>Depresión Momposina</t>
  </si>
  <si>
    <t>Centro Del Cesar</t>
  </si>
  <si>
    <t>Sur De La Guajira - Norte Del Cesar</t>
  </si>
  <si>
    <t>Alto Sinú Y Montería</t>
  </si>
  <si>
    <t>Costanera Y Lorica</t>
  </si>
  <si>
    <t>Medio Y Bajo Sinú Y Sabanas</t>
  </si>
  <si>
    <t>San Jorge Cordobés</t>
  </si>
  <si>
    <t>Alta Y Media Guajira</t>
  </si>
  <si>
    <t>Del Ariguaní Al Río Magdalena</t>
  </si>
  <si>
    <t>Norte De Magdalena Y Dibulla</t>
  </si>
  <si>
    <t>Canal Del Dique Y Norte De Bolívar</t>
  </si>
  <si>
    <t>Montes De María Y Morrosquillo</t>
  </si>
  <si>
    <t>Sabanas, San Jorge Y Mojana</t>
  </si>
  <si>
    <t>Área Metropolitana De Medellín</t>
  </si>
  <si>
    <t>Bajo Cauca Y Valdivia</t>
  </si>
  <si>
    <t>Cuenca Del Río Sucio Y Cauca Medio</t>
  </si>
  <si>
    <t>Medellín</t>
  </si>
  <si>
    <t>Nordeste, Nus Y Río Porce</t>
  </si>
  <si>
    <t>Norte De Antioquia</t>
  </si>
  <si>
    <t>Oriente Antioqueño</t>
  </si>
  <si>
    <t>Suroeste Antioqueño</t>
  </si>
  <si>
    <t>Área Metropolitana De Manizales</t>
  </si>
  <si>
    <t>Occidente De Caldas</t>
  </si>
  <si>
    <t>Oriente De Caldas</t>
  </si>
  <si>
    <t>Alto Y Medio Atrato</t>
  </si>
  <si>
    <t>Baudó</t>
  </si>
  <si>
    <t>Costa Pacífica</t>
  </si>
  <si>
    <t>San Juan</t>
  </si>
  <si>
    <t>Bajo Atrato</t>
  </si>
  <si>
    <t>Darién</t>
  </si>
  <si>
    <t>Eje Bananero</t>
  </si>
  <si>
    <t>Norte De Urabá</t>
  </si>
  <si>
    <t>Sur De Urabá</t>
  </si>
  <si>
    <t>Barranca Región</t>
  </si>
  <si>
    <t>Puertos Del Magdalena Medio</t>
  </si>
  <si>
    <t>Sur De Bolívar</t>
  </si>
  <si>
    <t>Sur De Cesar</t>
  </si>
  <si>
    <t>Área Metropolitana De Cúcuta Y Frontera</t>
  </si>
  <si>
    <t>Catatumbo</t>
  </si>
  <si>
    <t>Centro Y Sur De Norte De Santander</t>
  </si>
  <si>
    <t>Área Metropolitana De Bucaramanga-Soto Norte</t>
  </si>
  <si>
    <t>Guanentá-García Rovira</t>
  </si>
  <si>
    <t>Vélez-Comunera</t>
  </si>
  <si>
    <t>Yariguíes</t>
  </si>
  <si>
    <t>Amazonas</t>
  </si>
  <si>
    <t>Bogotá</t>
  </si>
  <si>
    <t>Occidente De Cundinamarca</t>
  </si>
  <si>
    <t>Sabana De Cundinamarca</t>
  </si>
  <si>
    <t>Sumapaz</t>
  </si>
  <si>
    <t>Suroriente De Cundinamarca</t>
  </si>
  <si>
    <t>Centro De Boyacá</t>
  </si>
  <si>
    <t>Norte Boyacense, Gutiérrez Y Valderrama</t>
  </si>
  <si>
    <t>Occidente De Boyacá</t>
  </si>
  <si>
    <t>Oriente Boyacense, La Libertad, Lengupá Y Neira</t>
  </si>
  <si>
    <t>Cordillera Central De Tolima</t>
  </si>
  <si>
    <t>Valle Del Magdalena Y Nevados</t>
  </si>
  <si>
    <t>Sarare</t>
  </si>
  <si>
    <t>Tame Y Sabanas De Arauca</t>
  </si>
  <si>
    <t>Norte De Casanare</t>
  </si>
  <si>
    <t>Suroccidente De Casanare</t>
  </si>
  <si>
    <t>San Jose Del Guaviare</t>
  </si>
  <si>
    <t>Sur De Guaviare</t>
  </si>
  <si>
    <t>Sur Meta</t>
  </si>
  <si>
    <t>Vaupés</t>
  </si>
  <si>
    <t>Alto Y Medio Ariari</t>
  </si>
  <si>
    <t>Centro Oriente De Meta</t>
  </si>
  <si>
    <t>Duda Guayabero</t>
  </si>
  <si>
    <t>Guainía</t>
  </si>
  <si>
    <t>Vichada</t>
  </si>
  <si>
    <t>Villavicencio Y Piedemonte</t>
  </si>
  <si>
    <t>Caquetá Centro</t>
  </si>
  <si>
    <t>Caquetá Norte</t>
  </si>
  <si>
    <t>Caquetá Sur</t>
  </si>
  <si>
    <t>Norte De Huila</t>
  </si>
  <si>
    <t>Sur Del Huila</t>
  </si>
  <si>
    <t>Alto Putumayo</t>
  </si>
  <si>
    <t>Bajo Putumayo</t>
  </si>
  <si>
    <t>Medio Putumayo</t>
  </si>
  <si>
    <t>Norte Del Cauca</t>
  </si>
  <si>
    <t>Valle De Pubenza</t>
  </si>
  <si>
    <t>Valle Del Patía Y Macizo Colombiano</t>
  </si>
  <si>
    <t>Centro De Nariño</t>
  </si>
  <si>
    <t>Norte De Nariño</t>
  </si>
  <si>
    <t>Sur De Nariño Y Frontera</t>
  </si>
  <si>
    <t>Pacifico Nariñense</t>
  </si>
  <si>
    <t>Área Metropolitana De Pereira</t>
  </si>
  <si>
    <t>Norte Del Valle</t>
  </si>
  <si>
    <t>Occidente De Risaralda</t>
  </si>
  <si>
    <t>Quindio</t>
  </si>
  <si>
    <t>Área Metropolitana De Cali</t>
  </si>
  <si>
    <t>Occidente Del Valle</t>
  </si>
  <si>
    <t>Oriente Del Valle</t>
  </si>
  <si>
    <t>Sur Del Valle Del Cauca</t>
  </si>
  <si>
    <t>Pacifico Medio</t>
  </si>
  <si>
    <t>SIN DETERMINAR</t>
  </si>
  <si>
    <t>SIN INFORMACIÓN</t>
  </si>
  <si>
    <t xml:space="preserve">Potenciales PEV_Pendiente </t>
  </si>
  <si>
    <t xml:space="preserve">
PDD con muestra biológica asociada (L1A-020a)
META 2026</t>
  </si>
  <si>
    <t>No. de lugares de interes forense caracterizados (L1P-010 )
META 2026</t>
  </si>
  <si>
    <t>Personas con contacto exitosos o reencuentro (L1R-004)
META 2026</t>
  </si>
  <si>
    <t>SB_ Mejoradas Pendiente (L1A-021)
META 2026</t>
  </si>
  <si>
    <t>Postulados BI para Verificación_ Pendiente (L1A-022)
META 2026</t>
  </si>
  <si>
    <t xml:space="preserve">Cuerpos Recuperados
L1R-008
META 2026
</t>
  </si>
  <si>
    <t>INFORMES DE LO ACAECIDO FINALIZADOS Y ENTREGADOS
L1R-003
META 2026</t>
  </si>
  <si>
    <t>No. de planes de trabajo formulados con aportantes (L1P-006 )
META 2026</t>
  </si>
  <si>
    <t>Informe de Investigación que cuentan con Hipótesis
 (L1P-008-009)
META 2026</t>
  </si>
  <si>
    <t>PDD con solictud de búsqueda (L1P-002)
META 2026</t>
  </si>
  <si>
    <t>SIF intervenidos (confirmados y descartados) 2025</t>
  </si>
  <si>
    <t>SIF (confirmados y descartados)
(L1R-006-007)
META 2026</t>
  </si>
  <si>
    <t>No. de planes de trabajo formulados con aportantes 2025</t>
  </si>
  <si>
    <t>Informe de Investigación que cuentan con Hipótesis
 (L1P-008-009)
META 2025</t>
  </si>
  <si>
    <t>Personas Encontradas con Vida_PRB Asigando
 (L1R-001)
META 2026</t>
  </si>
  <si>
    <t xml:space="preserve">ED_GITT asignada PDD
L1R-005
META 2026
</t>
  </si>
  <si>
    <t xml:space="preserve">Cuerpos Recuperados
L1R-008
2025
</t>
  </si>
  <si>
    <t>Regional</t>
  </si>
  <si>
    <t>GITT</t>
  </si>
  <si>
    <t>Plan Regiónal de Búsqueda</t>
  </si>
  <si>
    <t>Cod_Linea</t>
  </si>
  <si>
    <t>Linea</t>
  </si>
  <si>
    <t>Cod_Indicador</t>
  </si>
  <si>
    <t>Código del Indicador</t>
  </si>
  <si>
    <t>Indicador</t>
  </si>
  <si>
    <t>L1P-002</t>
  </si>
  <si>
    <t>PDD con solictud de búsqueda</t>
  </si>
  <si>
    <t>L1A-021</t>
  </si>
  <si>
    <t>Línea 1. Investigación Humanitaria y Extrajudicial (Gestión de información e Investigación para la Búsqueda)</t>
  </si>
  <si>
    <t>Resultado_Estrategico</t>
  </si>
  <si>
    <t>R1. La investigación humanitaria y extrajudicial, aplicada, participativa y territorial, sustentada en el fortalecimiento de las capacidades y competencias en procesos forenses de prospección, recuperación, identificación y las nuevas metodologías forenses implementadas en la UBPD, agilizan e impulsan la búsqueda para encontrar a las PDD y responder a las personas, familias y OCMP que buscan, garantizando su derecho al acceso a la información.</t>
  </si>
  <si>
    <t>Cod_Resultado_estrategico</t>
  </si>
  <si>
    <t>PDD con muestra biológica asociada</t>
  </si>
  <si>
    <t>L1A-020a</t>
  </si>
  <si>
    <t>No. de lugares de interes forense caracterizados</t>
  </si>
  <si>
    <t>L1P-010</t>
  </si>
  <si>
    <t>SIF (confirmados y descartados)</t>
  </si>
  <si>
    <t>L1R-006-007</t>
  </si>
  <si>
    <t>Personas Encontradas con Vida_PRB Asigando</t>
  </si>
  <si>
    <t>L1R-001</t>
  </si>
  <si>
    <t>ED_GITT asignada PDD</t>
  </si>
  <si>
    <t>L1R-005</t>
  </si>
  <si>
    <t>L1A-022</t>
  </si>
  <si>
    <t>Personas con contacto exitosos o reencuentro</t>
  </si>
  <si>
    <t>L1R-004</t>
  </si>
  <si>
    <t>Cuerpos Recuperados</t>
  </si>
  <si>
    <t>L1R-008</t>
  </si>
  <si>
    <t>No. de planes de trabajo formulados con aportantes</t>
  </si>
  <si>
    <t>L1P-006</t>
  </si>
  <si>
    <t>Informe de Investigación que cuentan con Hipótesis</t>
  </si>
  <si>
    <t>L1P-008-009</t>
  </si>
  <si>
    <t>INFORMES DE LO ACAECIDO FINALIZADOS Y ENTREGADOS</t>
  </si>
  <si>
    <t>L1R-003</t>
  </si>
  <si>
    <t>PRB</t>
  </si>
  <si>
    <t>COD</t>
  </si>
  <si>
    <t>CodPRB</t>
  </si>
  <si>
    <t>Meta</t>
  </si>
  <si>
    <t>Línea Base 2025</t>
  </si>
  <si>
    <t>Mes 1</t>
  </si>
  <si>
    <t>Mes 2</t>
  </si>
  <si>
    <t>Mes 3</t>
  </si>
  <si>
    <t>Mes 4</t>
  </si>
  <si>
    <t>Mes 5</t>
  </si>
  <si>
    <t>Mes 6</t>
  </si>
  <si>
    <t>Mes 7</t>
  </si>
  <si>
    <t>Mes 8</t>
  </si>
  <si>
    <t>Mes 9</t>
  </si>
  <si>
    <t>Mes 10</t>
  </si>
  <si>
    <t>Mes 11</t>
  </si>
  <si>
    <t>Mes 12</t>
  </si>
  <si>
    <t>Trim I</t>
  </si>
  <si>
    <t>Trim II</t>
  </si>
  <si>
    <t>Trim III</t>
  </si>
  <si>
    <t>Trim IV</t>
  </si>
  <si>
    <t>Avance Total</t>
  </si>
  <si>
    <t>% de Avance</t>
  </si>
  <si>
    <t>Variación Respectp a 2025</t>
  </si>
  <si>
    <t>AÑO</t>
  </si>
  <si>
    <t>Valle del Aburrá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</si>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</sst>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sz val="8"/>
      <color theme="1"/>
      <name val="Avenir Next LT Pro"/>
      <family val="2"/>
    </font>
    <font>
      <b/>
      <sz val="8"/>
      <color theme="0"/>
      <name val="Avenir Next LT Pro"/>
      <family val="2"/>
    </font>
    <font>
      <b/>
      <sz val="8"/>
      <color theme="0"/>
      <name val="Arial"/>
      <family val="2"/>
    </font>
    <font>
      <sz val="11"/>
      <color theme="1"/>
      <name val="Aptos Narrow"/>
      <family val="2"/>
      <scheme val="minor"/>
    </font>
    <font>
      <sz val="8"/>
      <name val="Avenir Next LT Pro"/>
      <family val="2"/>
    </font>
    <font>
      <sz val="10"/>
      <color rgb="FFFFFFFF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1"/>
      <name val="Aptos Narrow"/>
      <family val="2"/>
      <scheme val="minor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rgb="FFA5A5A5"/>
      </patternFill>
    </fill>
    <fill>
      <patternFill patternType="solid">
        <fgColor rgb="FFFFC000"/>
        <bgColor indexed="64"/>
      </patternFill>
    </fill>
    <fill>
      <patternFill patternType="solid">
        <fgColor rgb="FF373F6B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medium">
        <color rgb="FF373F6B"/>
      </right>
      <top style="medium">
        <color rgb="FF292F50"/>
      </top>
      <bottom style="medium">
        <color rgb="FF292F50"/>
      </bottom>
      <diagonal/>
    </border>
    <border>
      <left/>
      <right style="medium">
        <color rgb="FF373F6B"/>
      </right>
      <top/>
      <bottom style="medium">
        <color rgb="FF292F50"/>
      </bottom>
      <diagonal/>
    </border>
    <border>
      <left style="medium">
        <color rgb="FF292F50"/>
      </left>
      <right style="medium">
        <color rgb="FF373F6B"/>
      </right>
      <top/>
      <bottom style="medium">
        <color rgb="FF292F50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6" tint="0.39997558519241921"/>
      </left>
      <right/>
      <top style="thin">
        <color theme="6" tint="0.39997558519241921"/>
      </top>
      <bottom style="thin">
        <color theme="6" tint="0.39997558519241921"/>
      </bottom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373F6B"/>
      </left>
      <right style="medium">
        <color rgb="FF373F6B"/>
      </right>
      <top/>
      <bottom/>
      <diagonal/>
    </border>
    <border>
      <left/>
      <right/>
      <top style="thin">
        <color theme="1"/>
      </top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3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3" fontId="1" fillId="0" borderId="0" xfId="0" applyNumberFormat="1" applyFont="1"/>
    <xf numFmtId="0" fontId="3" fillId="4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left" indent="2"/>
    </xf>
    <xf numFmtId="3" fontId="5" fillId="3" borderId="0" xfId="0" applyNumberFormat="1" applyFont="1" applyFill="1" applyAlignment="1">
      <alignment horizontal="center" vertical="center"/>
    </xf>
    <xf numFmtId="0" fontId="5" fillId="3" borderId="0" xfId="0" applyFont="1" applyFill="1" applyAlignment="1">
      <alignment horizontal="left" indent="1"/>
    </xf>
    <xf numFmtId="3" fontId="5" fillId="3" borderId="0" xfId="0" applyNumberFormat="1" applyFont="1" applyFill="1" applyAlignment="1">
      <alignment horizontal="center"/>
    </xf>
    <xf numFmtId="0" fontId="6" fillId="6" borderId="3" xfId="0" applyFont="1" applyFill="1" applyBorder="1" applyAlignment="1">
      <alignment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9" fillId="0" borderId="6" xfId="0" applyFont="1" applyFill="1" applyBorder="1"/>
    <xf numFmtId="0" fontId="9" fillId="0" borderId="7" xfId="0" applyFont="1" applyFill="1" applyBorder="1"/>
    <xf numFmtId="0" fontId="9" fillId="0" borderId="1" xfId="0" applyFont="1" applyFill="1" applyBorder="1"/>
    <xf numFmtId="0" fontId="9" fillId="0" borderId="5" xfId="0" applyFont="1" applyFill="1" applyBorder="1"/>
    <xf numFmtId="0" fontId="8" fillId="0" borderId="9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9" fontId="8" fillId="0" borderId="9" xfId="1" applyFont="1" applyFill="1" applyBorder="1" applyAlignment="1">
      <alignment horizontal="center" vertical="center" wrapText="1"/>
    </xf>
    <xf numFmtId="9" fontId="0" fillId="0" borderId="0" xfId="1" applyFont="1" applyAlignment="1">
      <alignment horizontal="center"/>
    </xf>
    <xf numFmtId="9" fontId="0" fillId="0" borderId="0" xfId="1" applyFont="1"/>
    <xf numFmtId="1" fontId="0" fillId="0" borderId="0" xfId="0" applyNumberFormat="1" applyAlignment="1">
      <alignment horizontal="center"/>
    </xf>
    <xf numFmtId="0" fontId="7" fillId="0" borderId="8" xfId="0" applyFont="1" applyFill="1" applyBorder="1" applyAlignment="1">
      <alignment vertical="center" wrapText="1"/>
    </xf>
    <xf numFmtId="0" fontId="9" fillId="0" borderId="10" xfId="0" applyFont="1" applyFill="1" applyBorder="1"/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NumberFormat="1" applyBorder="1" applyAlignment="1">
      <alignment horizontal="center"/>
    </xf>
    <xf numFmtId="9" fontId="0" fillId="0" borderId="0" xfId="1" applyFont="1" applyBorder="1" applyAlignment="1">
      <alignment horizontal="center"/>
    </xf>
    <xf numFmtId="0" fontId="0" fillId="0" borderId="0" xfId="0" applyAlignment="1">
      <alignment horizontal="right"/>
    </xf>
    <xf numFmtId="1" fontId="0" fillId="0" borderId="0" xfId="0" applyNumberFormat="1" applyBorder="1" applyAlignment="1">
      <alignment horizontal="center"/>
    </xf>
  </cellXfs>
  <cellStyles count="2">
    <cellStyle name="Normal" xfId="0" builtinId="0"/>
    <cellStyle name="Porcentaje" xfId="1" builtinId="5"/>
  </cellStyles>
  <dxfs count="53">
    <dxf>
      <border outline="0">
        <top style="medium">
          <color rgb="FF292F50"/>
        </top>
      </border>
    </dxf>
    <dxf>
      <border outline="0">
        <bottom style="medium">
          <color rgb="FF292F5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indexed="64"/>
          <bgColor rgb="FF373F6B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373F6B"/>
        </left>
        <right style="medium">
          <color rgb="FF373F6B"/>
        </right>
        <top/>
        <bottom/>
      </border>
    </dxf>
    <dxf>
      <numFmt numFmtId="0" formatCode="General"/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numFmt numFmtId="0" formatCode="General"/>
      <alignment horizontal="center" textRotation="0" indent="0" justifyLastLine="0" shrinkToFit="0" readingOrder="0"/>
    </dxf>
    <dxf>
      <numFmt numFmtId="0" formatCode="General"/>
      <alignment horizontal="center" textRotation="0" indent="0" justifyLastLine="0" shrinkToFit="0" readingOrder="0"/>
    </dxf>
    <dxf>
      <numFmt numFmtId="0" formatCode="General"/>
      <alignment horizontal="center" textRotation="0" indent="0" justifyLastLine="0" shrinkToFit="0" readingOrder="0"/>
    </dxf>
    <dxf>
      <numFmt numFmtId="0" formatCode="General"/>
      <alignment horizontal="center" textRotation="0" indent="0" justifyLastLine="0" shrinkToFit="0" readingOrder="0"/>
    </dxf>
    <dxf>
      <numFmt numFmtId="0" formatCode="General"/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6" tint="0.39997558519241921"/>
        </top>
        <bottom style="thin">
          <color theme="6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6" tint="0.39997558519241921"/>
        </left>
        <right/>
        <top style="thin">
          <color theme="6" tint="0.39997558519241921"/>
        </top>
        <bottom style="thin">
          <color theme="6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373F6B"/>
        </left>
        <right style="medium">
          <color rgb="FF373F6B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venir Next LT Pro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venir Next LT Pro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venir Next LT Pro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venir Next LT Pro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venir Next LT Pro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venir Next LT Pro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venir Next LT Pro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venir Next LT Pro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venir Next LT Pro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venir Next LT Pro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venir Next LT Pro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venir Next LT Pro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venir Next LT Pro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venir Next LT Pro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venir Next LT Pro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venir Next LT Pro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venir Next LT Pro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venir Next LT Pro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venir Next LT Pro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venir Next LT Pro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venir Next LT Pro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venir Next LT Pro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venir Next LT Pro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venir Next LT Pro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venir Next LT Pro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venir Next LT Pro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venir Next LT Pro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venir Next LT Pro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2" justifyLastLine="0" shrinkToFit="0" readingOrder="0"/>
    </dxf>
    <dxf>
      <font>
        <b val="0"/>
        <strike val="0"/>
        <outline val="0"/>
        <shadow val="0"/>
        <u val="none"/>
        <vertAlign val="baseline"/>
        <sz val="8"/>
        <color auto="1"/>
        <name val="Avenir Next LT Pro"/>
        <family val="2"/>
        <scheme val="none"/>
      </font>
      <fill>
        <patternFill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venir Next LT Pro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venir Next LT Pro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Avenir Next LT Pro"/>
        <family val="2"/>
        <scheme val="none"/>
      </font>
      <fill>
        <patternFill patternType="solid">
          <fgColor indexed="64"/>
          <bgColor rgb="FFFFC000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C67159-2785-4BD2-9AF7-0B3F90747170}" name="Metas_2026_GITT" displayName="Metas_2026_GITT" ref="A1:AD132" totalsRowShown="0" headerRowDxfId="52" dataDxfId="51">
  <autoFilter ref="A1:AD132" xr:uid="{1BB8186B-FF81-47D7-B0E3-9DB7A5B7144A}"/>
  <tableColumns count="30">
    <tableColumn id="1" xr3:uid="{B2D23E1E-E0B3-4425-BA57-9A46E873DA5A}" name="Regional" dataDxfId="50"/>
    <tableColumn id="2" xr3:uid="{4FE8B35C-D16D-4998-9B33-81E569392E49}" name="GITT" dataDxfId="49"/>
    <tableColumn id="3" xr3:uid="{FEABB81D-4CE3-4698-83C8-EFF4C22529CD}" name="Plan Regiónal de Búsqueda" dataDxfId="48"/>
    <tableColumn id="4" xr3:uid="{6E1255BB-359B-4AA9-BE1C-C5C2C4B1638D}" name="PDD_SB (2025)" dataDxfId="47"/>
    <tableColumn id="5" xr3:uid="{56B1E90D-A42E-4026-9DC1-F93459894037}" name="PDD con solictud de búsqueda (L1P-002)_x000a_META 2026" dataDxfId="46"/>
    <tableColumn id="6" xr3:uid="{AE2E41B9-2762-4026-8490-73F56171690D}" name="SB_Mejoradas Avance 2025" dataDxfId="45"/>
    <tableColumn id="7" xr3:uid="{0F1FE0F9-7D82-45A8-B284-D43FBA24FCA0}" name="SB_ Mejoradas Pendiente (L1A-021)_x000a_META 2026" dataDxfId="44"/>
    <tableColumn id="8" xr3:uid="{FFEC3EB6-E781-4EEE-9B0E-95A8F8FA2C65}" name="PDD con Muestra Asociada_2025" dataDxfId="43"/>
    <tableColumn id="9" xr3:uid="{B3DE86D1-0B4A-4E48-B3C5-AB725EF659CA}" name="_x000a_PDD con muestra biológica asociada (L1A-020a)_x000a_META 2026" dataDxfId="42"/>
    <tableColumn id="10" xr3:uid="{74FF1435-4AEF-4383-8659-8ECD023FD248}" name="Sitios Presuntos 2025" dataDxfId="41"/>
    <tableColumn id="11" xr3:uid="{ADA5F23D-3A30-4784-A983-AFC9B3EB3788}" name="No. de lugares de interes forense caracterizados (L1P-010 )_x000a_META 2026" dataDxfId="40"/>
    <tableColumn id="12" xr3:uid="{016A7BC5-695A-4FA7-9572-41348042A221}" name="SIF intervenidos (confirmados y descartados) 2025" dataDxfId="39"/>
    <tableColumn id="13" xr3:uid="{EBEC3F01-8CF6-45D6-B930-4203648CAA76}" name="SIF (confirmados y descartados)_x000a_(L1R-006-007)_x000a_META 2026" dataDxfId="38"/>
    <tableColumn id="14" xr3:uid="{716A2864-1B0E-4C72-8D49-59D48DCBB538}" name="PEV_PRB Asignado_2025" dataDxfId="37"/>
    <tableColumn id="15" xr3:uid="{E7F4C8F9-D849-43F3-B6FE-376B7B58763D}" name="Personas Encontradas con Vida_PRB Asigando_x000a_ (L1R-001)_x000a_META 2026" dataDxfId="36"/>
    <tableColumn id="16" xr3:uid="{EE7FBAE7-7DD2-4F6B-9145-87CE004D1E6C}" name="Potenciales PEV_Avance 2025" dataDxfId="35"/>
    <tableColumn id="17" xr3:uid="{9D766EAE-6DCD-43ED-8B67-B8FB47454380}" name="Potenciales PEV_Pendiente " dataDxfId="34"/>
    <tableColumn id="18" xr3:uid="{83834FC1-FDB8-46FF-B4C0-41056AC9C36D}" name="ED_GITT asignada PDD_2025" dataDxfId="33"/>
    <tableColumn id="19" xr3:uid="{D29FDC72-7EB6-4403-94AC-D94D89D14FD4}" name="ED_GITT asignada PDD_x000a_L1R-005_x000a_META 2026_x000a_" dataDxfId="32"/>
    <tableColumn id="20" xr3:uid="{14C2B941-4DFC-4BF9-998D-803422613520}" name="PDD en Busqueda Inversa_ 2025" dataDxfId="31"/>
    <tableColumn id="21" xr3:uid="{C375949A-6085-478D-BE28-AEAE184DB53A}" name="Postulados BI para Verificación_ Avance 2025" dataDxfId="30"/>
    <tableColumn id="22" xr3:uid="{DEC00942-1242-4F71-A6F6-ADE4A4AD3AE0}" name="Postulados BI para Verificación_ Pendiente (L1A-022)_x000a_META 2026" dataDxfId="29"/>
    <tableColumn id="23" xr3:uid="{9584774B-5A31-4BC3-93D9-803949F31B01}" name="Personas con contacto exitosos o reencuentro (L1R-004)_x000a_META 2026" dataDxfId="28"/>
    <tableColumn id="24" xr3:uid="{FEBBCAEC-2A98-4FB1-9D62-B4B2B09D2B33}" name="Cuerpos Recuperados_x000a_L1R-008_x000a_2025_x000a_" dataDxfId="27"/>
    <tableColumn id="25" xr3:uid="{71680D6F-D8DD-40BC-9FE6-64C7B2458C55}" name="Cuerpos Recuperados_x000a_L1R-008_x000a_META 2026_x000a_" dataDxfId="26"/>
    <tableColumn id="26" xr3:uid="{434E4BE4-21F0-4E8D-A273-BF8884BEF711}" name="No. de planes de trabajo formulados con aportantes 2025" dataDxfId="25"/>
    <tableColumn id="27" xr3:uid="{BAE33FF2-E5F3-4C63-B3DC-C615FE01EB65}" name="No. de planes de trabajo formulados con aportantes (L1P-006 )_x000a_META 2026" dataDxfId="24"/>
    <tableColumn id="28" xr3:uid="{FA899439-8028-44BE-9617-DE1502F7A778}" name="Informe de Investigación que cuentan con Hipótesis_x000a_ (L1P-008-009)_x000a_META 2025" dataDxfId="23"/>
    <tableColumn id="29" xr3:uid="{708BF4BD-ADF4-4693-8305-D52A87E96A70}" name="Informe de Investigación que cuentan con Hipótesis_x000a_ (L1P-008-009)_x000a_META 2026" dataDxfId="22"/>
    <tableColumn id="30" xr3:uid="{B4F4DABB-CB44-4165-A1AA-1711AC524C33}" name="INFORMES DE LO ACAECIDO FINALIZADOS Y ENTREGADOS_x000a_L1R-003_x000a_META 2026" dataDxfId="2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24024C9-326D-47B1-BFE0-312484EC2B4B}" name="Registro" displayName="Registro" ref="A1:AA1704" totalsRowShown="0" headerRowDxfId="20">
  <autoFilter ref="A1:AA1704" xr:uid="{824024C9-326D-47B1-BFE0-312484EC2B4B}">
    <filterColumn colId="4">
      <filters>
        <filter val="Personas Encontradas con Vida_PRB Asigando"/>
      </filters>
    </filterColumn>
  </autoFilter>
  <tableColumns count="27">
    <tableColumn id="1" xr3:uid="{AFAFE3DA-79E7-48C1-B515-3AD4F1CA6648}" name="CodPRB" dataDxfId="19"/>
    <tableColumn id="2" xr3:uid="{169EDF92-2ED6-4F88-9711-90040E7EFBAF}" name="PRB" dataDxfId="18"/>
    <tableColumn id="3" xr3:uid="{1A46EB45-B2F5-4530-B8C1-0DFF1F173A38}" name="Cod_Indicador" dataDxfId="17"/>
    <tableColumn id="4" xr3:uid="{CABDFFC7-B6AB-4AFB-A83A-B772E99356C9}" name="Código del Indicador" dataDxfId="16"/>
    <tableColumn id="5" xr3:uid="{C7E09478-5F10-4AF5-8174-3528B51C579E}" name="Indicador" dataDxfId="15"/>
    <tableColumn id="6" xr3:uid="{F9037AFC-B13D-40F8-B695-194B7213914A}" name="Línea Base 2025" dataDxfId="14"/>
    <tableColumn id="7" xr3:uid="{E9099CEB-FA7D-4992-A4CF-52388873B9AA}" name="Meta" dataDxfId="13"/>
    <tableColumn id="8" xr3:uid="{A1B0C9FA-D294-4B3E-B058-3F374F78391F}" name="Mes 1" dataDxfId="12"/>
    <tableColumn id="9" xr3:uid="{0C1169BF-E641-4117-A4D8-80AF43D18941}" name="Mes 2" dataDxfId="11"/>
    <tableColumn id="10" xr3:uid="{7FD85814-DC1E-419C-A0F0-875962B665BB}" name="Mes 3"/>
    <tableColumn id="11" xr3:uid="{7CABB302-9C9A-4D3A-8D3B-1136D0432941}" name="Mes 4"/>
    <tableColumn id="12" xr3:uid="{A7F4135E-10B1-4B72-AE05-A3F29A89C316}" name="Mes 5"/>
    <tableColumn id="13" xr3:uid="{1D78B074-FC83-41D4-90C0-18A874A2ECF7}" name="Mes 6"/>
    <tableColumn id="14" xr3:uid="{6B2A4419-493E-4F12-9DD4-3DE678D3C433}" name="Mes 7"/>
    <tableColumn id="15" xr3:uid="{657CC2F8-1AB4-4462-93A2-1799F6134E1D}" name="Mes 8"/>
    <tableColumn id="16" xr3:uid="{24C43EE9-DA0C-4186-98C4-5EDED0A6FD79}" name="Mes 9"/>
    <tableColumn id="17" xr3:uid="{DDB28A10-DE6B-401D-A321-0536C21542A9}" name="Mes 10"/>
    <tableColumn id="18" xr3:uid="{33E2CD8A-8883-4577-91CB-EB2C4E1CB642}" name="Mes 11"/>
    <tableColumn id="19" xr3:uid="{E92581F4-12DF-49E1-88BC-561D11F978AF}" name="Mes 12"/>
    <tableColumn id="20" xr3:uid="{A637E2B1-F278-4BC9-895D-6E20D4BCF37F}" name="Trim I" dataDxfId="10">
      <calculatedColumnFormula>Registro[[#This Row],[Mes 1]]+Registro[[#This Row],[Mes 2]]+Registro[[#This Row],[Mes 3]]</calculatedColumnFormula>
    </tableColumn>
    <tableColumn id="21" xr3:uid="{0B9E323D-D3DE-4585-8A79-E88F997F53CF}" name="Trim II" dataDxfId="9">
      <calculatedColumnFormula>Registro[[#This Row],[Mes 4]]+Registro[[#This Row],[Mes 5]]+Registro[[#This Row],[Mes 6]]</calculatedColumnFormula>
    </tableColumn>
    <tableColumn id="22" xr3:uid="{ACF11D9C-1E83-4840-A504-31D053FC7CD7}" name="Trim III" dataDxfId="8">
      <calculatedColumnFormula>Registro[[#This Row],[Mes 7]]+Registro[[#This Row],[Mes 8]]+Registro[[#This Row],[Mes 9]]</calculatedColumnFormula>
    </tableColumn>
    <tableColumn id="23" xr3:uid="{C190ADB4-1C52-4A20-B20C-A3E4C76E906C}" name="Trim IV" dataDxfId="7">
      <calculatedColumnFormula>Registro[[#This Row],[Mes 10]]+Registro[[#This Row],[Mes 11]]+Registro[[#This Row],[Mes 12]]</calculatedColumnFormula>
    </tableColumn>
    <tableColumn id="24" xr3:uid="{52BCBE00-91CB-4487-A28D-BB95C197B4A1}" name="Avance Total" dataDxfId="6">
      <calculatedColumnFormula>SUM(Registro[[#This Row],[Trim I]],Registro[[#This Row],[Trim II]],Registro[[#This Row],[Trim III]],Registro[[#This Row],[Trim IV]])</calculatedColumnFormula>
    </tableColumn>
    <tableColumn id="25" xr3:uid="{A1955E82-E916-46DB-B69E-105C52516CA6}" name="% de Avance" dataDxfId="5" dataCellStyle="Porcentaje">
      <calculatedColumnFormula>IFERROR((Registro[[#This Row],[Avance Total]]/Registro[[#This Row],[Meta]]),0)</calculatedColumnFormula>
    </tableColumn>
    <tableColumn id="26" xr3:uid="{F7EFF0E8-8308-4FF0-B8B1-78775FB63C1B}" name="Variación Respectp a 2025" dataDxfId="4" dataCellStyle="Porcentaje">
      <calculatedColumnFormula>IFERROR((Registro[[#This Row],[Avance Total]]-Registro[[#This Row],[Línea Base 2025]])/Registro[[#This Row],[Línea Base 2025]],0)</calculatedColumnFormula>
    </tableColumn>
    <tableColumn id="27" xr3:uid="{4312C594-B77E-4836-96B6-8B84BC157824}" name="AÑO" dataDxfId="3"/>
  </tableColumns>
  <tableStyleInfo name="TableStyleMedium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04D0604-3740-4E8C-86E4-D661167849F9}" name="PRB" displayName="PRB" ref="A1:D132" totalsRowShown="0">
  <autoFilter ref="A1:D132" xr:uid="{604D0604-3740-4E8C-86E4-D661167849F9}"/>
  <tableColumns count="4">
    <tableColumn id="1" xr3:uid="{37F2DFB1-FADB-499C-B864-72EE51AA6149}" name="COD"/>
    <tableColumn id="2" xr3:uid="{CCFA0CC7-E77D-4409-B9DB-36652B8D8D39}" name="PRB"/>
    <tableColumn id="3" xr3:uid="{A647B5E7-7964-4CCD-80BD-F7ED5DDAFA17}" name="Regional"/>
    <tableColumn id="4" xr3:uid="{7CE76CB7-2F43-4A06-AF50-26D9A264E09B}" name="GITT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FAB5E0C-812E-46F4-AF47-C0888C8A2537}" name="TINDICADORES" displayName="TINDICADORES" ref="A1:G14" totalsRowShown="0" headerRowDxfId="2" headerRowBorderDxfId="1" tableBorderDxfId="0">
  <autoFilter ref="A1:G14" xr:uid="{CFAB5E0C-812E-46F4-AF47-C0888C8A2537}"/>
  <tableColumns count="7">
    <tableColumn id="1" xr3:uid="{C31385E3-2D22-4B60-912D-2DDBF6F91871}" name="Cod_Linea"/>
    <tableColumn id="2" xr3:uid="{1F681760-C5F1-479C-9777-BE42CC4A56E9}" name="Linea"/>
    <tableColumn id="3" xr3:uid="{475A3247-9B10-46E6-BF73-73E18A9264BC}" name="Cod_Resultado_estrategico"/>
    <tableColumn id="4" xr3:uid="{9E459723-AC45-4372-AB4F-904EB67EA852}" name="Resultado_Estrategico"/>
    <tableColumn id="5" xr3:uid="{F66971CF-F5E8-43DE-BEE8-D89C95855C3F}" name="Cod_Indicador"/>
    <tableColumn id="6" xr3:uid="{DF7EF710-C738-454D-8ECC-09EE7F851399}" name="Código del Indicador"/>
    <tableColumn id="7" xr3:uid="{3B317F5F-99EE-4975-92F4-0BA898DEE9F3}" name="Indicado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Violeta">
      <a:dk1>
        <a:sysClr val="windowText" lastClr="000000"/>
      </a:dk1>
      <a:lt1>
        <a:sysClr val="window" lastClr="FFFFFF"/>
      </a:lt1>
      <a:dk2>
        <a:srgbClr val="373545"/>
      </a:dk2>
      <a:lt2>
        <a:srgbClr val="DCD8DC"/>
      </a:lt2>
      <a:accent1>
        <a:srgbClr val="AD84C6"/>
      </a:accent1>
      <a:accent2>
        <a:srgbClr val="8784C7"/>
      </a:accent2>
      <a:accent3>
        <a:srgbClr val="5D739A"/>
      </a:accent3>
      <a:accent4>
        <a:srgbClr val="6997AF"/>
      </a:accent4>
      <a:accent5>
        <a:srgbClr val="84ACB6"/>
      </a:accent5>
      <a:accent6>
        <a:srgbClr val="6F8183"/>
      </a:accent6>
      <a:hlink>
        <a:srgbClr val="69A020"/>
      </a:hlink>
      <a:folHlink>
        <a:srgbClr val="8C8C8C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8186B-FF81-47D7-B0E3-9DB7A5B7144A}">
  <dimension ref="A1:AF133"/>
  <sheetViews>
    <sheetView workbookViewId="0">
      <pane xSplit="3" topLeftCell="X1" activePane="topRight" state="frozen"/>
      <selection pane="topRight" activeCell="AB1" sqref="AB1:AB132"/>
    </sheetView>
  </sheetViews>
  <sheetFormatPr baseColWidth="10" defaultColWidth="10.8984375" defaultRowHeight="10.199999999999999"/>
  <cols>
    <col min="1" max="2" width="10.8984375" style="1"/>
    <col min="3" max="3" width="25.19921875" style="1" customWidth="1"/>
    <col min="4" max="4" width="12.09765625" style="1" customWidth="1"/>
    <col min="5" max="5" width="10.8984375" style="1" customWidth="1"/>
    <col min="6" max="6" width="20" style="1" customWidth="1"/>
    <col min="7" max="7" width="10.8984375" style="1" customWidth="1"/>
    <col min="8" max="8" width="23.296875" style="1" customWidth="1"/>
    <col min="9" max="9" width="8.69921875" style="1" customWidth="1"/>
    <col min="10" max="10" width="16.09765625" style="1" customWidth="1"/>
    <col min="11" max="11" width="10.8984375" style="1" customWidth="1"/>
    <col min="12" max="12" width="34.296875" style="1" customWidth="1"/>
    <col min="13" max="13" width="13.296875" style="1" customWidth="1"/>
    <col min="14" max="14" width="18.59765625" style="1" customWidth="1"/>
    <col min="15" max="15" width="10.8984375" style="1" customWidth="1"/>
    <col min="16" max="16" width="21.5" style="1" customWidth="1"/>
    <col min="17" max="17" width="20.296875" style="1" customWidth="1"/>
    <col min="18" max="18" width="21.09765625" style="1" customWidth="1"/>
    <col min="19" max="19" width="18.69921875" style="1" customWidth="1"/>
    <col min="20" max="20" width="23" style="1" customWidth="1"/>
    <col min="21" max="21" width="31.19921875" style="1" customWidth="1"/>
    <col min="22" max="25" width="10.8984375" style="1" customWidth="1"/>
    <col min="26" max="26" width="38.796875" style="1" customWidth="1"/>
    <col min="27" max="29" width="18" style="1" customWidth="1"/>
    <col min="30" max="30" width="18" style="1" bestFit="1" customWidth="1"/>
    <col min="31" max="16384" width="10.8984375" style="1"/>
  </cols>
  <sheetData>
    <row r="1" spans="1:32" ht="71.400000000000006">
      <c r="A1" s="2" t="s">
        <v>163</v>
      </c>
      <c r="B1" s="2" t="s">
        <v>164</v>
      </c>
      <c r="C1" s="2" t="s">
        <v>165</v>
      </c>
      <c r="D1" s="2" t="s">
        <v>0</v>
      </c>
      <c r="E1" s="5" t="s">
        <v>155</v>
      </c>
      <c r="F1" s="2" t="s">
        <v>6</v>
      </c>
      <c r="G1" s="3" t="s">
        <v>149</v>
      </c>
      <c r="H1" s="2" t="s">
        <v>1</v>
      </c>
      <c r="I1" s="5" t="s">
        <v>146</v>
      </c>
      <c r="J1" s="2" t="s">
        <v>2</v>
      </c>
      <c r="K1" s="5" t="s">
        <v>147</v>
      </c>
      <c r="L1" s="2" t="s">
        <v>156</v>
      </c>
      <c r="M1" s="5" t="s">
        <v>157</v>
      </c>
      <c r="N1" s="2" t="s">
        <v>5</v>
      </c>
      <c r="O1" s="3" t="s">
        <v>160</v>
      </c>
      <c r="P1" s="2" t="s">
        <v>10</v>
      </c>
      <c r="Q1" s="2" t="s">
        <v>145</v>
      </c>
      <c r="R1" s="2" t="s">
        <v>3</v>
      </c>
      <c r="S1" s="3" t="s">
        <v>161</v>
      </c>
      <c r="T1" s="2" t="s">
        <v>4</v>
      </c>
      <c r="U1" s="2" t="s">
        <v>8</v>
      </c>
      <c r="V1" s="3" t="s">
        <v>150</v>
      </c>
      <c r="W1" s="3" t="s">
        <v>148</v>
      </c>
      <c r="X1" s="2" t="s">
        <v>162</v>
      </c>
      <c r="Y1" s="3" t="s">
        <v>151</v>
      </c>
      <c r="Z1" s="2" t="s">
        <v>158</v>
      </c>
      <c r="AA1" s="3" t="s">
        <v>153</v>
      </c>
      <c r="AB1" s="2" t="s">
        <v>159</v>
      </c>
      <c r="AC1" s="3" t="s">
        <v>154</v>
      </c>
      <c r="AD1" s="3" t="s">
        <v>152</v>
      </c>
    </row>
    <row r="2" spans="1:32">
      <c r="A2" s="9" t="s">
        <v>11</v>
      </c>
      <c r="B2" s="7" t="s">
        <v>12</v>
      </c>
      <c r="C2" s="6" t="s">
        <v>47</v>
      </c>
      <c r="D2" s="7">
        <v>55</v>
      </c>
      <c r="E2" s="7">
        <v>317</v>
      </c>
      <c r="F2" s="7">
        <v>9</v>
      </c>
      <c r="G2" s="7">
        <v>53</v>
      </c>
      <c r="H2" s="7">
        <v>42</v>
      </c>
      <c r="I2" s="7">
        <v>375</v>
      </c>
      <c r="J2" s="7">
        <v>1</v>
      </c>
      <c r="K2" s="7">
        <v>12</v>
      </c>
      <c r="L2" s="7">
        <v>0</v>
      </c>
      <c r="M2" s="7">
        <v>10.8</v>
      </c>
      <c r="N2" s="7">
        <v>2</v>
      </c>
      <c r="O2" s="7">
        <v>2.7600000000000002</v>
      </c>
      <c r="P2" s="7">
        <v>13</v>
      </c>
      <c r="Q2" s="7">
        <v>6</v>
      </c>
      <c r="R2" s="7">
        <v>1</v>
      </c>
      <c r="S2" s="7">
        <v>9.32</v>
      </c>
      <c r="T2" s="7"/>
      <c r="U2" s="7"/>
      <c r="V2" s="7">
        <v>16</v>
      </c>
      <c r="W2" s="7">
        <v>2.2080000000000002</v>
      </c>
      <c r="X2" s="7">
        <v>18</v>
      </c>
      <c r="Y2" s="7">
        <v>68</v>
      </c>
      <c r="Z2" s="7">
        <v>4</v>
      </c>
      <c r="AA2" s="7">
        <v>19</v>
      </c>
      <c r="AB2" s="7">
        <v>5</v>
      </c>
      <c r="AC2" s="7">
        <v>17</v>
      </c>
      <c r="AD2" s="7">
        <v>10</v>
      </c>
    </row>
    <row r="3" spans="1:32">
      <c r="A3" s="9" t="s">
        <v>11</v>
      </c>
      <c r="B3" s="7" t="s">
        <v>12</v>
      </c>
      <c r="C3" s="6" t="s">
        <v>48</v>
      </c>
      <c r="D3" s="7">
        <v>14</v>
      </c>
      <c r="E3" s="7">
        <v>30</v>
      </c>
      <c r="F3" s="7">
        <v>3</v>
      </c>
      <c r="G3" s="7">
        <v>2</v>
      </c>
      <c r="H3" s="7">
        <v>0</v>
      </c>
      <c r="I3" s="7">
        <v>51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1</v>
      </c>
      <c r="Q3" s="7">
        <v>0</v>
      </c>
      <c r="R3" s="7">
        <v>0</v>
      </c>
      <c r="S3" s="7">
        <v>0.08</v>
      </c>
      <c r="T3" s="7"/>
      <c r="U3" s="7"/>
      <c r="V3" s="7">
        <v>4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1</v>
      </c>
      <c r="AD3" s="7"/>
    </row>
    <row r="4" spans="1:32">
      <c r="A4" s="9" t="s">
        <v>11</v>
      </c>
      <c r="B4" s="7" t="s">
        <v>12</v>
      </c>
      <c r="C4" s="6" t="s">
        <v>49</v>
      </c>
      <c r="D4" s="7">
        <v>10</v>
      </c>
      <c r="E4" s="7">
        <v>25</v>
      </c>
      <c r="F4" s="7">
        <v>3</v>
      </c>
      <c r="G4" s="7">
        <v>14</v>
      </c>
      <c r="H4" s="7">
        <v>8</v>
      </c>
      <c r="I4" s="7">
        <v>54</v>
      </c>
      <c r="J4" s="7">
        <v>1</v>
      </c>
      <c r="K4" s="7">
        <v>4.8</v>
      </c>
      <c r="L4" s="7">
        <v>0</v>
      </c>
      <c r="M4" s="7">
        <v>4.32</v>
      </c>
      <c r="N4" s="7">
        <v>0</v>
      </c>
      <c r="O4" s="7">
        <v>1.84</v>
      </c>
      <c r="P4" s="7">
        <v>0</v>
      </c>
      <c r="Q4" s="7">
        <v>4</v>
      </c>
      <c r="R4" s="7">
        <v>0</v>
      </c>
      <c r="S4" s="7">
        <v>1</v>
      </c>
      <c r="T4" s="7"/>
      <c r="U4" s="7"/>
      <c r="V4" s="7">
        <v>0</v>
      </c>
      <c r="W4" s="7">
        <v>1.4720000000000002</v>
      </c>
      <c r="X4" s="7">
        <v>3</v>
      </c>
      <c r="Y4" s="7">
        <v>5</v>
      </c>
      <c r="Z4" s="7"/>
      <c r="AA4" s="7"/>
      <c r="AB4" s="7"/>
      <c r="AC4" s="7">
        <f t="shared" ref="AC4:AC5" si="0">+(M4*0.3)</f>
        <v>1.296</v>
      </c>
      <c r="AD4" s="7">
        <v>2</v>
      </c>
    </row>
    <row r="5" spans="1:32">
      <c r="A5" s="9" t="s">
        <v>11</v>
      </c>
      <c r="B5" s="7" t="s">
        <v>12</v>
      </c>
      <c r="C5" s="6" t="s">
        <v>13</v>
      </c>
      <c r="D5" s="7">
        <v>0</v>
      </c>
      <c r="E5" s="7">
        <v>1</v>
      </c>
      <c r="F5" s="7">
        <v>0</v>
      </c>
      <c r="G5" s="7">
        <v>0</v>
      </c>
      <c r="H5" s="7">
        <v>0</v>
      </c>
      <c r="I5" s="7">
        <v>1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/>
      <c r="AB5" s="7"/>
      <c r="AC5" s="7">
        <f t="shared" si="0"/>
        <v>0</v>
      </c>
      <c r="AD5" s="7"/>
    </row>
    <row r="6" spans="1:32">
      <c r="A6" s="9" t="s">
        <v>11</v>
      </c>
      <c r="B6" s="7" t="s">
        <v>14</v>
      </c>
      <c r="C6" s="6" t="s">
        <v>50</v>
      </c>
      <c r="D6" s="7">
        <v>53</v>
      </c>
      <c r="E6" s="7">
        <v>508</v>
      </c>
      <c r="F6" s="7">
        <v>30</v>
      </c>
      <c r="G6" s="7">
        <v>53</v>
      </c>
      <c r="H6" s="7">
        <v>24</v>
      </c>
      <c r="I6" s="7">
        <v>611</v>
      </c>
      <c r="J6" s="7">
        <v>20</v>
      </c>
      <c r="K6" s="7">
        <v>26.7</v>
      </c>
      <c r="L6" s="7">
        <v>3</v>
      </c>
      <c r="M6" s="7">
        <v>24.03</v>
      </c>
      <c r="N6" s="7">
        <v>3</v>
      </c>
      <c r="O6" s="7">
        <v>5.5200000000000005</v>
      </c>
      <c r="P6" s="7">
        <v>13</v>
      </c>
      <c r="Q6" s="7">
        <v>12</v>
      </c>
      <c r="R6" s="7">
        <v>2</v>
      </c>
      <c r="S6" s="7">
        <v>3.16</v>
      </c>
      <c r="T6" s="7"/>
      <c r="U6" s="7"/>
      <c r="V6" s="7">
        <v>8</v>
      </c>
      <c r="W6" s="7">
        <v>4.4160000000000004</v>
      </c>
      <c r="X6" s="7">
        <v>26</v>
      </c>
      <c r="Y6" s="7">
        <v>23</v>
      </c>
      <c r="Z6" s="7">
        <v>2</v>
      </c>
      <c r="AA6" s="7">
        <v>3</v>
      </c>
      <c r="AB6" s="7">
        <v>6</v>
      </c>
      <c r="AC6" s="7">
        <v>23</v>
      </c>
      <c r="AD6" s="7">
        <v>60</v>
      </c>
    </row>
    <row r="7" spans="1:32">
      <c r="A7" s="9" t="s">
        <v>11</v>
      </c>
      <c r="B7" s="7" t="s">
        <v>14</v>
      </c>
      <c r="C7" s="6" t="s">
        <v>51</v>
      </c>
      <c r="D7" s="7">
        <v>51</v>
      </c>
      <c r="E7" s="7">
        <v>482</v>
      </c>
      <c r="F7" s="7">
        <v>33</v>
      </c>
      <c r="G7" s="7">
        <v>66</v>
      </c>
      <c r="H7" s="7">
        <v>28</v>
      </c>
      <c r="I7" s="7">
        <v>641</v>
      </c>
      <c r="J7" s="7">
        <v>6</v>
      </c>
      <c r="K7" s="7">
        <v>22.2</v>
      </c>
      <c r="L7" s="7">
        <v>42</v>
      </c>
      <c r="M7" s="7">
        <v>19.98</v>
      </c>
      <c r="N7" s="7">
        <v>6</v>
      </c>
      <c r="O7" s="7">
        <v>17.940000000000001</v>
      </c>
      <c r="P7" s="7">
        <v>9</v>
      </c>
      <c r="Q7" s="7">
        <v>39</v>
      </c>
      <c r="R7" s="7">
        <v>4</v>
      </c>
      <c r="S7" s="7">
        <v>8.24</v>
      </c>
      <c r="T7" s="7"/>
      <c r="U7" s="7"/>
      <c r="V7" s="7">
        <v>12</v>
      </c>
      <c r="W7" s="7">
        <v>14.352000000000002</v>
      </c>
      <c r="X7" s="7">
        <v>18</v>
      </c>
      <c r="Y7" s="7">
        <v>66</v>
      </c>
      <c r="Z7" s="7">
        <v>8</v>
      </c>
      <c r="AA7" s="7">
        <v>7</v>
      </c>
      <c r="AB7" s="7">
        <v>9</v>
      </c>
      <c r="AC7" s="7">
        <v>23</v>
      </c>
      <c r="AD7" s="7">
        <v>10</v>
      </c>
    </row>
    <row r="8" spans="1:32">
      <c r="A8" s="9" t="s">
        <v>11</v>
      </c>
      <c r="B8" s="7" t="s">
        <v>14</v>
      </c>
      <c r="C8" s="6" t="s">
        <v>13</v>
      </c>
      <c r="D8" s="7">
        <v>1</v>
      </c>
      <c r="E8" s="7">
        <v>136</v>
      </c>
      <c r="F8" s="7">
        <v>0</v>
      </c>
      <c r="G8" s="7">
        <v>1</v>
      </c>
      <c r="H8" s="7">
        <v>3</v>
      </c>
      <c r="I8" s="7">
        <v>99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1.84</v>
      </c>
      <c r="P8" s="7">
        <v>0</v>
      </c>
      <c r="Q8" s="7">
        <v>4</v>
      </c>
      <c r="R8" s="7">
        <v>0</v>
      </c>
      <c r="S8" s="7">
        <v>0</v>
      </c>
      <c r="T8" s="7">
        <v>2</v>
      </c>
      <c r="U8" s="7"/>
      <c r="V8" s="7">
        <v>0</v>
      </c>
      <c r="W8" s="7">
        <v>1.4720000000000002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f>+(M8*0.3)</f>
        <v>0</v>
      </c>
      <c r="AD8" s="7"/>
    </row>
    <row r="9" spans="1:32">
      <c r="A9" s="9" t="s">
        <v>11</v>
      </c>
      <c r="B9" s="7" t="s">
        <v>15</v>
      </c>
      <c r="C9" s="6" t="s">
        <v>52</v>
      </c>
      <c r="D9" s="7">
        <v>56</v>
      </c>
      <c r="E9" s="7">
        <v>708</v>
      </c>
      <c r="F9" s="7">
        <v>27</v>
      </c>
      <c r="G9" s="7">
        <v>60</v>
      </c>
      <c r="H9" s="7">
        <v>61</v>
      </c>
      <c r="I9" s="7">
        <v>652</v>
      </c>
      <c r="J9" s="7">
        <v>0</v>
      </c>
      <c r="K9" s="7">
        <v>40.949999999999996</v>
      </c>
      <c r="L9" s="7">
        <v>16</v>
      </c>
      <c r="M9" s="7">
        <v>36.854999999999997</v>
      </c>
      <c r="N9" s="7">
        <v>3</v>
      </c>
      <c r="O9" s="7">
        <v>11.040000000000001</v>
      </c>
      <c r="P9" s="7">
        <v>11</v>
      </c>
      <c r="Q9" s="7">
        <v>24</v>
      </c>
      <c r="R9" s="7">
        <v>2</v>
      </c>
      <c r="S9" s="7">
        <v>8.1199999999999992</v>
      </c>
      <c r="T9" s="7"/>
      <c r="U9" s="7"/>
      <c r="V9" s="7">
        <v>6</v>
      </c>
      <c r="W9" s="7">
        <v>8.8320000000000007</v>
      </c>
      <c r="X9" s="7">
        <v>47</v>
      </c>
      <c r="Y9" s="7">
        <v>60</v>
      </c>
      <c r="Z9" s="7">
        <v>6</v>
      </c>
      <c r="AA9" s="7">
        <v>8</v>
      </c>
      <c r="AB9" s="7">
        <v>5</v>
      </c>
      <c r="AC9" s="7">
        <v>10</v>
      </c>
      <c r="AD9" s="7">
        <v>4</v>
      </c>
    </row>
    <row r="10" spans="1:32">
      <c r="A10" s="9" t="s">
        <v>11</v>
      </c>
      <c r="B10" s="7" t="s">
        <v>15</v>
      </c>
      <c r="C10" s="6" t="s">
        <v>53</v>
      </c>
      <c r="D10" s="7">
        <v>6</v>
      </c>
      <c r="E10" s="7">
        <v>17</v>
      </c>
      <c r="F10" s="7">
        <v>1</v>
      </c>
      <c r="G10" s="7">
        <v>9</v>
      </c>
      <c r="H10" s="7">
        <v>2</v>
      </c>
      <c r="I10" s="7">
        <v>37</v>
      </c>
      <c r="J10" s="7">
        <v>0</v>
      </c>
      <c r="K10" s="7">
        <v>2.1</v>
      </c>
      <c r="L10" s="7">
        <v>0</v>
      </c>
      <c r="M10" s="7">
        <v>1.8900000000000001</v>
      </c>
      <c r="N10" s="7">
        <v>0</v>
      </c>
      <c r="O10" s="7">
        <v>0.92</v>
      </c>
      <c r="P10" s="7">
        <v>1</v>
      </c>
      <c r="Q10" s="7">
        <v>2</v>
      </c>
      <c r="R10" s="7">
        <v>0</v>
      </c>
      <c r="S10" s="7">
        <v>1.04</v>
      </c>
      <c r="T10" s="7"/>
      <c r="U10" s="7"/>
      <c r="V10" s="7">
        <v>2</v>
      </c>
      <c r="W10" s="7">
        <v>0.7360000000000001</v>
      </c>
      <c r="X10" s="7">
        <v>2</v>
      </c>
      <c r="Y10" s="7">
        <v>6</v>
      </c>
      <c r="Z10" s="7">
        <v>0</v>
      </c>
      <c r="AA10" s="7">
        <v>4</v>
      </c>
      <c r="AB10" s="7">
        <v>0</v>
      </c>
      <c r="AC10" s="7">
        <v>2</v>
      </c>
      <c r="AD10" s="7">
        <v>1</v>
      </c>
    </row>
    <row r="11" spans="1:32">
      <c r="A11" s="9" t="s">
        <v>11</v>
      </c>
      <c r="B11" s="7" t="s">
        <v>15</v>
      </c>
      <c r="C11" s="6" t="s">
        <v>54</v>
      </c>
      <c r="D11" s="7">
        <v>5</v>
      </c>
      <c r="E11" s="7">
        <v>23</v>
      </c>
      <c r="F11" s="7">
        <v>0</v>
      </c>
      <c r="G11" s="7">
        <v>4</v>
      </c>
      <c r="H11" s="7">
        <v>5</v>
      </c>
      <c r="I11" s="7">
        <v>31</v>
      </c>
      <c r="J11" s="7">
        <v>0</v>
      </c>
      <c r="K11" s="7">
        <v>1.2</v>
      </c>
      <c r="L11" s="7">
        <v>0</v>
      </c>
      <c r="M11" s="7">
        <v>1.08</v>
      </c>
      <c r="N11" s="7">
        <v>0</v>
      </c>
      <c r="O11" s="7">
        <v>1.3800000000000001</v>
      </c>
      <c r="P11" s="7">
        <v>1</v>
      </c>
      <c r="Q11" s="7">
        <v>3</v>
      </c>
      <c r="R11" s="7">
        <v>0</v>
      </c>
      <c r="S11" s="7">
        <v>1.1599999999999999</v>
      </c>
      <c r="T11" s="7"/>
      <c r="U11" s="7"/>
      <c r="V11" s="7">
        <v>8</v>
      </c>
      <c r="W11" s="7">
        <v>1.1040000000000001</v>
      </c>
      <c r="X11" s="7">
        <v>0</v>
      </c>
      <c r="Y11" s="7">
        <v>5</v>
      </c>
      <c r="Z11" s="7">
        <v>0</v>
      </c>
      <c r="AA11" s="7"/>
      <c r="AB11" s="7">
        <v>0</v>
      </c>
      <c r="AC11" s="7">
        <v>2</v>
      </c>
      <c r="AD11" s="7">
        <v>1</v>
      </c>
      <c r="AF11" s="1">
        <v>7</v>
      </c>
    </row>
    <row r="12" spans="1:32">
      <c r="A12" s="9" t="s">
        <v>11</v>
      </c>
      <c r="B12" s="7" t="s">
        <v>15</v>
      </c>
      <c r="C12" s="6" t="s">
        <v>55</v>
      </c>
      <c r="D12" s="7">
        <v>13</v>
      </c>
      <c r="E12" s="7">
        <v>245</v>
      </c>
      <c r="F12" s="7">
        <v>4</v>
      </c>
      <c r="G12" s="7">
        <v>28</v>
      </c>
      <c r="H12" s="7">
        <v>15</v>
      </c>
      <c r="I12" s="7">
        <v>289</v>
      </c>
      <c r="J12" s="7">
        <v>0</v>
      </c>
      <c r="K12" s="7">
        <v>9.4499999999999993</v>
      </c>
      <c r="L12" s="7">
        <v>0</v>
      </c>
      <c r="M12" s="7">
        <v>8.504999999999999</v>
      </c>
      <c r="N12" s="7">
        <v>0</v>
      </c>
      <c r="O12" s="7">
        <v>2.7600000000000002</v>
      </c>
      <c r="P12" s="7">
        <v>1</v>
      </c>
      <c r="Q12" s="7">
        <v>6</v>
      </c>
      <c r="R12" s="7">
        <v>1</v>
      </c>
      <c r="S12" s="7">
        <v>2.06</v>
      </c>
      <c r="T12" s="7"/>
      <c r="U12" s="7"/>
      <c r="V12" s="7">
        <v>3</v>
      </c>
      <c r="W12" s="7">
        <v>2.2080000000000002</v>
      </c>
      <c r="X12" s="7">
        <v>9</v>
      </c>
      <c r="Y12" s="7">
        <v>15</v>
      </c>
      <c r="Z12" s="7">
        <v>1</v>
      </c>
      <c r="AA12" s="7">
        <v>4</v>
      </c>
      <c r="AB12" s="7">
        <v>4</v>
      </c>
      <c r="AC12" s="7">
        <v>4</v>
      </c>
      <c r="AD12" s="7">
        <v>2</v>
      </c>
    </row>
    <row r="13" spans="1:32">
      <c r="A13" s="9" t="s">
        <v>11</v>
      </c>
      <c r="B13" s="7" t="s">
        <v>15</v>
      </c>
      <c r="C13" s="6" t="s">
        <v>13</v>
      </c>
      <c r="D13" s="7">
        <v>1</v>
      </c>
      <c r="E13" s="7">
        <v>124</v>
      </c>
      <c r="F13" s="7">
        <v>0</v>
      </c>
      <c r="G13" s="7">
        <v>2</v>
      </c>
      <c r="H13" s="7">
        <v>3</v>
      </c>
      <c r="I13" s="7">
        <v>83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2</v>
      </c>
      <c r="U13" s="7"/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/>
      <c r="AB13" s="7">
        <v>0</v>
      </c>
      <c r="AC13" s="7">
        <v>0</v>
      </c>
      <c r="AD13" s="7">
        <v>0</v>
      </c>
    </row>
    <row r="14" spans="1:32">
      <c r="A14" s="9" t="s">
        <v>11</v>
      </c>
      <c r="B14" s="7" t="s">
        <v>16</v>
      </c>
      <c r="C14" s="6" t="s">
        <v>56</v>
      </c>
      <c r="D14" s="7">
        <v>12</v>
      </c>
      <c r="E14" s="7">
        <v>136</v>
      </c>
      <c r="F14" s="7">
        <v>4</v>
      </c>
      <c r="G14" s="7">
        <v>25</v>
      </c>
      <c r="H14" s="7">
        <v>16</v>
      </c>
      <c r="I14" s="7">
        <v>160</v>
      </c>
      <c r="J14" s="7">
        <v>21</v>
      </c>
      <c r="K14" s="7">
        <v>-0.44999999999999996</v>
      </c>
      <c r="L14" s="7">
        <v>0</v>
      </c>
      <c r="M14" s="7">
        <v>-0.40499999999999997</v>
      </c>
      <c r="N14" s="7">
        <v>2</v>
      </c>
      <c r="O14" s="7">
        <v>6.9</v>
      </c>
      <c r="P14" s="7">
        <v>3</v>
      </c>
      <c r="Q14" s="7">
        <v>15</v>
      </c>
      <c r="R14" s="7">
        <v>1</v>
      </c>
      <c r="S14" s="7">
        <v>3</v>
      </c>
      <c r="T14" s="7"/>
      <c r="U14" s="7"/>
      <c r="V14" s="7">
        <v>0</v>
      </c>
      <c r="W14" s="7">
        <v>5.5200000000000005</v>
      </c>
      <c r="X14" s="7">
        <v>25</v>
      </c>
      <c r="Y14" s="7">
        <v>25</v>
      </c>
      <c r="Z14" s="7">
        <v>0</v>
      </c>
      <c r="AA14" s="7">
        <v>6</v>
      </c>
      <c r="AB14" s="7">
        <v>1</v>
      </c>
      <c r="AC14" s="7">
        <v>4</v>
      </c>
      <c r="AD14" s="7">
        <v>4</v>
      </c>
    </row>
    <row r="15" spans="1:32">
      <c r="A15" s="9" t="s">
        <v>11</v>
      </c>
      <c r="B15" s="7" t="s">
        <v>16</v>
      </c>
      <c r="C15" s="6" t="s">
        <v>57</v>
      </c>
      <c r="D15" s="7">
        <v>18</v>
      </c>
      <c r="E15" s="7">
        <v>184</v>
      </c>
      <c r="F15" s="7">
        <v>6</v>
      </c>
      <c r="G15" s="7">
        <v>15</v>
      </c>
      <c r="H15" s="7">
        <v>22</v>
      </c>
      <c r="I15" s="7">
        <v>209</v>
      </c>
      <c r="J15" s="7">
        <v>3</v>
      </c>
      <c r="K15" s="7">
        <v>15.299999999999999</v>
      </c>
      <c r="L15" s="7">
        <v>1</v>
      </c>
      <c r="M15" s="7">
        <v>13.77</v>
      </c>
      <c r="N15" s="7">
        <v>0</v>
      </c>
      <c r="O15" s="7">
        <v>1.3800000000000001</v>
      </c>
      <c r="P15" s="7">
        <v>3</v>
      </c>
      <c r="Q15" s="7">
        <v>3</v>
      </c>
      <c r="R15" s="7">
        <v>3</v>
      </c>
      <c r="S15" s="7">
        <v>3</v>
      </c>
      <c r="T15" s="7"/>
      <c r="U15" s="7"/>
      <c r="V15" s="7">
        <v>0</v>
      </c>
      <c r="W15" s="7">
        <v>1.1040000000000001</v>
      </c>
      <c r="X15" s="7">
        <v>19</v>
      </c>
      <c r="Y15" s="7">
        <v>20</v>
      </c>
      <c r="Z15" s="7">
        <v>2</v>
      </c>
      <c r="AA15" s="7">
        <v>7</v>
      </c>
      <c r="AB15" s="7">
        <v>4</v>
      </c>
      <c r="AC15" s="7">
        <v>6</v>
      </c>
      <c r="AD15" s="7">
        <v>3</v>
      </c>
    </row>
    <row r="16" spans="1:32">
      <c r="A16" s="9" t="s">
        <v>11</v>
      </c>
      <c r="B16" s="7" t="s">
        <v>16</v>
      </c>
      <c r="C16" s="6" t="s">
        <v>58</v>
      </c>
      <c r="D16" s="7">
        <v>54</v>
      </c>
      <c r="E16" s="7">
        <v>1160</v>
      </c>
      <c r="F16" s="7">
        <v>35</v>
      </c>
      <c r="G16" s="7">
        <v>66</v>
      </c>
      <c r="H16" s="7">
        <v>75</v>
      </c>
      <c r="I16" s="7">
        <v>960</v>
      </c>
      <c r="J16" s="7">
        <v>0</v>
      </c>
      <c r="K16" s="7">
        <v>16.8</v>
      </c>
      <c r="L16" s="7">
        <v>5</v>
      </c>
      <c r="M16" s="7">
        <v>15.120000000000001</v>
      </c>
      <c r="N16" s="7">
        <v>8</v>
      </c>
      <c r="O16" s="7">
        <v>18.400000000000002</v>
      </c>
      <c r="P16" s="7">
        <v>18</v>
      </c>
      <c r="Q16" s="7">
        <v>40</v>
      </c>
      <c r="R16" s="7">
        <v>1</v>
      </c>
      <c r="S16" s="7">
        <v>4.34</v>
      </c>
      <c r="T16" s="7"/>
      <c r="U16" s="7"/>
      <c r="V16" s="7">
        <v>17</v>
      </c>
      <c r="W16" s="7">
        <v>14.720000000000002</v>
      </c>
      <c r="X16" s="7">
        <v>12</v>
      </c>
      <c r="Y16" s="7">
        <v>30</v>
      </c>
      <c r="Z16" s="7">
        <v>0</v>
      </c>
      <c r="AA16" s="7">
        <v>13</v>
      </c>
      <c r="AB16" s="7">
        <v>0</v>
      </c>
      <c r="AC16" s="7">
        <v>5</v>
      </c>
      <c r="AD16" s="7">
        <v>5</v>
      </c>
    </row>
    <row r="17" spans="1:30">
      <c r="A17" s="9" t="s">
        <v>11</v>
      </c>
      <c r="B17" s="7" t="s">
        <v>16</v>
      </c>
      <c r="C17" s="6" t="s">
        <v>13</v>
      </c>
      <c r="D17" s="7">
        <v>1</v>
      </c>
      <c r="E17" s="7">
        <v>163</v>
      </c>
      <c r="F17" s="7">
        <v>0</v>
      </c>
      <c r="G17" s="7">
        <v>0</v>
      </c>
      <c r="H17" s="7">
        <v>9</v>
      </c>
      <c r="I17" s="7">
        <v>88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0.92</v>
      </c>
      <c r="P17" s="7">
        <v>1</v>
      </c>
      <c r="Q17" s="7">
        <v>2</v>
      </c>
      <c r="R17" s="7">
        <v>0</v>
      </c>
      <c r="S17" s="7">
        <v>0</v>
      </c>
      <c r="T17" s="7">
        <v>1</v>
      </c>
      <c r="U17" s="7"/>
      <c r="V17" s="7">
        <v>0</v>
      </c>
      <c r="W17" s="7">
        <v>0.7360000000000001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</row>
    <row r="18" spans="1:30">
      <c r="A18" s="9" t="s">
        <v>11</v>
      </c>
      <c r="B18" s="7" t="s">
        <v>17</v>
      </c>
      <c r="C18" s="6" t="s">
        <v>59</v>
      </c>
      <c r="D18" s="7">
        <v>24</v>
      </c>
      <c r="E18" s="7">
        <v>123</v>
      </c>
      <c r="F18" s="7">
        <v>8</v>
      </c>
      <c r="G18" s="7">
        <v>23</v>
      </c>
      <c r="H18" s="7">
        <v>29</v>
      </c>
      <c r="I18" s="7">
        <v>159</v>
      </c>
      <c r="J18" s="7">
        <v>0</v>
      </c>
      <c r="K18" s="7">
        <v>17.849999999999998</v>
      </c>
      <c r="L18" s="7">
        <v>1</v>
      </c>
      <c r="M18" s="7">
        <v>16.064999999999998</v>
      </c>
      <c r="N18" s="7">
        <v>4</v>
      </c>
      <c r="O18" s="7">
        <v>8.74</v>
      </c>
      <c r="P18" s="7">
        <v>9</v>
      </c>
      <c r="Q18" s="7">
        <v>19</v>
      </c>
      <c r="R18" s="7">
        <v>0</v>
      </c>
      <c r="S18" s="7">
        <v>2.02</v>
      </c>
      <c r="T18" s="7"/>
      <c r="U18" s="7"/>
      <c r="V18" s="7">
        <v>1</v>
      </c>
      <c r="W18" s="7">
        <v>6.9920000000000009</v>
      </c>
      <c r="X18" s="7">
        <v>14</v>
      </c>
      <c r="Y18" s="7">
        <v>15</v>
      </c>
      <c r="Z18" s="7"/>
      <c r="AA18" s="7"/>
      <c r="AB18" s="7"/>
      <c r="AC18" s="7">
        <f t="shared" ref="AC18:AC21" si="1">+(M18*0.3)</f>
        <v>4.8194999999999988</v>
      </c>
      <c r="AD18" s="7">
        <v>5</v>
      </c>
    </row>
    <row r="19" spans="1:30">
      <c r="A19" s="9" t="s">
        <v>11</v>
      </c>
      <c r="B19" s="7" t="s">
        <v>17</v>
      </c>
      <c r="C19" s="6" t="s">
        <v>60</v>
      </c>
      <c r="D19" s="7">
        <v>62</v>
      </c>
      <c r="E19" s="7">
        <v>336</v>
      </c>
      <c r="F19" s="7">
        <v>35</v>
      </c>
      <c r="G19" s="7">
        <v>97</v>
      </c>
      <c r="H19" s="7">
        <v>66</v>
      </c>
      <c r="I19" s="7">
        <v>441</v>
      </c>
      <c r="J19" s="7">
        <v>0</v>
      </c>
      <c r="K19" s="7">
        <v>49.949999999999996</v>
      </c>
      <c r="L19" s="7">
        <v>12</v>
      </c>
      <c r="M19" s="7">
        <v>44.954999999999998</v>
      </c>
      <c r="N19" s="7">
        <v>2</v>
      </c>
      <c r="O19" s="7">
        <v>8.74</v>
      </c>
      <c r="P19" s="7">
        <v>10</v>
      </c>
      <c r="Q19" s="7">
        <v>19</v>
      </c>
      <c r="R19" s="7">
        <v>3</v>
      </c>
      <c r="S19" s="7">
        <v>5</v>
      </c>
      <c r="T19" s="7"/>
      <c r="U19" s="7"/>
      <c r="V19" s="7">
        <v>0</v>
      </c>
      <c r="W19" s="7">
        <v>6.9920000000000009</v>
      </c>
      <c r="X19" s="7">
        <v>6</v>
      </c>
      <c r="Y19" s="7">
        <v>36</v>
      </c>
      <c r="Z19" s="7"/>
      <c r="AA19" s="7"/>
      <c r="AB19" s="7"/>
      <c r="AC19" s="7">
        <f t="shared" si="1"/>
        <v>13.486499999999999</v>
      </c>
      <c r="AD19" s="7">
        <v>13</v>
      </c>
    </row>
    <row r="20" spans="1:30">
      <c r="A20" s="9" t="s">
        <v>11</v>
      </c>
      <c r="B20" s="7" t="s">
        <v>17</v>
      </c>
      <c r="C20" s="6" t="s">
        <v>61</v>
      </c>
      <c r="D20" s="7">
        <v>32</v>
      </c>
      <c r="E20" s="7">
        <v>176</v>
      </c>
      <c r="F20" s="7">
        <v>12</v>
      </c>
      <c r="G20" s="7">
        <v>33</v>
      </c>
      <c r="H20" s="7">
        <v>21</v>
      </c>
      <c r="I20" s="7">
        <v>195</v>
      </c>
      <c r="J20" s="7">
        <v>0</v>
      </c>
      <c r="K20" s="7">
        <v>15.899999999999999</v>
      </c>
      <c r="L20" s="7">
        <v>6</v>
      </c>
      <c r="M20" s="7">
        <v>14.309999999999999</v>
      </c>
      <c r="N20" s="7">
        <v>1</v>
      </c>
      <c r="O20" s="7">
        <v>3.68</v>
      </c>
      <c r="P20" s="7">
        <v>5</v>
      </c>
      <c r="Q20" s="7">
        <v>8</v>
      </c>
      <c r="R20" s="7">
        <v>6</v>
      </c>
      <c r="S20" s="7">
        <v>2.02</v>
      </c>
      <c r="T20" s="7"/>
      <c r="U20" s="7"/>
      <c r="V20" s="7">
        <v>1</v>
      </c>
      <c r="W20" s="7">
        <v>2.9440000000000004</v>
      </c>
      <c r="X20" s="7">
        <v>23</v>
      </c>
      <c r="Y20" s="7">
        <v>15</v>
      </c>
      <c r="Z20" s="7"/>
      <c r="AA20" s="7"/>
      <c r="AB20" s="7"/>
      <c r="AC20" s="7">
        <f t="shared" si="1"/>
        <v>4.2929999999999993</v>
      </c>
      <c r="AD20" s="7">
        <v>4</v>
      </c>
    </row>
    <row r="21" spans="1:30">
      <c r="A21" s="9" t="s">
        <v>11</v>
      </c>
      <c r="B21" s="7" t="s">
        <v>17</v>
      </c>
      <c r="C21" s="6" t="s">
        <v>13</v>
      </c>
      <c r="D21" s="7">
        <v>1</v>
      </c>
      <c r="E21" s="7">
        <v>182</v>
      </c>
      <c r="F21" s="7">
        <v>0</v>
      </c>
      <c r="G21" s="7">
        <v>1</v>
      </c>
      <c r="H21" s="7">
        <v>22</v>
      </c>
      <c r="I21" s="7">
        <v>71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1.3800000000000001</v>
      </c>
      <c r="P21" s="7">
        <v>1</v>
      </c>
      <c r="Q21" s="7">
        <v>3</v>
      </c>
      <c r="R21" s="7">
        <v>1</v>
      </c>
      <c r="S21" s="7">
        <v>0</v>
      </c>
      <c r="T21" s="7">
        <v>4</v>
      </c>
      <c r="U21" s="7"/>
      <c r="V21" s="7">
        <v>0</v>
      </c>
      <c r="W21" s="7">
        <v>1.1040000000000001</v>
      </c>
      <c r="X21" s="7">
        <v>0</v>
      </c>
      <c r="Y21" s="7">
        <v>0</v>
      </c>
      <c r="Z21" s="7"/>
      <c r="AA21" s="7"/>
      <c r="AB21" s="7"/>
      <c r="AC21" s="7">
        <f t="shared" si="1"/>
        <v>0</v>
      </c>
      <c r="AD21" s="7">
        <v>0</v>
      </c>
    </row>
    <row r="22" spans="1:30">
      <c r="A22" s="9" t="s">
        <v>11</v>
      </c>
      <c r="B22" s="7" t="s">
        <v>143</v>
      </c>
      <c r="C22" s="6" t="s">
        <v>13</v>
      </c>
      <c r="D22" s="7">
        <v>43</v>
      </c>
      <c r="E22" s="7">
        <v>694</v>
      </c>
      <c r="F22" s="7">
        <v>1</v>
      </c>
      <c r="G22" s="7">
        <v>10</v>
      </c>
      <c r="H22" s="7">
        <v>53</v>
      </c>
      <c r="I22" s="7">
        <v>442</v>
      </c>
      <c r="J22" s="7">
        <v>0</v>
      </c>
      <c r="K22" s="7">
        <v>0</v>
      </c>
      <c r="L22" s="7">
        <v>0</v>
      </c>
      <c r="M22" s="7">
        <v>0</v>
      </c>
      <c r="N22" s="7">
        <v>1</v>
      </c>
      <c r="O22" s="7">
        <v>5.98</v>
      </c>
      <c r="P22" s="7">
        <v>4</v>
      </c>
      <c r="Q22" s="7">
        <v>13</v>
      </c>
      <c r="R22" s="7">
        <v>0</v>
      </c>
      <c r="S22" s="7">
        <v>0</v>
      </c>
      <c r="T22" s="7"/>
      <c r="U22" s="7"/>
      <c r="V22" s="7">
        <v>0</v>
      </c>
      <c r="W22" s="7">
        <v>4.7840000000000007</v>
      </c>
      <c r="X22" s="7"/>
      <c r="Y22" s="7">
        <v>0</v>
      </c>
      <c r="Z22" s="7">
        <v>0</v>
      </c>
      <c r="AA22" s="7">
        <v>0</v>
      </c>
      <c r="AB22" s="7"/>
      <c r="AC22" s="7">
        <v>0</v>
      </c>
      <c r="AD22" s="7"/>
    </row>
    <row r="23" spans="1:30">
      <c r="A23" s="9" t="s">
        <v>18</v>
      </c>
      <c r="B23" s="7" t="s">
        <v>19</v>
      </c>
      <c r="C23" s="6" t="s">
        <v>62</v>
      </c>
      <c r="D23" s="7">
        <v>10</v>
      </c>
      <c r="E23" s="7">
        <v>405</v>
      </c>
      <c r="F23" s="7">
        <v>8</v>
      </c>
      <c r="G23" s="7">
        <v>20</v>
      </c>
      <c r="H23" s="7">
        <v>22</v>
      </c>
      <c r="I23" s="7">
        <v>403</v>
      </c>
      <c r="J23" s="7">
        <v>46</v>
      </c>
      <c r="K23" s="7">
        <v>14.399999999999999</v>
      </c>
      <c r="L23" s="7">
        <v>0</v>
      </c>
      <c r="M23" s="7">
        <v>12.959999999999999</v>
      </c>
      <c r="N23" s="7">
        <v>0</v>
      </c>
      <c r="O23" s="7">
        <v>4.6000000000000005</v>
      </c>
      <c r="P23" s="7">
        <v>1</v>
      </c>
      <c r="Q23" s="7">
        <v>10</v>
      </c>
      <c r="R23" s="7">
        <v>0</v>
      </c>
      <c r="S23" s="7">
        <v>12.4</v>
      </c>
      <c r="T23" s="7"/>
      <c r="U23" s="7"/>
      <c r="V23" s="7">
        <v>70</v>
      </c>
      <c r="W23" s="7">
        <v>3.6800000000000006</v>
      </c>
      <c r="X23" s="7">
        <v>68</v>
      </c>
      <c r="Y23" s="7">
        <v>90</v>
      </c>
      <c r="Z23" s="7">
        <v>2</v>
      </c>
      <c r="AA23" s="7">
        <v>16</v>
      </c>
      <c r="AB23" s="7">
        <v>5</v>
      </c>
      <c r="AC23" s="7">
        <v>5</v>
      </c>
      <c r="AD23" s="7">
        <v>4</v>
      </c>
    </row>
    <row r="24" spans="1:30">
      <c r="A24" s="9" t="s">
        <v>18</v>
      </c>
      <c r="B24" s="7" t="s">
        <v>19</v>
      </c>
      <c r="C24" s="6" t="s">
        <v>63</v>
      </c>
      <c r="D24" s="7">
        <v>67</v>
      </c>
      <c r="E24" s="7">
        <v>857</v>
      </c>
      <c r="F24" s="7">
        <v>28</v>
      </c>
      <c r="G24" s="7">
        <v>98</v>
      </c>
      <c r="H24" s="7">
        <v>70</v>
      </c>
      <c r="I24" s="7">
        <v>905</v>
      </c>
      <c r="J24" s="7">
        <v>27</v>
      </c>
      <c r="K24" s="7">
        <v>34.049999999999997</v>
      </c>
      <c r="L24" s="7">
        <v>6</v>
      </c>
      <c r="M24" s="7">
        <v>30.645</v>
      </c>
      <c r="N24" s="7">
        <v>2</v>
      </c>
      <c r="O24" s="7">
        <v>10.120000000000001</v>
      </c>
      <c r="P24" s="7">
        <v>2</v>
      </c>
      <c r="Q24" s="7">
        <v>22</v>
      </c>
      <c r="R24" s="7">
        <v>0</v>
      </c>
      <c r="S24" s="7">
        <v>6.14</v>
      </c>
      <c r="T24" s="7"/>
      <c r="U24" s="7"/>
      <c r="V24" s="7">
        <v>7</v>
      </c>
      <c r="W24" s="7">
        <v>8.0960000000000019</v>
      </c>
      <c r="X24" s="7">
        <v>55</v>
      </c>
      <c r="Y24" s="7">
        <v>50</v>
      </c>
      <c r="Z24" s="7">
        <v>4</v>
      </c>
      <c r="AA24" s="7">
        <v>7</v>
      </c>
      <c r="AB24" s="7">
        <v>4</v>
      </c>
      <c r="AC24" s="7">
        <v>6</v>
      </c>
      <c r="AD24" s="7">
        <v>15</v>
      </c>
    </row>
    <row r="25" spans="1:30">
      <c r="A25" s="9" t="s">
        <v>18</v>
      </c>
      <c r="B25" s="7" t="s">
        <v>19</v>
      </c>
      <c r="C25" s="6" t="s">
        <v>64</v>
      </c>
      <c r="D25" s="7">
        <v>18</v>
      </c>
      <c r="E25" s="7">
        <v>213</v>
      </c>
      <c r="F25" s="7">
        <v>25</v>
      </c>
      <c r="G25" s="7">
        <v>46</v>
      </c>
      <c r="H25" s="7">
        <v>12</v>
      </c>
      <c r="I25" s="7">
        <v>296</v>
      </c>
      <c r="J25" s="7">
        <v>13</v>
      </c>
      <c r="K25" s="7">
        <v>10.799999999999999</v>
      </c>
      <c r="L25" s="7">
        <v>18</v>
      </c>
      <c r="M25" s="7">
        <v>9.7199999999999989</v>
      </c>
      <c r="N25" s="7">
        <v>1</v>
      </c>
      <c r="O25" s="7">
        <v>5.0600000000000005</v>
      </c>
      <c r="P25" s="7">
        <v>0</v>
      </c>
      <c r="Q25" s="7">
        <v>11</v>
      </c>
      <c r="R25" s="7">
        <v>0</v>
      </c>
      <c r="S25" s="7">
        <v>2.08</v>
      </c>
      <c r="T25" s="7"/>
      <c r="U25" s="7"/>
      <c r="V25" s="7">
        <v>4</v>
      </c>
      <c r="W25" s="7">
        <v>4.0480000000000009</v>
      </c>
      <c r="X25" s="7">
        <v>29</v>
      </c>
      <c r="Y25" s="7">
        <v>16</v>
      </c>
      <c r="Z25" s="7">
        <v>13</v>
      </c>
      <c r="AA25" s="7">
        <v>9</v>
      </c>
      <c r="AB25" s="7">
        <v>3</v>
      </c>
      <c r="AC25" s="7">
        <v>8</v>
      </c>
      <c r="AD25" s="7">
        <v>5</v>
      </c>
    </row>
    <row r="26" spans="1:30">
      <c r="A26" s="9" t="s">
        <v>18</v>
      </c>
      <c r="B26" s="7" t="s">
        <v>19</v>
      </c>
      <c r="C26" s="6" t="s">
        <v>65</v>
      </c>
      <c r="D26" s="7">
        <v>69</v>
      </c>
      <c r="E26" s="7">
        <v>1100</v>
      </c>
      <c r="F26" s="7">
        <v>41</v>
      </c>
      <c r="G26" s="7">
        <v>120</v>
      </c>
      <c r="H26" s="7">
        <v>63</v>
      </c>
      <c r="I26" s="7">
        <v>1149</v>
      </c>
      <c r="J26" s="7">
        <v>0</v>
      </c>
      <c r="K26" s="7">
        <v>16.95</v>
      </c>
      <c r="L26" s="7">
        <v>0</v>
      </c>
      <c r="M26" s="7">
        <v>15.254999999999999</v>
      </c>
      <c r="N26" s="7">
        <v>19</v>
      </c>
      <c r="O26" s="7">
        <v>19.78</v>
      </c>
      <c r="P26" s="7">
        <v>18</v>
      </c>
      <c r="Q26" s="7">
        <v>43</v>
      </c>
      <c r="R26" s="7">
        <v>3</v>
      </c>
      <c r="S26" s="7">
        <v>10.5</v>
      </c>
      <c r="T26" s="7"/>
      <c r="U26" s="7"/>
      <c r="V26" s="7">
        <v>25</v>
      </c>
      <c r="W26" s="7">
        <v>15.824000000000002</v>
      </c>
      <c r="X26" s="7">
        <v>2</v>
      </c>
      <c r="Y26" s="7">
        <v>80</v>
      </c>
      <c r="Z26" s="7"/>
      <c r="AA26" s="7"/>
      <c r="AB26" s="7"/>
      <c r="AC26" s="7">
        <v>2</v>
      </c>
      <c r="AD26" s="7">
        <v>3</v>
      </c>
    </row>
    <row r="27" spans="1:30">
      <c r="A27" s="9" t="s">
        <v>18</v>
      </c>
      <c r="B27" s="7" t="s">
        <v>19</v>
      </c>
      <c r="C27" s="6" t="s">
        <v>66</v>
      </c>
      <c r="D27" s="7">
        <v>80</v>
      </c>
      <c r="E27" s="7">
        <v>464</v>
      </c>
      <c r="F27" s="7">
        <v>48</v>
      </c>
      <c r="G27" s="7">
        <v>76</v>
      </c>
      <c r="H27" s="7">
        <v>39</v>
      </c>
      <c r="I27" s="7">
        <v>594</v>
      </c>
      <c r="J27" s="7">
        <v>32</v>
      </c>
      <c r="K27" s="7">
        <v>16.5</v>
      </c>
      <c r="L27" s="7">
        <v>21</v>
      </c>
      <c r="M27" s="7">
        <v>14.85</v>
      </c>
      <c r="N27" s="7">
        <v>1</v>
      </c>
      <c r="O27" s="7">
        <v>6.9</v>
      </c>
      <c r="P27" s="7">
        <v>2</v>
      </c>
      <c r="Q27" s="7">
        <v>15</v>
      </c>
      <c r="R27" s="7">
        <v>3</v>
      </c>
      <c r="S27" s="7">
        <v>12.04</v>
      </c>
      <c r="T27" s="7"/>
      <c r="U27" s="7"/>
      <c r="V27" s="7">
        <v>2</v>
      </c>
      <c r="W27" s="7">
        <v>5.5200000000000005</v>
      </c>
      <c r="X27" s="7">
        <v>43</v>
      </c>
      <c r="Y27" s="7">
        <v>100</v>
      </c>
      <c r="Z27" s="7">
        <v>28</v>
      </c>
      <c r="AA27" s="7">
        <v>35</v>
      </c>
      <c r="AB27" s="7">
        <v>1</v>
      </c>
      <c r="AC27" s="7">
        <v>8</v>
      </c>
      <c r="AD27" s="7">
        <v>9</v>
      </c>
    </row>
    <row r="28" spans="1:30">
      <c r="A28" s="9" t="s">
        <v>18</v>
      </c>
      <c r="B28" s="7" t="s">
        <v>19</v>
      </c>
      <c r="C28" s="6" t="s">
        <v>67</v>
      </c>
      <c r="D28" s="7">
        <v>15</v>
      </c>
      <c r="E28" s="7">
        <v>299</v>
      </c>
      <c r="F28" s="7">
        <v>8</v>
      </c>
      <c r="G28" s="7">
        <v>46</v>
      </c>
      <c r="H28" s="7">
        <v>21</v>
      </c>
      <c r="I28" s="7">
        <v>280</v>
      </c>
      <c r="J28" s="7">
        <v>3</v>
      </c>
      <c r="K28" s="7">
        <v>10.199999999999999</v>
      </c>
      <c r="L28" s="7">
        <v>2</v>
      </c>
      <c r="M28" s="7">
        <v>9.18</v>
      </c>
      <c r="N28" s="7">
        <v>1</v>
      </c>
      <c r="O28" s="7">
        <v>7.36</v>
      </c>
      <c r="P28" s="7">
        <v>4</v>
      </c>
      <c r="Q28" s="7">
        <v>16</v>
      </c>
      <c r="R28" s="7">
        <v>0</v>
      </c>
      <c r="S28" s="7">
        <v>2.16</v>
      </c>
      <c r="T28" s="7"/>
      <c r="U28" s="7"/>
      <c r="V28" s="7">
        <v>8</v>
      </c>
      <c r="W28" s="7">
        <v>5.8880000000000008</v>
      </c>
      <c r="X28" s="7">
        <v>1</v>
      </c>
      <c r="Y28" s="7">
        <v>15</v>
      </c>
      <c r="Z28" s="7">
        <v>1</v>
      </c>
      <c r="AA28" s="7">
        <v>9</v>
      </c>
      <c r="AB28" s="7">
        <v>1</v>
      </c>
      <c r="AC28" s="7">
        <v>8</v>
      </c>
      <c r="AD28" s="7">
        <v>5</v>
      </c>
    </row>
    <row r="29" spans="1:30">
      <c r="A29" s="9" t="s">
        <v>18</v>
      </c>
      <c r="B29" s="7" t="s">
        <v>19</v>
      </c>
      <c r="C29" s="6" t="s">
        <v>68</v>
      </c>
      <c r="D29" s="7">
        <v>98</v>
      </c>
      <c r="E29" s="7">
        <v>560</v>
      </c>
      <c r="F29" s="7">
        <v>57</v>
      </c>
      <c r="G29" s="7">
        <v>150</v>
      </c>
      <c r="H29" s="7">
        <v>84</v>
      </c>
      <c r="I29" s="7">
        <v>913</v>
      </c>
      <c r="J29" s="7">
        <v>70</v>
      </c>
      <c r="K29" s="7">
        <v>46.05</v>
      </c>
      <c r="L29" s="7">
        <v>40</v>
      </c>
      <c r="M29" s="7">
        <v>41.445</v>
      </c>
      <c r="N29" s="7">
        <v>6</v>
      </c>
      <c r="O29" s="7">
        <v>21.62</v>
      </c>
      <c r="P29" s="7">
        <v>12</v>
      </c>
      <c r="Q29" s="7">
        <v>47</v>
      </c>
      <c r="R29" s="7">
        <v>8</v>
      </c>
      <c r="S29" s="7">
        <v>12.2</v>
      </c>
      <c r="T29" s="7"/>
      <c r="U29" s="7"/>
      <c r="V29" s="7">
        <v>10</v>
      </c>
      <c r="W29" s="7">
        <v>17.296000000000003</v>
      </c>
      <c r="X29" s="7">
        <v>84</v>
      </c>
      <c r="Y29" s="7">
        <v>99</v>
      </c>
      <c r="Z29" s="7">
        <v>9</v>
      </c>
      <c r="AA29" s="7">
        <v>25</v>
      </c>
      <c r="AB29" s="7">
        <v>0</v>
      </c>
      <c r="AC29" s="7">
        <f>+(M29*0.3)</f>
        <v>12.4335</v>
      </c>
      <c r="AD29" s="7">
        <v>15</v>
      </c>
    </row>
    <row r="30" spans="1:30">
      <c r="A30" s="9" t="s">
        <v>18</v>
      </c>
      <c r="B30" s="7" t="s">
        <v>19</v>
      </c>
      <c r="C30" s="6" t="s">
        <v>69</v>
      </c>
      <c r="D30" s="7">
        <v>25</v>
      </c>
      <c r="E30" s="7">
        <v>532</v>
      </c>
      <c r="F30" s="7">
        <v>36</v>
      </c>
      <c r="G30" s="7">
        <v>87</v>
      </c>
      <c r="H30" s="7">
        <v>23</v>
      </c>
      <c r="I30" s="7">
        <v>665</v>
      </c>
      <c r="J30" s="7">
        <v>28</v>
      </c>
      <c r="K30" s="7">
        <v>9</v>
      </c>
      <c r="L30" s="7">
        <v>0</v>
      </c>
      <c r="M30" s="7">
        <v>8.1</v>
      </c>
      <c r="N30" s="7">
        <v>2</v>
      </c>
      <c r="O30" s="7">
        <v>7.82</v>
      </c>
      <c r="P30" s="7">
        <v>2</v>
      </c>
      <c r="Q30" s="7">
        <v>17</v>
      </c>
      <c r="R30" s="7">
        <v>2</v>
      </c>
      <c r="S30" s="7">
        <v>3.04</v>
      </c>
      <c r="T30" s="7"/>
      <c r="U30" s="7"/>
      <c r="V30" s="7">
        <v>2</v>
      </c>
      <c r="W30" s="7">
        <v>6.2560000000000002</v>
      </c>
      <c r="X30" s="7">
        <v>10</v>
      </c>
      <c r="Y30" s="7">
        <v>20</v>
      </c>
      <c r="Z30" s="7">
        <v>3</v>
      </c>
      <c r="AA30" s="7">
        <v>12</v>
      </c>
      <c r="AB30" s="7">
        <v>0</v>
      </c>
      <c r="AC30" s="7">
        <v>1</v>
      </c>
      <c r="AD30" s="7">
        <v>6</v>
      </c>
    </row>
    <row r="31" spans="1:30">
      <c r="A31" s="9" t="s">
        <v>18</v>
      </c>
      <c r="B31" s="7" t="s">
        <v>19</v>
      </c>
      <c r="C31" s="6" t="s">
        <v>13</v>
      </c>
      <c r="D31" s="7">
        <v>17</v>
      </c>
      <c r="E31" s="7">
        <v>1185</v>
      </c>
      <c r="F31" s="7">
        <v>0</v>
      </c>
      <c r="G31" s="7">
        <v>5</v>
      </c>
      <c r="H31" s="7">
        <v>49</v>
      </c>
      <c r="I31" s="7">
        <v>821</v>
      </c>
      <c r="J31" s="7">
        <v>0</v>
      </c>
      <c r="K31" s="7">
        <v>0</v>
      </c>
      <c r="L31" s="7">
        <v>0</v>
      </c>
      <c r="M31" s="7">
        <v>0</v>
      </c>
      <c r="N31" s="7">
        <v>2</v>
      </c>
      <c r="O31" s="7">
        <v>8.2800000000000011</v>
      </c>
      <c r="P31" s="7">
        <v>3</v>
      </c>
      <c r="Q31" s="7">
        <v>18</v>
      </c>
      <c r="R31" s="7">
        <v>0</v>
      </c>
      <c r="S31" s="7">
        <v>0</v>
      </c>
      <c r="T31" s="7">
        <v>1</v>
      </c>
      <c r="U31" s="7"/>
      <c r="V31" s="7">
        <v>0</v>
      </c>
      <c r="W31" s="7">
        <v>6.6240000000000014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/>
    </row>
    <row r="32" spans="1:30">
      <c r="A32" s="9" t="s">
        <v>18</v>
      </c>
      <c r="B32" s="7" t="s">
        <v>20</v>
      </c>
      <c r="C32" s="6" t="s">
        <v>70</v>
      </c>
      <c r="D32" s="7">
        <v>16</v>
      </c>
      <c r="E32" s="7">
        <v>49</v>
      </c>
      <c r="F32" s="7">
        <v>7</v>
      </c>
      <c r="G32" s="7">
        <v>15</v>
      </c>
      <c r="H32" s="7">
        <v>11</v>
      </c>
      <c r="I32" s="7">
        <v>85</v>
      </c>
      <c r="J32" s="7">
        <v>0</v>
      </c>
      <c r="K32" s="7">
        <v>16.05</v>
      </c>
      <c r="L32" s="7">
        <v>0</v>
      </c>
      <c r="M32" s="7">
        <v>14.445</v>
      </c>
      <c r="N32" s="7">
        <v>2</v>
      </c>
      <c r="O32" s="7">
        <v>1.84</v>
      </c>
      <c r="P32" s="7">
        <v>2</v>
      </c>
      <c r="Q32" s="7">
        <v>4</v>
      </c>
      <c r="R32" s="7">
        <v>0</v>
      </c>
      <c r="S32" s="7">
        <v>1.6600000000000001</v>
      </c>
      <c r="T32" s="7"/>
      <c r="U32" s="7"/>
      <c r="V32" s="7">
        <v>33</v>
      </c>
      <c r="W32" s="7">
        <v>1.4720000000000002</v>
      </c>
      <c r="X32" s="7">
        <v>0</v>
      </c>
      <c r="Y32" s="7">
        <v>6</v>
      </c>
      <c r="Z32" s="7"/>
      <c r="AA32" s="7"/>
      <c r="AB32" s="7">
        <v>0</v>
      </c>
      <c r="AC32" s="7">
        <v>1</v>
      </c>
      <c r="AD32" s="7">
        <v>4</v>
      </c>
    </row>
    <row r="33" spans="1:30">
      <c r="A33" s="9" t="s">
        <v>18</v>
      </c>
      <c r="B33" s="7" t="s">
        <v>20</v>
      </c>
      <c r="C33" s="6" t="s">
        <v>71</v>
      </c>
      <c r="D33" s="7">
        <v>32</v>
      </c>
      <c r="E33" s="7">
        <v>122</v>
      </c>
      <c r="F33" s="7">
        <v>12</v>
      </c>
      <c r="G33" s="7">
        <v>33</v>
      </c>
      <c r="H33" s="7">
        <v>8</v>
      </c>
      <c r="I33" s="7">
        <v>180</v>
      </c>
      <c r="J33" s="7">
        <v>0</v>
      </c>
      <c r="K33" s="7">
        <v>5.0999999999999996</v>
      </c>
      <c r="L33" s="7">
        <v>1</v>
      </c>
      <c r="M33" s="7">
        <v>4.59</v>
      </c>
      <c r="N33" s="7">
        <v>2</v>
      </c>
      <c r="O33" s="7">
        <v>4.6000000000000005</v>
      </c>
      <c r="P33" s="7">
        <v>0</v>
      </c>
      <c r="Q33" s="7">
        <v>10</v>
      </c>
      <c r="R33" s="7">
        <v>1</v>
      </c>
      <c r="S33" s="7">
        <v>1.26</v>
      </c>
      <c r="T33" s="7"/>
      <c r="U33" s="7"/>
      <c r="V33" s="7">
        <v>13</v>
      </c>
      <c r="W33" s="7">
        <v>3.6800000000000006</v>
      </c>
      <c r="X33" s="7">
        <v>11</v>
      </c>
      <c r="Y33" s="7">
        <v>5</v>
      </c>
      <c r="Z33" s="7"/>
      <c r="AA33" s="7"/>
      <c r="AB33" s="7">
        <v>4</v>
      </c>
      <c r="AC33" s="7">
        <v>19</v>
      </c>
      <c r="AD33" s="7">
        <v>2</v>
      </c>
    </row>
    <row r="34" spans="1:30">
      <c r="A34" s="9" t="s">
        <v>18</v>
      </c>
      <c r="B34" s="7" t="s">
        <v>20</v>
      </c>
      <c r="C34" s="6" t="s">
        <v>72</v>
      </c>
      <c r="D34" s="7">
        <v>108</v>
      </c>
      <c r="E34" s="7">
        <v>150</v>
      </c>
      <c r="F34" s="7">
        <v>39</v>
      </c>
      <c r="G34" s="7">
        <v>157</v>
      </c>
      <c r="H34" s="7">
        <v>51</v>
      </c>
      <c r="I34" s="7">
        <v>373</v>
      </c>
      <c r="J34" s="7">
        <v>17</v>
      </c>
      <c r="K34" s="7">
        <v>44.699999999999996</v>
      </c>
      <c r="L34" s="7">
        <v>8</v>
      </c>
      <c r="M34" s="7">
        <v>40.229999999999997</v>
      </c>
      <c r="N34" s="7">
        <v>4</v>
      </c>
      <c r="O34" s="7">
        <v>5.98</v>
      </c>
      <c r="P34" s="7">
        <v>2</v>
      </c>
      <c r="Q34" s="7">
        <v>13</v>
      </c>
      <c r="R34" s="7">
        <v>3</v>
      </c>
      <c r="S34" s="7">
        <v>6.88</v>
      </c>
      <c r="T34" s="7"/>
      <c r="U34" s="7"/>
      <c r="V34" s="7">
        <v>44</v>
      </c>
      <c r="W34" s="7">
        <v>4.7840000000000007</v>
      </c>
      <c r="X34" s="7">
        <v>26</v>
      </c>
      <c r="Y34" s="7">
        <v>48</v>
      </c>
      <c r="Z34" s="7">
        <v>1</v>
      </c>
      <c r="AA34" s="7">
        <v>7</v>
      </c>
      <c r="AB34" s="7">
        <v>1</v>
      </c>
      <c r="AC34" s="7">
        <v>19</v>
      </c>
      <c r="AD34" s="7">
        <v>12</v>
      </c>
    </row>
    <row r="35" spans="1:30">
      <c r="A35" s="9" t="s">
        <v>18</v>
      </c>
      <c r="B35" s="7" t="s">
        <v>20</v>
      </c>
      <c r="C35" s="6" t="s">
        <v>13</v>
      </c>
      <c r="D35" s="7">
        <v>1</v>
      </c>
      <c r="E35" s="7">
        <v>63</v>
      </c>
      <c r="F35" s="7">
        <v>0</v>
      </c>
      <c r="G35" s="7">
        <v>1</v>
      </c>
      <c r="H35" s="7">
        <v>3</v>
      </c>
      <c r="I35" s="7">
        <v>49</v>
      </c>
      <c r="J35" s="7">
        <v>0</v>
      </c>
      <c r="K35" s="7">
        <v>0</v>
      </c>
      <c r="L35" s="7">
        <v>0</v>
      </c>
      <c r="M35" s="7">
        <v>0</v>
      </c>
      <c r="N35" s="7">
        <v>1</v>
      </c>
      <c r="O35" s="7">
        <v>0.46</v>
      </c>
      <c r="P35" s="7">
        <v>0</v>
      </c>
      <c r="Q35" s="7">
        <v>1</v>
      </c>
      <c r="R35" s="7">
        <v>0</v>
      </c>
      <c r="S35" s="7">
        <v>0</v>
      </c>
      <c r="T35" s="7">
        <v>0</v>
      </c>
      <c r="U35" s="7"/>
      <c r="V35" s="7">
        <v>0</v>
      </c>
      <c r="W35" s="7">
        <v>0.36800000000000005</v>
      </c>
      <c r="X35" s="7">
        <v>0</v>
      </c>
      <c r="Y35" s="7">
        <v>0</v>
      </c>
      <c r="Z35" s="7"/>
      <c r="AA35" s="7"/>
      <c r="AB35" s="7">
        <v>0</v>
      </c>
      <c r="AC35" s="7">
        <v>0</v>
      </c>
      <c r="AD35" s="7"/>
    </row>
    <row r="36" spans="1:30">
      <c r="A36" s="9" t="s">
        <v>18</v>
      </c>
      <c r="B36" s="7" t="s">
        <v>21</v>
      </c>
      <c r="C36" s="6" t="s">
        <v>73</v>
      </c>
      <c r="D36" s="7">
        <v>6</v>
      </c>
      <c r="E36" s="7">
        <v>75</v>
      </c>
      <c r="F36" s="7">
        <v>13</v>
      </c>
      <c r="G36" s="7">
        <v>41</v>
      </c>
      <c r="H36" s="7">
        <v>18</v>
      </c>
      <c r="I36" s="7">
        <v>154</v>
      </c>
      <c r="J36" s="7">
        <v>0</v>
      </c>
      <c r="K36" s="7">
        <v>13.799999999999999</v>
      </c>
      <c r="L36" s="7">
        <v>0</v>
      </c>
      <c r="M36" s="7">
        <v>12.42</v>
      </c>
      <c r="N36" s="7">
        <v>1</v>
      </c>
      <c r="O36" s="7">
        <v>5.98</v>
      </c>
      <c r="P36" s="7">
        <v>5</v>
      </c>
      <c r="Q36" s="7">
        <v>13</v>
      </c>
      <c r="R36" s="7">
        <v>3</v>
      </c>
      <c r="S36" s="7">
        <v>2.04</v>
      </c>
      <c r="T36" s="7"/>
      <c r="U36" s="7"/>
      <c r="V36" s="7">
        <v>2</v>
      </c>
      <c r="W36" s="7">
        <v>4.7840000000000007</v>
      </c>
      <c r="X36" s="7">
        <v>3</v>
      </c>
      <c r="Y36" s="7">
        <v>15</v>
      </c>
      <c r="Z36" s="7">
        <v>0</v>
      </c>
      <c r="AA36" s="7">
        <v>4</v>
      </c>
      <c r="AB36" s="7">
        <v>0</v>
      </c>
      <c r="AC36" s="7">
        <v>6</v>
      </c>
      <c r="AD36" s="7">
        <v>6</v>
      </c>
    </row>
    <row r="37" spans="1:30">
      <c r="A37" s="9" t="s">
        <v>18</v>
      </c>
      <c r="B37" s="7" t="s">
        <v>21</v>
      </c>
      <c r="C37" s="6" t="s">
        <v>74</v>
      </c>
      <c r="D37" s="7">
        <v>8</v>
      </c>
      <c r="E37" s="7">
        <v>13</v>
      </c>
      <c r="F37" s="7">
        <v>6</v>
      </c>
      <c r="G37" s="7">
        <v>10</v>
      </c>
      <c r="H37" s="7">
        <v>1</v>
      </c>
      <c r="I37" s="7">
        <v>25</v>
      </c>
      <c r="J37" s="7">
        <v>0</v>
      </c>
      <c r="K37" s="7">
        <v>4.2</v>
      </c>
      <c r="L37" s="7">
        <v>0</v>
      </c>
      <c r="M37" s="7">
        <v>3.7800000000000002</v>
      </c>
      <c r="N37" s="7">
        <v>0</v>
      </c>
      <c r="O37" s="7">
        <v>0.92</v>
      </c>
      <c r="P37" s="7">
        <v>1</v>
      </c>
      <c r="Q37" s="7">
        <v>2</v>
      </c>
      <c r="R37" s="7">
        <v>0</v>
      </c>
      <c r="S37" s="7">
        <v>1</v>
      </c>
      <c r="T37" s="7"/>
      <c r="U37" s="7"/>
      <c r="V37" s="7">
        <v>0</v>
      </c>
      <c r="W37" s="7">
        <v>0.7360000000000001</v>
      </c>
      <c r="X37" s="7">
        <v>1</v>
      </c>
      <c r="Y37" s="7">
        <v>4</v>
      </c>
      <c r="Z37" s="7">
        <v>0</v>
      </c>
      <c r="AA37" s="7">
        <v>3</v>
      </c>
      <c r="AB37" s="7">
        <v>0</v>
      </c>
      <c r="AC37" s="7">
        <v>3</v>
      </c>
      <c r="AD37" s="7">
        <v>3</v>
      </c>
    </row>
    <row r="38" spans="1:30">
      <c r="A38" s="9" t="s">
        <v>18</v>
      </c>
      <c r="B38" s="7" t="s">
        <v>21</v>
      </c>
      <c r="C38" s="6" t="s">
        <v>75</v>
      </c>
      <c r="D38" s="7">
        <v>6</v>
      </c>
      <c r="E38" s="7">
        <v>-3</v>
      </c>
      <c r="F38" s="7">
        <v>3</v>
      </c>
      <c r="G38" s="7">
        <v>15</v>
      </c>
      <c r="H38" s="7">
        <v>6</v>
      </c>
      <c r="I38" s="7">
        <v>29</v>
      </c>
      <c r="J38" s="7">
        <v>0</v>
      </c>
      <c r="K38" s="7">
        <v>6.1499999999999995</v>
      </c>
      <c r="L38" s="7">
        <v>0</v>
      </c>
      <c r="M38" s="7">
        <v>5.5349999999999993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1</v>
      </c>
      <c r="T38" s="7"/>
      <c r="U38" s="7"/>
      <c r="V38" s="7">
        <v>0</v>
      </c>
      <c r="W38" s="7">
        <v>0</v>
      </c>
      <c r="X38" s="7">
        <v>0</v>
      </c>
      <c r="Y38" s="7">
        <v>7</v>
      </c>
      <c r="Z38" s="7">
        <v>0</v>
      </c>
      <c r="AA38" s="7">
        <v>2</v>
      </c>
      <c r="AB38" s="7">
        <v>1</v>
      </c>
      <c r="AC38" s="7">
        <v>5</v>
      </c>
      <c r="AD38" s="7">
        <v>2</v>
      </c>
    </row>
    <row r="39" spans="1:30">
      <c r="A39" s="9" t="s">
        <v>18</v>
      </c>
      <c r="B39" s="7" t="s">
        <v>21</v>
      </c>
      <c r="C39" s="6" t="s">
        <v>76</v>
      </c>
      <c r="D39" s="7">
        <v>13</v>
      </c>
      <c r="E39" s="7">
        <v>28</v>
      </c>
      <c r="F39" s="7">
        <v>9</v>
      </c>
      <c r="G39" s="7">
        <v>40</v>
      </c>
      <c r="H39" s="7">
        <v>11</v>
      </c>
      <c r="I39" s="7">
        <v>91</v>
      </c>
      <c r="J39" s="7">
        <v>0</v>
      </c>
      <c r="K39" s="7">
        <v>12</v>
      </c>
      <c r="L39" s="7">
        <v>2</v>
      </c>
      <c r="M39" s="7">
        <v>10.8</v>
      </c>
      <c r="N39" s="7">
        <v>2</v>
      </c>
      <c r="O39" s="7">
        <v>2.3000000000000003</v>
      </c>
      <c r="P39" s="7">
        <v>1</v>
      </c>
      <c r="Q39" s="7">
        <v>5</v>
      </c>
      <c r="R39" s="7">
        <v>1</v>
      </c>
      <c r="S39" s="7">
        <v>1.08</v>
      </c>
      <c r="T39" s="7"/>
      <c r="U39" s="7"/>
      <c r="V39" s="7">
        <v>4</v>
      </c>
      <c r="W39" s="7">
        <v>1.8400000000000003</v>
      </c>
      <c r="X39" s="7">
        <v>8</v>
      </c>
      <c r="Y39" s="7">
        <v>8</v>
      </c>
      <c r="Z39" s="7">
        <v>3</v>
      </c>
      <c r="AA39" s="7">
        <v>5</v>
      </c>
      <c r="AB39" s="7">
        <v>3</v>
      </c>
      <c r="AC39" s="7">
        <v>4</v>
      </c>
      <c r="AD39" s="7">
        <v>2</v>
      </c>
    </row>
    <row r="40" spans="1:30">
      <c r="A40" s="9" t="s">
        <v>18</v>
      </c>
      <c r="B40" s="7" t="s">
        <v>21</v>
      </c>
      <c r="C40" s="6" t="s">
        <v>13</v>
      </c>
      <c r="D40" s="7">
        <v>0</v>
      </c>
      <c r="E40" s="7">
        <v>67</v>
      </c>
      <c r="F40" s="7">
        <v>0</v>
      </c>
      <c r="G40" s="7">
        <v>1</v>
      </c>
      <c r="H40" s="7">
        <v>0</v>
      </c>
      <c r="I40" s="7">
        <v>48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/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/>
      <c r="AB40" s="7">
        <v>0</v>
      </c>
      <c r="AC40" s="7">
        <v>0</v>
      </c>
      <c r="AD40" s="7"/>
    </row>
    <row r="41" spans="1:30">
      <c r="A41" s="9" t="s">
        <v>18</v>
      </c>
      <c r="B41" s="7" t="s">
        <v>22</v>
      </c>
      <c r="C41" s="6" t="s">
        <v>77</v>
      </c>
      <c r="D41" s="7">
        <v>14</v>
      </c>
      <c r="E41" s="7">
        <v>55</v>
      </c>
      <c r="F41" s="7">
        <v>7</v>
      </c>
      <c r="G41" s="7">
        <v>68</v>
      </c>
      <c r="H41" s="7">
        <v>22</v>
      </c>
      <c r="I41" s="7">
        <v>208</v>
      </c>
      <c r="J41" s="7">
        <v>0</v>
      </c>
      <c r="K41" s="7">
        <v>12.299999999999999</v>
      </c>
      <c r="L41" s="7">
        <v>7</v>
      </c>
      <c r="M41" s="7">
        <v>11.069999999999999</v>
      </c>
      <c r="N41" s="7">
        <v>2</v>
      </c>
      <c r="O41" s="7">
        <v>0.92</v>
      </c>
      <c r="P41" s="7">
        <v>3</v>
      </c>
      <c r="Q41" s="7">
        <v>2</v>
      </c>
      <c r="R41" s="7">
        <v>0</v>
      </c>
      <c r="S41" s="7">
        <v>2.04</v>
      </c>
      <c r="T41" s="7"/>
      <c r="U41" s="7"/>
      <c r="V41" s="7">
        <v>2</v>
      </c>
      <c r="W41" s="7">
        <v>0.7360000000000001</v>
      </c>
      <c r="X41" s="7">
        <v>1</v>
      </c>
      <c r="Y41" s="7">
        <v>10</v>
      </c>
      <c r="Z41" s="7">
        <v>1</v>
      </c>
      <c r="AA41" s="7">
        <v>5</v>
      </c>
      <c r="AB41" s="7">
        <v>2</v>
      </c>
      <c r="AC41" s="7">
        <v>9</v>
      </c>
      <c r="AD41" s="7">
        <v>2</v>
      </c>
    </row>
    <row r="42" spans="1:30">
      <c r="A42" s="9" t="s">
        <v>18</v>
      </c>
      <c r="B42" s="7" t="s">
        <v>22</v>
      </c>
      <c r="C42" s="6" t="s">
        <v>78</v>
      </c>
      <c r="D42" s="7">
        <v>22</v>
      </c>
      <c r="E42" s="7">
        <v>57</v>
      </c>
      <c r="F42" s="7">
        <v>4</v>
      </c>
      <c r="G42" s="7">
        <v>28</v>
      </c>
      <c r="H42" s="7">
        <v>21</v>
      </c>
      <c r="I42" s="7">
        <v>73</v>
      </c>
      <c r="J42" s="7">
        <v>2</v>
      </c>
      <c r="K42" s="7">
        <v>2.4</v>
      </c>
      <c r="L42" s="7">
        <v>0</v>
      </c>
      <c r="M42" s="7">
        <v>2.16</v>
      </c>
      <c r="N42" s="7">
        <v>0</v>
      </c>
      <c r="O42" s="7">
        <v>0.92</v>
      </c>
      <c r="P42" s="7">
        <v>1</v>
      </c>
      <c r="Q42" s="7">
        <v>2</v>
      </c>
      <c r="R42" s="7">
        <v>1</v>
      </c>
      <c r="S42" s="7">
        <v>1</v>
      </c>
      <c r="T42" s="7"/>
      <c r="U42" s="7"/>
      <c r="V42" s="7">
        <v>0</v>
      </c>
      <c r="W42" s="7">
        <v>0.7360000000000001</v>
      </c>
      <c r="X42" s="7">
        <v>1</v>
      </c>
      <c r="Y42" s="7">
        <v>6</v>
      </c>
      <c r="Z42" s="7">
        <v>0</v>
      </c>
      <c r="AA42" s="7">
        <v>6</v>
      </c>
      <c r="AB42" s="7">
        <v>2</v>
      </c>
      <c r="AC42" s="7">
        <v>6</v>
      </c>
      <c r="AD42" s="7">
        <v>1</v>
      </c>
    </row>
    <row r="43" spans="1:30">
      <c r="A43" s="9" t="s">
        <v>18</v>
      </c>
      <c r="B43" s="7" t="s">
        <v>22</v>
      </c>
      <c r="C43" s="6" t="s">
        <v>79</v>
      </c>
      <c r="D43" s="7">
        <v>63</v>
      </c>
      <c r="E43" s="7">
        <v>935</v>
      </c>
      <c r="F43" s="7">
        <v>34</v>
      </c>
      <c r="G43" s="7">
        <v>216</v>
      </c>
      <c r="H43" s="7">
        <v>44</v>
      </c>
      <c r="I43" s="7">
        <v>1152</v>
      </c>
      <c r="J43" s="7">
        <v>2</v>
      </c>
      <c r="K43" s="7">
        <v>24.599999999999998</v>
      </c>
      <c r="L43" s="7">
        <v>0</v>
      </c>
      <c r="M43" s="7">
        <v>22.139999999999997</v>
      </c>
      <c r="N43" s="7">
        <v>1</v>
      </c>
      <c r="O43" s="7">
        <v>11.96</v>
      </c>
      <c r="P43" s="7">
        <v>11</v>
      </c>
      <c r="Q43" s="7">
        <v>26</v>
      </c>
      <c r="R43" s="7">
        <v>1</v>
      </c>
      <c r="S43" s="7">
        <v>15.7</v>
      </c>
      <c r="T43" s="7"/>
      <c r="U43" s="7"/>
      <c r="V43" s="7">
        <v>35</v>
      </c>
      <c r="W43" s="7">
        <v>9.5680000000000014</v>
      </c>
      <c r="X43" s="7">
        <v>56</v>
      </c>
      <c r="Y43" s="7">
        <v>120</v>
      </c>
      <c r="Z43" s="7">
        <v>18</v>
      </c>
      <c r="AA43" s="7">
        <v>5</v>
      </c>
      <c r="AB43" s="7">
        <v>6</v>
      </c>
      <c r="AC43" s="7">
        <v>16</v>
      </c>
      <c r="AD43" s="7">
        <v>12</v>
      </c>
    </row>
    <row r="44" spans="1:30">
      <c r="A44" s="9" t="s">
        <v>18</v>
      </c>
      <c r="B44" s="7" t="s">
        <v>22</v>
      </c>
      <c r="C44" s="6" t="s">
        <v>80</v>
      </c>
      <c r="D44" s="7">
        <v>34</v>
      </c>
      <c r="E44" s="7">
        <v>268</v>
      </c>
      <c r="F44" s="7">
        <v>1</v>
      </c>
      <c r="G44" s="7">
        <v>55</v>
      </c>
      <c r="H44" s="7">
        <v>21</v>
      </c>
      <c r="I44" s="7">
        <v>331</v>
      </c>
      <c r="J44" s="7">
        <v>26</v>
      </c>
      <c r="K44" s="7">
        <v>2.25</v>
      </c>
      <c r="L44" s="7">
        <v>0</v>
      </c>
      <c r="M44" s="7">
        <v>2.0249999999999999</v>
      </c>
      <c r="N44" s="7">
        <v>2</v>
      </c>
      <c r="O44" s="7">
        <v>4.6000000000000005</v>
      </c>
      <c r="P44" s="7">
        <v>5</v>
      </c>
      <c r="Q44" s="7">
        <v>10</v>
      </c>
      <c r="R44" s="7">
        <v>0</v>
      </c>
      <c r="S44" s="7">
        <v>3.04</v>
      </c>
      <c r="T44" s="7"/>
      <c r="U44" s="7"/>
      <c r="V44" s="7">
        <v>2</v>
      </c>
      <c r="W44" s="7">
        <v>3.6800000000000006</v>
      </c>
      <c r="X44" s="7">
        <v>30</v>
      </c>
      <c r="Y44" s="7">
        <v>20</v>
      </c>
      <c r="Z44" s="7">
        <v>2</v>
      </c>
      <c r="AA44" s="7">
        <v>2</v>
      </c>
      <c r="AB44" s="7">
        <v>7</v>
      </c>
      <c r="AC44" s="7">
        <v>6</v>
      </c>
      <c r="AD44" s="7">
        <v>1</v>
      </c>
    </row>
    <row r="45" spans="1:30">
      <c r="A45" s="9" t="s">
        <v>18</v>
      </c>
      <c r="B45" s="7" t="s">
        <v>22</v>
      </c>
      <c r="C45" s="6" t="s">
        <v>81</v>
      </c>
      <c r="D45" s="7">
        <v>24</v>
      </c>
      <c r="E45" s="7">
        <v>232</v>
      </c>
      <c r="F45" s="7">
        <v>10</v>
      </c>
      <c r="G45" s="7">
        <v>86</v>
      </c>
      <c r="H45" s="7">
        <v>18</v>
      </c>
      <c r="I45" s="7">
        <v>278</v>
      </c>
      <c r="J45" s="7">
        <v>0</v>
      </c>
      <c r="K45" s="7">
        <v>8.85</v>
      </c>
      <c r="L45" s="7">
        <v>0</v>
      </c>
      <c r="M45" s="7">
        <v>7.9649999999999999</v>
      </c>
      <c r="N45" s="7">
        <v>0</v>
      </c>
      <c r="O45" s="7">
        <v>2.3000000000000003</v>
      </c>
      <c r="P45" s="7">
        <v>1</v>
      </c>
      <c r="Q45" s="7">
        <v>5</v>
      </c>
      <c r="R45" s="7">
        <v>0</v>
      </c>
      <c r="S45" s="7">
        <v>1.06</v>
      </c>
      <c r="T45" s="7"/>
      <c r="U45" s="7"/>
      <c r="V45" s="7">
        <v>3</v>
      </c>
      <c r="W45" s="7">
        <v>1.8400000000000003</v>
      </c>
      <c r="X45" s="7">
        <v>5</v>
      </c>
      <c r="Y45" s="7">
        <v>6</v>
      </c>
      <c r="Z45" s="7">
        <v>4</v>
      </c>
      <c r="AA45" s="7">
        <v>1</v>
      </c>
      <c r="AB45" s="7">
        <v>2</v>
      </c>
      <c r="AC45" s="7">
        <v>6</v>
      </c>
      <c r="AD45" s="7">
        <v>0</v>
      </c>
    </row>
    <row r="46" spans="1:30">
      <c r="A46" s="9" t="s">
        <v>18</v>
      </c>
      <c r="B46" s="7" t="s">
        <v>22</v>
      </c>
      <c r="C46" s="6" t="s">
        <v>13</v>
      </c>
      <c r="D46" s="7">
        <v>7</v>
      </c>
      <c r="E46" s="7">
        <v>348</v>
      </c>
      <c r="F46" s="7">
        <v>0</v>
      </c>
      <c r="G46" s="7">
        <v>5</v>
      </c>
      <c r="H46" s="7">
        <v>8</v>
      </c>
      <c r="I46" s="7">
        <v>229</v>
      </c>
      <c r="J46" s="7">
        <v>0</v>
      </c>
      <c r="K46" s="7">
        <v>0</v>
      </c>
      <c r="L46" s="7">
        <v>0</v>
      </c>
      <c r="M46" s="7">
        <v>0</v>
      </c>
      <c r="N46" s="7">
        <v>1</v>
      </c>
      <c r="O46" s="7">
        <v>0.46</v>
      </c>
      <c r="P46" s="7">
        <v>0</v>
      </c>
      <c r="Q46" s="7">
        <v>1</v>
      </c>
      <c r="R46" s="7">
        <v>0</v>
      </c>
      <c r="S46" s="7">
        <v>0</v>
      </c>
      <c r="T46" s="7">
        <v>0</v>
      </c>
      <c r="U46" s="7"/>
      <c r="V46" s="7">
        <v>0</v>
      </c>
      <c r="W46" s="7">
        <v>0.36800000000000005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/>
    </row>
    <row r="47" spans="1:30">
      <c r="A47" s="9" t="s">
        <v>18</v>
      </c>
      <c r="B47" s="7" t="s">
        <v>143</v>
      </c>
      <c r="C47" s="6" t="s">
        <v>13</v>
      </c>
      <c r="D47" s="7">
        <v>44</v>
      </c>
      <c r="E47" s="7">
        <v>642</v>
      </c>
      <c r="F47" s="7">
        <v>0</v>
      </c>
      <c r="G47" s="7">
        <v>12</v>
      </c>
      <c r="H47" s="7">
        <v>32</v>
      </c>
      <c r="I47" s="7">
        <v>429</v>
      </c>
      <c r="J47" s="7">
        <v>0</v>
      </c>
      <c r="K47" s="7">
        <v>0</v>
      </c>
      <c r="L47" s="7">
        <v>0</v>
      </c>
      <c r="M47" s="7">
        <v>0</v>
      </c>
      <c r="N47" s="7">
        <v>1</v>
      </c>
      <c r="O47" s="7">
        <v>4.1400000000000006</v>
      </c>
      <c r="P47" s="7">
        <v>5</v>
      </c>
      <c r="Q47" s="7">
        <v>9</v>
      </c>
      <c r="R47" s="7">
        <v>0</v>
      </c>
      <c r="S47" s="7">
        <v>0</v>
      </c>
      <c r="T47" s="7"/>
      <c r="U47" s="7"/>
      <c r="V47" s="7">
        <v>0</v>
      </c>
      <c r="W47" s="7">
        <v>3.3120000000000007</v>
      </c>
      <c r="X47" s="7">
        <v>0</v>
      </c>
      <c r="Y47" s="7">
        <v>0</v>
      </c>
      <c r="Z47" s="7">
        <v>0</v>
      </c>
      <c r="AA47" s="7">
        <v>0</v>
      </c>
      <c r="AB47" s="7"/>
      <c r="AC47" s="7">
        <f>+(M47*0.3)</f>
        <v>0</v>
      </c>
      <c r="AD47" s="7"/>
    </row>
    <row r="48" spans="1:30">
      <c r="A48" s="9" t="s">
        <v>23</v>
      </c>
      <c r="B48" s="7" t="s">
        <v>24</v>
      </c>
      <c r="C48" s="6" t="s">
        <v>82</v>
      </c>
      <c r="D48" s="7">
        <v>53</v>
      </c>
      <c r="E48" s="7">
        <v>123</v>
      </c>
      <c r="F48" s="7">
        <v>17</v>
      </c>
      <c r="G48" s="7">
        <v>70</v>
      </c>
      <c r="H48" s="7">
        <v>44</v>
      </c>
      <c r="I48" s="7">
        <v>449</v>
      </c>
      <c r="J48" s="7">
        <v>1</v>
      </c>
      <c r="K48" s="7">
        <v>24.75</v>
      </c>
      <c r="L48" s="7">
        <v>2</v>
      </c>
      <c r="M48" s="7">
        <v>22.275000000000002</v>
      </c>
      <c r="N48" s="7">
        <v>2</v>
      </c>
      <c r="O48" s="7">
        <v>5.0600000000000005</v>
      </c>
      <c r="P48" s="7">
        <v>11</v>
      </c>
      <c r="Q48" s="7">
        <v>11</v>
      </c>
      <c r="R48" s="7">
        <v>1</v>
      </c>
      <c r="S48" s="7">
        <v>4.0199999999999996</v>
      </c>
      <c r="T48" s="7"/>
      <c r="U48" s="7"/>
      <c r="V48" s="7">
        <v>1</v>
      </c>
      <c r="W48" s="7">
        <v>4.0480000000000009</v>
      </c>
      <c r="X48" s="7">
        <v>44</v>
      </c>
      <c r="Y48" s="7">
        <v>29</v>
      </c>
      <c r="Z48" s="7">
        <v>9</v>
      </c>
      <c r="AA48" s="7"/>
      <c r="AB48" s="7">
        <v>26</v>
      </c>
      <c r="AC48" s="7">
        <f t="shared" ref="AC48:AC49" si="2">+(M48*0.3)</f>
        <v>6.6825000000000001</v>
      </c>
      <c r="AD48" s="7">
        <v>7</v>
      </c>
    </row>
    <row r="49" spans="1:30">
      <c r="A49" s="9" t="s">
        <v>23</v>
      </c>
      <c r="B49" s="7" t="s">
        <v>24</v>
      </c>
      <c r="C49" s="6" t="s">
        <v>83</v>
      </c>
      <c r="D49" s="7">
        <v>45</v>
      </c>
      <c r="E49" s="7">
        <v>403</v>
      </c>
      <c r="F49" s="7">
        <v>44</v>
      </c>
      <c r="G49" s="7">
        <v>101</v>
      </c>
      <c r="H49" s="7">
        <v>27</v>
      </c>
      <c r="I49" s="7">
        <v>537</v>
      </c>
      <c r="J49" s="7">
        <v>0</v>
      </c>
      <c r="K49" s="7">
        <v>40.5</v>
      </c>
      <c r="L49" s="7">
        <v>0</v>
      </c>
      <c r="M49" s="7">
        <v>36.450000000000003</v>
      </c>
      <c r="N49" s="7">
        <v>1</v>
      </c>
      <c r="O49" s="7">
        <v>3.68</v>
      </c>
      <c r="P49" s="7">
        <v>3</v>
      </c>
      <c r="Q49" s="7">
        <v>8</v>
      </c>
      <c r="R49" s="7">
        <v>0</v>
      </c>
      <c r="S49" s="7">
        <v>9.1</v>
      </c>
      <c r="T49" s="7"/>
      <c r="U49" s="7"/>
      <c r="V49" s="7">
        <v>5</v>
      </c>
      <c r="W49" s="7">
        <v>2.9440000000000004</v>
      </c>
      <c r="X49" s="7">
        <v>1</v>
      </c>
      <c r="Y49" s="7">
        <v>71</v>
      </c>
      <c r="Z49" s="7"/>
      <c r="AA49" s="7"/>
      <c r="AB49" s="7">
        <v>4</v>
      </c>
      <c r="AC49" s="7">
        <f t="shared" si="2"/>
        <v>10.935</v>
      </c>
      <c r="AD49" s="7">
        <v>11</v>
      </c>
    </row>
    <row r="50" spans="1:30">
      <c r="A50" s="9" t="s">
        <v>23</v>
      </c>
      <c r="B50" s="7" t="s">
        <v>24</v>
      </c>
      <c r="C50" s="6" t="s">
        <v>84</v>
      </c>
      <c r="D50" s="7">
        <v>33</v>
      </c>
      <c r="E50" s="7">
        <v>111</v>
      </c>
      <c r="F50" s="7">
        <v>29</v>
      </c>
      <c r="G50" s="7">
        <v>79</v>
      </c>
      <c r="H50" s="7">
        <v>19</v>
      </c>
      <c r="I50" s="7">
        <v>262</v>
      </c>
      <c r="J50" s="7">
        <v>0</v>
      </c>
      <c r="K50" s="7">
        <v>19.5</v>
      </c>
      <c r="L50" s="7">
        <v>0</v>
      </c>
      <c r="M50" s="7">
        <v>17.55</v>
      </c>
      <c r="N50" s="7">
        <v>1</v>
      </c>
      <c r="O50" s="7">
        <v>3.68</v>
      </c>
      <c r="P50" s="7">
        <v>2</v>
      </c>
      <c r="Q50" s="7">
        <v>8</v>
      </c>
      <c r="R50" s="7">
        <v>1</v>
      </c>
      <c r="S50" s="7">
        <v>2</v>
      </c>
      <c r="T50" s="7"/>
      <c r="U50" s="7"/>
      <c r="V50" s="7">
        <v>0</v>
      </c>
      <c r="W50" s="7">
        <v>2.9440000000000004</v>
      </c>
      <c r="X50" s="7">
        <v>6</v>
      </c>
      <c r="Y50" s="7">
        <v>13</v>
      </c>
      <c r="Z50" s="7"/>
      <c r="AA50" s="7">
        <v>3</v>
      </c>
      <c r="AB50" s="7">
        <v>8</v>
      </c>
      <c r="AC50" s="7">
        <v>7</v>
      </c>
      <c r="AD50" s="7">
        <v>1</v>
      </c>
    </row>
    <row r="51" spans="1:30">
      <c r="A51" s="9" t="s">
        <v>23</v>
      </c>
      <c r="B51" s="7" t="s">
        <v>24</v>
      </c>
      <c r="C51" s="6" t="s">
        <v>85</v>
      </c>
      <c r="D51" s="7">
        <v>21</v>
      </c>
      <c r="E51" s="7">
        <v>208</v>
      </c>
      <c r="F51" s="7">
        <v>14</v>
      </c>
      <c r="G51" s="7">
        <v>43</v>
      </c>
      <c r="H51" s="7">
        <v>13</v>
      </c>
      <c r="I51" s="7">
        <v>317</v>
      </c>
      <c r="J51" s="7">
        <v>0</v>
      </c>
      <c r="K51" s="7">
        <v>18</v>
      </c>
      <c r="L51" s="7">
        <v>0</v>
      </c>
      <c r="M51" s="7">
        <v>16.2</v>
      </c>
      <c r="N51" s="7">
        <v>2</v>
      </c>
      <c r="O51" s="7">
        <v>4.6000000000000005</v>
      </c>
      <c r="P51" s="7">
        <v>4</v>
      </c>
      <c r="Q51" s="7">
        <v>10</v>
      </c>
      <c r="R51" s="7">
        <v>0</v>
      </c>
      <c r="S51" s="7">
        <v>2</v>
      </c>
      <c r="T51" s="7"/>
      <c r="U51" s="7"/>
      <c r="V51" s="7">
        <v>0</v>
      </c>
      <c r="W51" s="7">
        <v>3.6800000000000006</v>
      </c>
      <c r="X51" s="7">
        <v>13</v>
      </c>
      <c r="Y51" s="7">
        <v>13</v>
      </c>
      <c r="Z51" s="7"/>
      <c r="AA51" s="7"/>
      <c r="AB51" s="7">
        <v>2</v>
      </c>
      <c r="AC51" s="7">
        <f t="shared" ref="AC51:AC52" si="3">+(M51*0.3)</f>
        <v>4.8599999999999994</v>
      </c>
      <c r="AD51" s="7">
        <v>5</v>
      </c>
    </row>
    <row r="52" spans="1:30">
      <c r="A52" s="9" t="s">
        <v>23</v>
      </c>
      <c r="B52" s="7" t="s">
        <v>24</v>
      </c>
      <c r="C52" s="6" t="s">
        <v>13</v>
      </c>
      <c r="D52" s="7">
        <v>3</v>
      </c>
      <c r="E52" s="7">
        <v>121</v>
      </c>
      <c r="F52" s="7">
        <v>1</v>
      </c>
      <c r="G52" s="7">
        <v>4</v>
      </c>
      <c r="H52" s="7">
        <v>9</v>
      </c>
      <c r="I52" s="7">
        <v>75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0.46</v>
      </c>
      <c r="P52" s="7">
        <v>1</v>
      </c>
      <c r="Q52" s="7">
        <v>1</v>
      </c>
      <c r="R52" s="7">
        <v>0</v>
      </c>
      <c r="S52" s="7">
        <v>0</v>
      </c>
      <c r="T52" s="7">
        <v>0</v>
      </c>
      <c r="U52" s="7"/>
      <c r="V52" s="7">
        <v>0</v>
      </c>
      <c r="W52" s="7">
        <v>0.36800000000000005</v>
      </c>
      <c r="X52" s="7">
        <v>0</v>
      </c>
      <c r="Y52" s="7">
        <v>0</v>
      </c>
      <c r="Z52" s="7"/>
      <c r="AA52" s="7"/>
      <c r="AB52" s="7">
        <v>0</v>
      </c>
      <c r="AC52" s="7">
        <f t="shared" si="3"/>
        <v>0</v>
      </c>
      <c r="AD52" s="7"/>
    </row>
    <row r="53" spans="1:30">
      <c r="A53" s="9" t="s">
        <v>23</v>
      </c>
      <c r="B53" s="7" t="s">
        <v>25</v>
      </c>
      <c r="C53" s="6" t="s">
        <v>86</v>
      </c>
      <c r="D53" s="7">
        <v>58</v>
      </c>
      <c r="E53" s="7">
        <v>306</v>
      </c>
      <c r="F53" s="7">
        <v>9</v>
      </c>
      <c r="G53" s="7">
        <v>104</v>
      </c>
      <c r="H53" s="7">
        <v>62</v>
      </c>
      <c r="I53" s="7">
        <v>320</v>
      </c>
      <c r="J53" s="7">
        <v>46</v>
      </c>
      <c r="K53" s="7">
        <v>14.399999999999999</v>
      </c>
      <c r="L53" s="7">
        <v>2</v>
      </c>
      <c r="M53" s="7">
        <v>12.959999999999999</v>
      </c>
      <c r="N53" s="7">
        <v>9</v>
      </c>
      <c r="O53" s="7">
        <v>17.940000000000001</v>
      </c>
      <c r="P53" s="7">
        <v>14</v>
      </c>
      <c r="Q53" s="7">
        <v>39</v>
      </c>
      <c r="R53" s="7">
        <v>0</v>
      </c>
      <c r="S53" s="7">
        <v>14.68</v>
      </c>
      <c r="T53" s="7"/>
      <c r="U53" s="7"/>
      <c r="V53" s="7">
        <v>84</v>
      </c>
      <c r="W53" s="7">
        <v>14.352000000000002</v>
      </c>
      <c r="X53" s="7">
        <v>64</v>
      </c>
      <c r="Y53" s="7">
        <v>103</v>
      </c>
      <c r="Z53" s="7">
        <v>2</v>
      </c>
      <c r="AA53" s="7">
        <v>4</v>
      </c>
      <c r="AB53" s="7">
        <v>5</v>
      </c>
      <c r="AC53" s="7">
        <v>7</v>
      </c>
      <c r="AD53" s="7">
        <v>7</v>
      </c>
    </row>
    <row r="54" spans="1:30">
      <c r="A54" s="9" t="s">
        <v>23</v>
      </c>
      <c r="B54" s="7" t="s">
        <v>25</v>
      </c>
      <c r="C54" s="6" t="s">
        <v>87</v>
      </c>
      <c r="D54" s="7">
        <v>94</v>
      </c>
      <c r="E54" s="7">
        <v>593</v>
      </c>
      <c r="F54" s="7">
        <v>55</v>
      </c>
      <c r="G54" s="7">
        <v>194</v>
      </c>
      <c r="H54" s="7">
        <v>66</v>
      </c>
      <c r="I54" s="7">
        <v>728</v>
      </c>
      <c r="J54" s="7">
        <v>14</v>
      </c>
      <c r="K54" s="7">
        <v>34.799999999999997</v>
      </c>
      <c r="L54" s="7">
        <v>6</v>
      </c>
      <c r="M54" s="7">
        <v>31.319999999999997</v>
      </c>
      <c r="N54" s="7">
        <v>3</v>
      </c>
      <c r="O54" s="7">
        <v>10.120000000000001</v>
      </c>
      <c r="P54" s="7">
        <v>8</v>
      </c>
      <c r="Q54" s="7">
        <v>22</v>
      </c>
      <c r="R54" s="7">
        <v>4</v>
      </c>
      <c r="S54" s="7">
        <v>15.12</v>
      </c>
      <c r="T54" s="7"/>
      <c r="U54" s="7"/>
      <c r="V54" s="7">
        <v>6</v>
      </c>
      <c r="W54" s="7">
        <v>8.0960000000000019</v>
      </c>
      <c r="X54" s="7">
        <v>24</v>
      </c>
      <c r="Y54" s="7">
        <v>118</v>
      </c>
      <c r="Z54" s="7">
        <v>7</v>
      </c>
      <c r="AA54" s="7">
        <v>25</v>
      </c>
      <c r="AB54" s="7">
        <v>6</v>
      </c>
      <c r="AC54" s="7">
        <v>19</v>
      </c>
      <c r="AD54" s="7">
        <v>8</v>
      </c>
    </row>
    <row r="55" spans="1:30">
      <c r="A55" s="9" t="s">
        <v>23</v>
      </c>
      <c r="B55" s="7" t="s">
        <v>25</v>
      </c>
      <c r="C55" s="6" t="s">
        <v>88</v>
      </c>
      <c r="D55" s="7">
        <v>10</v>
      </c>
      <c r="E55" s="7">
        <v>13</v>
      </c>
      <c r="F55" s="7">
        <v>4</v>
      </c>
      <c r="G55" s="7">
        <v>9</v>
      </c>
      <c r="H55" s="7">
        <v>3</v>
      </c>
      <c r="I55" s="7">
        <v>37</v>
      </c>
      <c r="J55" s="7">
        <v>1</v>
      </c>
      <c r="K55" s="7">
        <v>1.5</v>
      </c>
      <c r="L55" s="7">
        <v>4</v>
      </c>
      <c r="M55" s="7">
        <v>1.35</v>
      </c>
      <c r="N55" s="7">
        <v>0</v>
      </c>
      <c r="O55" s="7">
        <v>0.46</v>
      </c>
      <c r="P55" s="7">
        <v>0</v>
      </c>
      <c r="Q55" s="7">
        <v>1</v>
      </c>
      <c r="R55" s="7">
        <v>0</v>
      </c>
      <c r="S55" s="7">
        <v>1.04</v>
      </c>
      <c r="T55" s="7"/>
      <c r="U55" s="7"/>
      <c r="V55" s="7">
        <v>2</v>
      </c>
      <c r="W55" s="7">
        <v>0.36800000000000005</v>
      </c>
      <c r="X55" s="7">
        <v>0</v>
      </c>
      <c r="Y55" s="7">
        <v>8</v>
      </c>
      <c r="Z55" s="7"/>
      <c r="AA55" s="7">
        <v>1</v>
      </c>
      <c r="AB55" s="7">
        <v>0</v>
      </c>
      <c r="AC55" s="7">
        <v>4</v>
      </c>
      <c r="AD55" s="7">
        <v>1</v>
      </c>
    </row>
    <row r="56" spans="1:30">
      <c r="A56" s="9" t="s">
        <v>23</v>
      </c>
      <c r="B56" s="7" t="s">
        <v>25</v>
      </c>
      <c r="C56" s="6" t="s">
        <v>13</v>
      </c>
      <c r="D56" s="7">
        <v>2</v>
      </c>
      <c r="E56" s="7">
        <v>266</v>
      </c>
      <c r="F56" s="7">
        <v>1</v>
      </c>
      <c r="G56" s="7">
        <v>3</v>
      </c>
      <c r="H56" s="7">
        <v>11</v>
      </c>
      <c r="I56" s="7">
        <v>118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0.46</v>
      </c>
      <c r="P56" s="7">
        <v>0</v>
      </c>
      <c r="Q56" s="7">
        <v>1</v>
      </c>
      <c r="R56" s="7">
        <v>1</v>
      </c>
      <c r="S56" s="7">
        <v>0</v>
      </c>
      <c r="T56" s="7">
        <v>17</v>
      </c>
      <c r="U56" s="7"/>
      <c r="V56" s="7">
        <v>0</v>
      </c>
      <c r="W56" s="7">
        <v>0.36800000000000005</v>
      </c>
      <c r="X56" s="7"/>
      <c r="Y56" s="7">
        <v>0</v>
      </c>
      <c r="Z56" s="7"/>
      <c r="AA56" s="7">
        <v>0</v>
      </c>
      <c r="AB56" s="7">
        <v>0</v>
      </c>
      <c r="AC56" s="7">
        <f>+(M56*0.3)</f>
        <v>0</v>
      </c>
      <c r="AD56" s="7"/>
    </row>
    <row r="57" spans="1:30">
      <c r="A57" s="9" t="s">
        <v>23</v>
      </c>
      <c r="B57" s="7" t="s">
        <v>26</v>
      </c>
      <c r="C57" s="6" t="s">
        <v>89</v>
      </c>
      <c r="D57" s="7">
        <v>39</v>
      </c>
      <c r="E57" s="7">
        <v>264</v>
      </c>
      <c r="F57" s="7">
        <v>29</v>
      </c>
      <c r="G57" s="7">
        <v>73</v>
      </c>
      <c r="H57" s="7">
        <v>23</v>
      </c>
      <c r="I57" s="7">
        <v>327</v>
      </c>
      <c r="J57" s="7">
        <v>0</v>
      </c>
      <c r="K57" s="7">
        <v>39.75</v>
      </c>
      <c r="L57" s="7">
        <v>0</v>
      </c>
      <c r="M57" s="7">
        <v>35.774999999999999</v>
      </c>
      <c r="N57" s="7">
        <v>0</v>
      </c>
      <c r="O57" s="7">
        <v>5.98</v>
      </c>
      <c r="P57" s="7">
        <v>1</v>
      </c>
      <c r="Q57" s="7">
        <v>13</v>
      </c>
      <c r="R57" s="7">
        <v>1</v>
      </c>
      <c r="S57" s="7">
        <v>4.16</v>
      </c>
      <c r="T57" s="7"/>
      <c r="U57" s="7"/>
      <c r="V57" s="7">
        <v>8</v>
      </c>
      <c r="W57" s="7">
        <v>4.7840000000000007</v>
      </c>
      <c r="X57" s="7">
        <v>26</v>
      </c>
      <c r="Y57" s="7">
        <v>30</v>
      </c>
      <c r="Z57" s="7">
        <v>1</v>
      </c>
      <c r="AA57" s="7">
        <v>15</v>
      </c>
      <c r="AB57" s="7">
        <v>7</v>
      </c>
      <c r="AC57" s="7">
        <v>8</v>
      </c>
      <c r="AD57" s="7">
        <v>7</v>
      </c>
    </row>
    <row r="58" spans="1:30">
      <c r="A58" s="9" t="s">
        <v>23</v>
      </c>
      <c r="B58" s="7" t="s">
        <v>26</v>
      </c>
      <c r="C58" s="6" t="s">
        <v>90</v>
      </c>
      <c r="D58" s="7">
        <v>9</v>
      </c>
      <c r="E58" s="7">
        <v>29</v>
      </c>
      <c r="F58" s="7">
        <v>7</v>
      </c>
      <c r="G58" s="7">
        <v>10</v>
      </c>
      <c r="H58" s="7">
        <v>4</v>
      </c>
      <c r="I58" s="7">
        <v>21</v>
      </c>
      <c r="J58" s="7">
        <v>0</v>
      </c>
      <c r="K58" s="7">
        <v>5.0999999999999996</v>
      </c>
      <c r="L58" s="7">
        <v>0</v>
      </c>
      <c r="M58" s="7">
        <v>4.59</v>
      </c>
      <c r="N58" s="7">
        <v>1</v>
      </c>
      <c r="O58" s="7">
        <v>0.46</v>
      </c>
      <c r="P58" s="7">
        <v>0</v>
      </c>
      <c r="Q58" s="7">
        <v>1</v>
      </c>
      <c r="R58" s="7">
        <v>0</v>
      </c>
      <c r="S58" s="7">
        <v>2.2599999999999998</v>
      </c>
      <c r="T58" s="7"/>
      <c r="U58" s="7"/>
      <c r="V58" s="7">
        <v>13</v>
      </c>
      <c r="W58" s="7">
        <v>0.36800000000000005</v>
      </c>
      <c r="X58" s="7">
        <v>21</v>
      </c>
      <c r="Y58" s="7">
        <v>9</v>
      </c>
      <c r="Z58" s="7">
        <v>8</v>
      </c>
      <c r="AA58" s="7">
        <v>11</v>
      </c>
      <c r="AB58" s="7">
        <v>0</v>
      </c>
      <c r="AC58" s="7">
        <v>3</v>
      </c>
      <c r="AD58" s="7">
        <v>2</v>
      </c>
    </row>
    <row r="59" spans="1:30">
      <c r="A59" s="9" t="s">
        <v>23</v>
      </c>
      <c r="B59" s="7" t="s">
        <v>26</v>
      </c>
      <c r="C59" s="6" t="s">
        <v>91</v>
      </c>
      <c r="D59" s="7">
        <v>32</v>
      </c>
      <c r="E59" s="7">
        <v>102</v>
      </c>
      <c r="F59" s="7">
        <v>23</v>
      </c>
      <c r="G59" s="7">
        <v>72</v>
      </c>
      <c r="H59" s="7">
        <v>25</v>
      </c>
      <c r="I59" s="7">
        <v>220</v>
      </c>
      <c r="J59" s="7">
        <v>0</v>
      </c>
      <c r="K59" s="7">
        <v>25.8</v>
      </c>
      <c r="L59" s="7">
        <v>0</v>
      </c>
      <c r="M59" s="7">
        <v>23.220000000000002</v>
      </c>
      <c r="N59" s="7">
        <v>1</v>
      </c>
      <c r="O59" s="7">
        <v>2.7600000000000002</v>
      </c>
      <c r="P59" s="7">
        <v>5</v>
      </c>
      <c r="Q59" s="7">
        <v>6</v>
      </c>
      <c r="R59" s="7">
        <v>0</v>
      </c>
      <c r="S59" s="7">
        <v>3.08</v>
      </c>
      <c r="T59" s="7"/>
      <c r="U59" s="7"/>
      <c r="V59" s="7">
        <v>4</v>
      </c>
      <c r="W59" s="7">
        <v>2.2080000000000002</v>
      </c>
      <c r="X59" s="7">
        <v>11</v>
      </c>
      <c r="Y59" s="7">
        <v>19</v>
      </c>
      <c r="Z59" s="7">
        <v>10</v>
      </c>
      <c r="AA59" s="7">
        <v>17</v>
      </c>
      <c r="AB59" s="7">
        <v>5</v>
      </c>
      <c r="AC59" s="7">
        <v>7</v>
      </c>
      <c r="AD59" s="7">
        <v>1</v>
      </c>
    </row>
    <row r="60" spans="1:30">
      <c r="A60" s="9" t="s">
        <v>23</v>
      </c>
      <c r="B60" s="7" t="s">
        <v>26</v>
      </c>
      <c r="C60" s="6" t="s">
        <v>92</v>
      </c>
      <c r="D60" s="7">
        <v>17</v>
      </c>
      <c r="E60" s="7">
        <v>83</v>
      </c>
      <c r="F60" s="7">
        <v>10</v>
      </c>
      <c r="G60" s="7">
        <v>41</v>
      </c>
      <c r="H60" s="7">
        <v>14</v>
      </c>
      <c r="I60" s="7">
        <v>124</v>
      </c>
      <c r="J60" s="7">
        <v>0</v>
      </c>
      <c r="K60" s="7">
        <v>12.6</v>
      </c>
      <c r="L60" s="7">
        <v>1</v>
      </c>
      <c r="M60" s="7">
        <v>11.34</v>
      </c>
      <c r="N60" s="7">
        <v>0</v>
      </c>
      <c r="O60" s="7">
        <v>1.84</v>
      </c>
      <c r="P60" s="7">
        <v>1</v>
      </c>
      <c r="Q60" s="7">
        <v>4</v>
      </c>
      <c r="R60" s="7">
        <v>0</v>
      </c>
      <c r="S60" s="7">
        <v>2</v>
      </c>
      <c r="T60" s="7"/>
      <c r="U60" s="7"/>
      <c r="V60" s="7">
        <v>0</v>
      </c>
      <c r="W60" s="7">
        <v>1.4720000000000002</v>
      </c>
      <c r="X60" s="7">
        <v>13</v>
      </c>
      <c r="Y60" s="7">
        <v>15</v>
      </c>
      <c r="Z60" s="7">
        <v>15</v>
      </c>
      <c r="AA60" s="7">
        <v>20</v>
      </c>
      <c r="AB60" s="7">
        <v>9</v>
      </c>
      <c r="AC60" s="7">
        <v>8</v>
      </c>
      <c r="AD60" s="7">
        <v>4</v>
      </c>
    </row>
    <row r="61" spans="1:30">
      <c r="A61" s="9" t="s">
        <v>23</v>
      </c>
      <c r="B61" s="7" t="s">
        <v>26</v>
      </c>
      <c r="C61" s="6" t="s">
        <v>13</v>
      </c>
      <c r="D61" s="7">
        <v>4</v>
      </c>
      <c r="E61" s="7">
        <v>63</v>
      </c>
      <c r="F61" s="7">
        <v>0</v>
      </c>
      <c r="G61" s="7">
        <v>2</v>
      </c>
      <c r="H61" s="7">
        <v>5</v>
      </c>
      <c r="I61" s="7">
        <v>38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0.46</v>
      </c>
      <c r="P61" s="7">
        <v>0</v>
      </c>
      <c r="Q61" s="7">
        <v>1</v>
      </c>
      <c r="R61" s="7">
        <v>0</v>
      </c>
      <c r="S61" s="7">
        <v>0</v>
      </c>
      <c r="T61" s="7">
        <v>3</v>
      </c>
      <c r="U61" s="7"/>
      <c r="V61" s="7">
        <v>0</v>
      </c>
      <c r="W61" s="7">
        <v>0.36800000000000005</v>
      </c>
      <c r="X61" s="7">
        <v>0</v>
      </c>
      <c r="Y61" s="7">
        <v>0</v>
      </c>
      <c r="Z61" s="7">
        <v>0</v>
      </c>
      <c r="AA61" s="7">
        <v>0</v>
      </c>
      <c r="AB61" s="7">
        <v>7</v>
      </c>
      <c r="AC61" s="7">
        <v>0</v>
      </c>
      <c r="AD61" s="7"/>
    </row>
    <row r="62" spans="1:30">
      <c r="A62" s="9" t="s">
        <v>23</v>
      </c>
      <c r="B62" s="7" t="s">
        <v>143</v>
      </c>
      <c r="C62" s="6" t="s">
        <v>13</v>
      </c>
      <c r="D62" s="7">
        <v>16</v>
      </c>
      <c r="E62" s="7">
        <v>453</v>
      </c>
      <c r="F62" s="7">
        <v>4</v>
      </c>
      <c r="G62" s="7">
        <v>9</v>
      </c>
      <c r="H62" s="7">
        <v>27</v>
      </c>
      <c r="I62" s="7">
        <v>244</v>
      </c>
      <c r="J62" s="7">
        <v>0</v>
      </c>
      <c r="K62" s="7">
        <v>0</v>
      </c>
      <c r="L62" s="7">
        <v>0</v>
      </c>
      <c r="M62" s="7">
        <v>0</v>
      </c>
      <c r="N62" s="7">
        <v>1</v>
      </c>
      <c r="O62" s="7">
        <v>2.3000000000000003</v>
      </c>
      <c r="P62" s="7">
        <v>1</v>
      </c>
      <c r="Q62" s="7">
        <v>5</v>
      </c>
      <c r="R62" s="7">
        <v>0</v>
      </c>
      <c r="S62" s="7">
        <v>0</v>
      </c>
      <c r="T62" s="7"/>
      <c r="U62" s="7"/>
      <c r="V62" s="7">
        <v>0</v>
      </c>
      <c r="W62" s="7">
        <v>1.8400000000000003</v>
      </c>
      <c r="X62" s="7">
        <v>0</v>
      </c>
      <c r="Y62" s="7">
        <v>0</v>
      </c>
      <c r="Z62" s="7">
        <v>0</v>
      </c>
      <c r="AA62" s="7">
        <v>0</v>
      </c>
      <c r="AB62" s="7"/>
      <c r="AC62" s="7">
        <f>+(M62*0.3)</f>
        <v>0</v>
      </c>
      <c r="AD62" s="7"/>
    </row>
    <row r="63" spans="1:30">
      <c r="A63" s="9" t="s">
        <v>27</v>
      </c>
      <c r="B63" s="7" t="s">
        <v>28</v>
      </c>
      <c r="C63" s="6" t="s">
        <v>93</v>
      </c>
      <c r="D63" s="7">
        <v>3</v>
      </c>
      <c r="E63" s="7">
        <v>22</v>
      </c>
      <c r="F63" s="7">
        <v>4</v>
      </c>
      <c r="G63" s="7">
        <v>6</v>
      </c>
      <c r="H63" s="7">
        <v>2</v>
      </c>
      <c r="I63" s="7">
        <v>29</v>
      </c>
      <c r="J63" s="7">
        <v>0</v>
      </c>
      <c r="K63" s="7">
        <v>0.6</v>
      </c>
      <c r="L63" s="7">
        <v>1</v>
      </c>
      <c r="M63" s="7">
        <v>0.54</v>
      </c>
      <c r="N63" s="7">
        <v>0</v>
      </c>
      <c r="O63" s="7">
        <v>0.46</v>
      </c>
      <c r="P63" s="7">
        <v>0</v>
      </c>
      <c r="Q63" s="7">
        <v>1</v>
      </c>
      <c r="R63" s="7">
        <v>0</v>
      </c>
      <c r="S63" s="7">
        <v>1</v>
      </c>
      <c r="T63" s="7"/>
      <c r="U63" s="7"/>
      <c r="V63" s="7">
        <v>0</v>
      </c>
      <c r="W63" s="7">
        <v>0.36800000000000005</v>
      </c>
      <c r="X63" s="7">
        <v>0</v>
      </c>
      <c r="Y63" s="7">
        <v>3</v>
      </c>
      <c r="Z63" s="7">
        <v>0</v>
      </c>
      <c r="AA63" s="7">
        <v>1</v>
      </c>
      <c r="AB63" s="7">
        <v>1</v>
      </c>
      <c r="AC63" s="7">
        <v>1</v>
      </c>
      <c r="AD63" s="7">
        <v>1</v>
      </c>
    </row>
    <row r="64" spans="1:30">
      <c r="A64" s="9" t="s">
        <v>27</v>
      </c>
      <c r="B64" s="7" t="s">
        <v>28</v>
      </c>
      <c r="C64" s="6" t="s">
        <v>94</v>
      </c>
      <c r="D64" s="7">
        <v>108</v>
      </c>
      <c r="E64" s="7">
        <v>293</v>
      </c>
      <c r="F64" s="7">
        <v>44</v>
      </c>
      <c r="G64" s="7">
        <v>193</v>
      </c>
      <c r="H64" s="7">
        <v>44</v>
      </c>
      <c r="I64" s="7">
        <v>501</v>
      </c>
      <c r="J64" s="7">
        <v>0</v>
      </c>
      <c r="K64" s="7">
        <v>9.15</v>
      </c>
      <c r="L64" s="7">
        <v>4</v>
      </c>
      <c r="M64" s="7">
        <v>8.2350000000000012</v>
      </c>
      <c r="N64" s="7">
        <v>34</v>
      </c>
      <c r="O64" s="7">
        <v>16.100000000000001</v>
      </c>
      <c r="P64" s="7">
        <v>53</v>
      </c>
      <c r="Q64" s="7">
        <v>35</v>
      </c>
      <c r="R64" s="7">
        <v>5</v>
      </c>
      <c r="S64" s="7">
        <v>12.96</v>
      </c>
      <c r="T64" s="7"/>
      <c r="U64" s="7"/>
      <c r="V64" s="7">
        <v>398</v>
      </c>
      <c r="W64" s="7">
        <v>12.880000000000003</v>
      </c>
      <c r="X64" s="7">
        <v>44</v>
      </c>
      <c r="Y64" s="7">
        <v>40</v>
      </c>
      <c r="Z64" s="7">
        <v>1</v>
      </c>
      <c r="AA64" s="7">
        <v>6</v>
      </c>
      <c r="AB64" s="7">
        <v>10</v>
      </c>
      <c r="AC64" s="7">
        <v>9</v>
      </c>
      <c r="AD64" s="7">
        <v>8</v>
      </c>
    </row>
    <row r="65" spans="1:30">
      <c r="A65" s="9" t="s">
        <v>27</v>
      </c>
      <c r="B65" s="7" t="s">
        <v>28</v>
      </c>
      <c r="C65" s="6" t="s">
        <v>95</v>
      </c>
      <c r="D65" s="7">
        <v>54</v>
      </c>
      <c r="E65" s="7">
        <v>309</v>
      </c>
      <c r="F65" s="7">
        <v>20</v>
      </c>
      <c r="G65" s="7">
        <v>86</v>
      </c>
      <c r="H65" s="7">
        <v>32</v>
      </c>
      <c r="I65" s="7">
        <v>431</v>
      </c>
      <c r="J65" s="7">
        <v>0</v>
      </c>
      <c r="K65" s="7">
        <v>20.55</v>
      </c>
      <c r="L65" s="7">
        <v>1</v>
      </c>
      <c r="M65" s="7">
        <v>18.495000000000001</v>
      </c>
      <c r="N65" s="7">
        <v>6</v>
      </c>
      <c r="O65" s="7">
        <v>4.1400000000000006</v>
      </c>
      <c r="P65" s="7">
        <v>13</v>
      </c>
      <c r="Q65" s="7">
        <v>9</v>
      </c>
      <c r="R65" s="7">
        <v>5</v>
      </c>
      <c r="S65" s="7">
        <v>3.52</v>
      </c>
      <c r="T65" s="7"/>
      <c r="U65" s="7"/>
      <c r="V65" s="7">
        <v>76</v>
      </c>
      <c r="W65" s="7">
        <v>3.3120000000000007</v>
      </c>
      <c r="X65" s="7">
        <v>26</v>
      </c>
      <c r="Y65" s="7">
        <v>16</v>
      </c>
      <c r="Z65" s="7">
        <v>2</v>
      </c>
      <c r="AA65" s="7">
        <v>6</v>
      </c>
      <c r="AB65" s="7">
        <v>11</v>
      </c>
      <c r="AC65" s="7">
        <v>5</v>
      </c>
      <c r="AD65" s="7">
        <v>6</v>
      </c>
    </row>
    <row r="66" spans="1:30">
      <c r="A66" s="9" t="s">
        <v>27</v>
      </c>
      <c r="B66" s="7" t="s">
        <v>28</v>
      </c>
      <c r="C66" s="6" t="s">
        <v>96</v>
      </c>
      <c r="D66" s="7">
        <v>13</v>
      </c>
      <c r="E66" s="7">
        <v>13</v>
      </c>
      <c r="F66" s="7">
        <v>5</v>
      </c>
      <c r="G66" s="7">
        <v>12</v>
      </c>
      <c r="H66" s="7">
        <v>7</v>
      </c>
      <c r="I66" s="7">
        <v>41</v>
      </c>
      <c r="J66" s="7">
        <v>1</v>
      </c>
      <c r="K66" s="7">
        <v>1.2</v>
      </c>
      <c r="L66" s="7">
        <v>0</v>
      </c>
      <c r="M66" s="7">
        <v>1.08</v>
      </c>
      <c r="N66" s="7">
        <v>1</v>
      </c>
      <c r="O66" s="7">
        <v>0.46</v>
      </c>
      <c r="P66" s="7">
        <v>4</v>
      </c>
      <c r="Q66" s="7">
        <v>1</v>
      </c>
      <c r="R66" s="7">
        <v>0</v>
      </c>
      <c r="S66" s="7">
        <v>9.620000000000001</v>
      </c>
      <c r="T66" s="7"/>
      <c r="U66" s="7"/>
      <c r="V66" s="7">
        <v>431</v>
      </c>
      <c r="W66" s="7">
        <v>0.36800000000000005</v>
      </c>
      <c r="X66" s="7">
        <v>0</v>
      </c>
      <c r="Y66" s="7">
        <v>5</v>
      </c>
      <c r="Z66" s="7">
        <v>1</v>
      </c>
      <c r="AA66" s="7">
        <v>5</v>
      </c>
      <c r="AB66" s="7">
        <v>0</v>
      </c>
      <c r="AC66" s="7">
        <v>2</v>
      </c>
      <c r="AD66" s="7">
        <v>1</v>
      </c>
    </row>
    <row r="67" spans="1:30">
      <c r="A67" s="9" t="s">
        <v>27</v>
      </c>
      <c r="B67" s="7" t="s">
        <v>28</v>
      </c>
      <c r="C67" s="6" t="s">
        <v>97</v>
      </c>
      <c r="D67" s="7">
        <v>13</v>
      </c>
      <c r="E67" s="7">
        <v>21</v>
      </c>
      <c r="F67" s="7">
        <v>10</v>
      </c>
      <c r="G67" s="7">
        <v>24</v>
      </c>
      <c r="H67" s="7">
        <v>7</v>
      </c>
      <c r="I67" s="7">
        <v>61</v>
      </c>
      <c r="J67" s="7">
        <v>1</v>
      </c>
      <c r="K67" s="7">
        <v>3.5999999999999996</v>
      </c>
      <c r="L67" s="7">
        <v>0</v>
      </c>
      <c r="M67" s="7">
        <v>3.2399999999999998</v>
      </c>
      <c r="N67" s="7">
        <v>1</v>
      </c>
      <c r="O67" s="7">
        <v>0</v>
      </c>
      <c r="P67" s="7">
        <v>5</v>
      </c>
      <c r="Q67" s="7">
        <v>0</v>
      </c>
      <c r="R67" s="7">
        <v>4</v>
      </c>
      <c r="S67" s="7">
        <v>1.6</v>
      </c>
      <c r="T67" s="7"/>
      <c r="U67" s="7"/>
      <c r="V67" s="7">
        <v>30</v>
      </c>
      <c r="W67" s="7">
        <v>0</v>
      </c>
      <c r="X67" s="7">
        <v>5</v>
      </c>
      <c r="Y67" s="7">
        <v>8</v>
      </c>
      <c r="Z67" s="7">
        <v>3</v>
      </c>
      <c r="AA67" s="7">
        <v>7</v>
      </c>
      <c r="AB67" s="7">
        <v>2</v>
      </c>
      <c r="AC67" s="7">
        <v>3</v>
      </c>
      <c r="AD67" s="7">
        <v>1</v>
      </c>
    </row>
    <row r="68" spans="1:30">
      <c r="A68" s="9" t="s">
        <v>27</v>
      </c>
      <c r="B68" s="7" t="s">
        <v>28</v>
      </c>
      <c r="C68" s="6" t="s">
        <v>98</v>
      </c>
      <c r="D68" s="7">
        <v>4</v>
      </c>
      <c r="E68" s="7">
        <v>15</v>
      </c>
      <c r="F68" s="7">
        <v>0</v>
      </c>
      <c r="G68" s="7">
        <v>7</v>
      </c>
      <c r="H68" s="7">
        <v>2</v>
      </c>
      <c r="I68" s="7">
        <v>43</v>
      </c>
      <c r="J68" s="7">
        <v>0</v>
      </c>
      <c r="K68" s="7">
        <v>3.75</v>
      </c>
      <c r="L68" s="7">
        <v>0</v>
      </c>
      <c r="M68" s="7">
        <v>3.375</v>
      </c>
      <c r="N68" s="7">
        <v>1</v>
      </c>
      <c r="O68" s="7">
        <v>0</v>
      </c>
      <c r="P68" s="7">
        <v>2</v>
      </c>
      <c r="Q68" s="7">
        <v>0</v>
      </c>
      <c r="R68" s="7">
        <v>0</v>
      </c>
      <c r="S68" s="7">
        <v>1.02</v>
      </c>
      <c r="T68" s="7"/>
      <c r="U68" s="7"/>
      <c r="V68" s="7">
        <v>1</v>
      </c>
      <c r="W68" s="7">
        <v>0</v>
      </c>
      <c r="X68" s="7">
        <v>2</v>
      </c>
      <c r="Y68" s="7">
        <v>5</v>
      </c>
      <c r="Z68" s="7">
        <v>0</v>
      </c>
      <c r="AA68" s="7">
        <v>4</v>
      </c>
      <c r="AB68" s="7">
        <v>4</v>
      </c>
      <c r="AC68" s="7">
        <v>4</v>
      </c>
      <c r="AD68" s="7">
        <v>1</v>
      </c>
    </row>
    <row r="69" spans="1:30">
      <c r="A69" s="9" t="s">
        <v>27</v>
      </c>
      <c r="B69" s="7" t="s">
        <v>28</v>
      </c>
      <c r="C69" s="6" t="s">
        <v>13</v>
      </c>
      <c r="D69" s="7">
        <v>4</v>
      </c>
      <c r="E69" s="7">
        <v>152</v>
      </c>
      <c r="F69" s="7">
        <v>1</v>
      </c>
      <c r="G69" s="7">
        <v>0</v>
      </c>
      <c r="H69" s="7">
        <v>3</v>
      </c>
      <c r="I69" s="7">
        <v>97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0.46</v>
      </c>
      <c r="P69" s="7">
        <v>1</v>
      </c>
      <c r="Q69" s="7">
        <v>1</v>
      </c>
      <c r="R69" s="7">
        <v>0</v>
      </c>
      <c r="S69" s="7">
        <v>0</v>
      </c>
      <c r="T69" s="7">
        <v>7</v>
      </c>
      <c r="U69" s="7"/>
      <c r="V69" s="7">
        <v>0</v>
      </c>
      <c r="W69" s="7">
        <v>0.36800000000000005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/>
    </row>
    <row r="70" spans="1:30">
      <c r="A70" s="9" t="s">
        <v>27</v>
      </c>
      <c r="B70" s="7" t="s">
        <v>29</v>
      </c>
      <c r="C70" s="6" t="s">
        <v>99</v>
      </c>
      <c r="D70" s="7">
        <v>11</v>
      </c>
      <c r="E70" s="7">
        <v>0</v>
      </c>
      <c r="F70" s="7">
        <v>3</v>
      </c>
      <c r="G70" s="7">
        <v>22</v>
      </c>
      <c r="H70" s="7">
        <v>7</v>
      </c>
      <c r="I70" s="7">
        <v>33</v>
      </c>
      <c r="J70" s="7">
        <v>15</v>
      </c>
      <c r="K70" s="7">
        <v>1</v>
      </c>
      <c r="L70" s="7">
        <v>5</v>
      </c>
      <c r="M70" s="7">
        <v>0.9</v>
      </c>
      <c r="N70" s="7">
        <v>2</v>
      </c>
      <c r="O70" s="7">
        <v>0.92</v>
      </c>
      <c r="P70" s="7">
        <v>1</v>
      </c>
      <c r="Q70" s="7">
        <v>2</v>
      </c>
      <c r="R70" s="7">
        <v>1</v>
      </c>
      <c r="S70" s="7">
        <v>3.2</v>
      </c>
      <c r="T70" s="7"/>
      <c r="U70" s="7"/>
      <c r="V70" s="7">
        <v>10</v>
      </c>
      <c r="W70" s="7">
        <v>0.7360000000000001</v>
      </c>
      <c r="X70" s="7">
        <v>59</v>
      </c>
      <c r="Y70" s="7">
        <v>17</v>
      </c>
      <c r="Z70" s="7">
        <v>0</v>
      </c>
      <c r="AA70" s="7">
        <v>1</v>
      </c>
      <c r="AB70" s="7">
        <v>3</v>
      </c>
      <c r="AC70" s="7">
        <v>6</v>
      </c>
      <c r="AD70" s="7">
        <v>4</v>
      </c>
    </row>
    <row r="71" spans="1:30">
      <c r="A71" s="9" t="s">
        <v>27</v>
      </c>
      <c r="B71" s="7" t="s">
        <v>29</v>
      </c>
      <c r="C71" s="6" t="s">
        <v>100</v>
      </c>
      <c r="D71" s="7">
        <v>2</v>
      </c>
      <c r="E71" s="7">
        <v>15</v>
      </c>
      <c r="F71" s="7">
        <v>1</v>
      </c>
      <c r="G71" s="7">
        <v>12</v>
      </c>
      <c r="H71" s="7">
        <v>1</v>
      </c>
      <c r="I71" s="7">
        <v>28</v>
      </c>
      <c r="J71" s="7">
        <v>12</v>
      </c>
      <c r="K71" s="7">
        <v>2</v>
      </c>
      <c r="L71" s="7">
        <v>0</v>
      </c>
      <c r="M71" s="7">
        <v>1.8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1</v>
      </c>
      <c r="T71" s="7"/>
      <c r="U71" s="7"/>
      <c r="V71" s="7">
        <v>0</v>
      </c>
      <c r="W71" s="7">
        <v>0</v>
      </c>
      <c r="X71" s="7">
        <v>0</v>
      </c>
      <c r="Y71" s="7">
        <v>3</v>
      </c>
      <c r="Z71" s="7">
        <v>0</v>
      </c>
      <c r="AA71" s="7">
        <v>0</v>
      </c>
      <c r="AB71" s="7">
        <v>1</v>
      </c>
      <c r="AC71" s="7">
        <v>2</v>
      </c>
      <c r="AD71" s="7">
        <v>1</v>
      </c>
    </row>
    <row r="72" spans="1:30">
      <c r="A72" s="9" t="s">
        <v>27</v>
      </c>
      <c r="B72" s="7" t="s">
        <v>29</v>
      </c>
      <c r="C72" s="6" t="s">
        <v>101</v>
      </c>
      <c r="D72" s="7">
        <v>11</v>
      </c>
      <c r="E72" s="7">
        <v>35</v>
      </c>
      <c r="F72" s="7">
        <v>6</v>
      </c>
      <c r="G72" s="7">
        <v>18</v>
      </c>
      <c r="H72" s="7">
        <v>11</v>
      </c>
      <c r="I72" s="7">
        <v>55</v>
      </c>
      <c r="J72" s="7">
        <v>1</v>
      </c>
      <c r="K72" s="7">
        <v>0.6</v>
      </c>
      <c r="L72" s="7">
        <v>0</v>
      </c>
      <c r="M72" s="7">
        <v>0.54</v>
      </c>
      <c r="N72" s="7">
        <v>0</v>
      </c>
      <c r="O72" s="7">
        <v>1.84</v>
      </c>
      <c r="P72" s="7">
        <v>1</v>
      </c>
      <c r="Q72" s="7">
        <v>4</v>
      </c>
      <c r="R72" s="7">
        <v>0</v>
      </c>
      <c r="S72" s="7">
        <v>2.04</v>
      </c>
      <c r="T72" s="7"/>
      <c r="U72" s="7"/>
      <c r="V72" s="7">
        <v>2</v>
      </c>
      <c r="W72" s="7">
        <v>1.4720000000000002</v>
      </c>
      <c r="X72" s="7">
        <v>0</v>
      </c>
      <c r="Y72" s="7">
        <v>14</v>
      </c>
      <c r="Z72" s="7">
        <v>0</v>
      </c>
      <c r="AA72" s="7">
        <v>2</v>
      </c>
      <c r="AB72" s="7">
        <v>0</v>
      </c>
      <c r="AC72" s="7">
        <v>8</v>
      </c>
      <c r="AD72" s="7">
        <v>1</v>
      </c>
    </row>
    <row r="73" spans="1:30">
      <c r="A73" s="9" t="s">
        <v>27</v>
      </c>
      <c r="B73" s="7" t="s">
        <v>29</v>
      </c>
      <c r="C73" s="6" t="s">
        <v>102</v>
      </c>
      <c r="D73" s="7">
        <v>32</v>
      </c>
      <c r="E73" s="7">
        <v>32</v>
      </c>
      <c r="F73" s="7">
        <v>15</v>
      </c>
      <c r="G73" s="7">
        <v>58</v>
      </c>
      <c r="H73" s="7">
        <v>43</v>
      </c>
      <c r="I73" s="7">
        <v>115</v>
      </c>
      <c r="J73" s="7">
        <v>9</v>
      </c>
      <c r="K73" s="7">
        <v>9.2999999999999989</v>
      </c>
      <c r="L73" s="7">
        <v>11</v>
      </c>
      <c r="M73" s="7">
        <v>8.3699999999999992</v>
      </c>
      <c r="N73" s="7">
        <v>2</v>
      </c>
      <c r="O73" s="7">
        <v>0</v>
      </c>
      <c r="P73" s="7">
        <v>1</v>
      </c>
      <c r="Q73" s="7">
        <v>0</v>
      </c>
      <c r="R73" s="7">
        <v>1</v>
      </c>
      <c r="S73" s="7">
        <v>2</v>
      </c>
      <c r="T73" s="7"/>
      <c r="U73" s="7"/>
      <c r="V73" s="7">
        <v>0</v>
      </c>
      <c r="W73" s="7">
        <v>0</v>
      </c>
      <c r="X73" s="7">
        <v>26</v>
      </c>
      <c r="Y73" s="7">
        <v>12</v>
      </c>
      <c r="Z73" s="7">
        <v>3</v>
      </c>
      <c r="AA73" s="7">
        <v>3</v>
      </c>
      <c r="AB73" s="7">
        <v>4</v>
      </c>
      <c r="AC73" s="7">
        <v>4</v>
      </c>
      <c r="AD73" s="7">
        <v>4</v>
      </c>
    </row>
    <row r="74" spans="1:30">
      <c r="A74" s="9" t="s">
        <v>27</v>
      </c>
      <c r="B74" s="7" t="s">
        <v>29</v>
      </c>
      <c r="C74" s="6" t="s">
        <v>13</v>
      </c>
      <c r="D74" s="7">
        <v>0</v>
      </c>
      <c r="E74" s="7">
        <v>23</v>
      </c>
      <c r="F74" s="7">
        <v>0</v>
      </c>
      <c r="G74" s="7">
        <v>1</v>
      </c>
      <c r="H74" s="7">
        <v>3</v>
      </c>
      <c r="I74" s="7">
        <v>17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/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"/>
    </row>
    <row r="75" spans="1:30">
      <c r="A75" s="9" t="s">
        <v>27</v>
      </c>
      <c r="B75" s="7" t="s">
        <v>30</v>
      </c>
      <c r="C75" s="6" t="s">
        <v>103</v>
      </c>
      <c r="D75" s="7">
        <v>62</v>
      </c>
      <c r="E75" s="7">
        <v>37</v>
      </c>
      <c r="F75" s="7">
        <v>46</v>
      </c>
      <c r="G75" s="7">
        <v>147</v>
      </c>
      <c r="H75" s="7">
        <v>54</v>
      </c>
      <c r="I75" s="7">
        <v>225</v>
      </c>
      <c r="J75" s="7">
        <v>0</v>
      </c>
      <c r="K75" s="7">
        <v>46.05</v>
      </c>
      <c r="L75" s="7">
        <v>11</v>
      </c>
      <c r="M75" s="7">
        <v>41.445</v>
      </c>
      <c r="N75" s="7">
        <v>4</v>
      </c>
      <c r="O75" s="7">
        <v>4.6000000000000005</v>
      </c>
      <c r="P75" s="7">
        <v>12</v>
      </c>
      <c r="Q75" s="7">
        <v>10</v>
      </c>
      <c r="R75" s="7">
        <v>2</v>
      </c>
      <c r="S75" s="7">
        <v>12.74</v>
      </c>
      <c r="T75" s="7"/>
      <c r="U75" s="7"/>
      <c r="V75" s="7">
        <v>137</v>
      </c>
      <c r="W75" s="7">
        <v>3.6800000000000006</v>
      </c>
      <c r="X75" s="7">
        <v>99</v>
      </c>
      <c r="Y75" s="7">
        <v>80</v>
      </c>
      <c r="Z75" s="7">
        <v>0</v>
      </c>
      <c r="AA75" s="7">
        <v>20</v>
      </c>
      <c r="AB75" s="7">
        <v>15</v>
      </c>
      <c r="AC75" s="7">
        <v>22</v>
      </c>
      <c r="AD75" s="7">
        <v>5</v>
      </c>
    </row>
    <row r="76" spans="1:30">
      <c r="A76" s="9" t="s">
        <v>27</v>
      </c>
      <c r="B76" s="7" t="s">
        <v>30</v>
      </c>
      <c r="C76" s="6" t="s">
        <v>104</v>
      </c>
      <c r="D76" s="7">
        <v>61</v>
      </c>
      <c r="E76" s="7">
        <v>298</v>
      </c>
      <c r="F76" s="7">
        <v>28</v>
      </c>
      <c r="G76" s="7">
        <v>96</v>
      </c>
      <c r="H76" s="7">
        <v>32</v>
      </c>
      <c r="I76" s="7">
        <v>452</v>
      </c>
      <c r="J76" s="7">
        <v>0</v>
      </c>
      <c r="K76" s="7">
        <v>33.75</v>
      </c>
      <c r="L76" s="7">
        <v>2</v>
      </c>
      <c r="M76" s="7">
        <v>30.375</v>
      </c>
      <c r="N76" s="7">
        <v>6</v>
      </c>
      <c r="O76" s="7">
        <v>7.36</v>
      </c>
      <c r="P76" s="7">
        <v>13</v>
      </c>
      <c r="Q76" s="7">
        <v>16</v>
      </c>
      <c r="R76" s="7">
        <v>3</v>
      </c>
      <c r="S76" s="7">
        <v>4.68</v>
      </c>
      <c r="T76" s="7"/>
      <c r="U76" s="7"/>
      <c r="V76" s="7">
        <v>34</v>
      </c>
      <c r="W76" s="7">
        <v>5.8880000000000008</v>
      </c>
      <c r="X76" s="7">
        <v>0</v>
      </c>
      <c r="Y76" s="7">
        <v>30</v>
      </c>
      <c r="Z76" s="7">
        <v>6</v>
      </c>
      <c r="AA76" s="7">
        <v>18</v>
      </c>
      <c r="AB76" s="7">
        <v>14</v>
      </c>
      <c r="AC76" s="7">
        <v>17</v>
      </c>
      <c r="AD76" s="7">
        <v>2</v>
      </c>
    </row>
    <row r="77" spans="1:30">
      <c r="A77" s="9" t="s">
        <v>27</v>
      </c>
      <c r="B77" s="7" t="s">
        <v>30</v>
      </c>
      <c r="C77" s="6" t="s">
        <v>13</v>
      </c>
      <c r="D77" s="7">
        <v>1</v>
      </c>
      <c r="E77" s="7">
        <v>88</v>
      </c>
      <c r="F77" s="7">
        <v>0</v>
      </c>
      <c r="G77" s="7">
        <v>2</v>
      </c>
      <c r="H77" s="7">
        <v>2</v>
      </c>
      <c r="I77" s="7">
        <v>67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1.3800000000000001</v>
      </c>
      <c r="P77" s="7">
        <v>0</v>
      </c>
      <c r="Q77" s="7">
        <v>3</v>
      </c>
      <c r="R77" s="7">
        <v>0</v>
      </c>
      <c r="S77" s="7">
        <v>0</v>
      </c>
      <c r="T77" s="7">
        <v>0</v>
      </c>
      <c r="U77" s="7"/>
      <c r="V77" s="7">
        <v>0</v>
      </c>
      <c r="W77" s="7">
        <v>1.1040000000000001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/>
    </row>
    <row r="78" spans="1:30">
      <c r="A78" s="9" t="s">
        <v>27</v>
      </c>
      <c r="B78" s="7" t="s">
        <v>143</v>
      </c>
      <c r="C78" s="6" t="s">
        <v>13</v>
      </c>
      <c r="D78" s="7">
        <v>14</v>
      </c>
      <c r="E78" s="7">
        <v>72</v>
      </c>
      <c r="F78" s="7">
        <v>0</v>
      </c>
      <c r="G78" s="7">
        <v>5</v>
      </c>
      <c r="H78" s="7">
        <v>4</v>
      </c>
      <c r="I78" s="7">
        <v>73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0.46</v>
      </c>
      <c r="P78" s="7">
        <v>0</v>
      </c>
      <c r="Q78" s="7">
        <v>1</v>
      </c>
      <c r="R78" s="7">
        <v>1</v>
      </c>
      <c r="S78" s="7">
        <v>0</v>
      </c>
      <c r="T78" s="7"/>
      <c r="U78" s="7"/>
      <c r="V78" s="7">
        <v>0</v>
      </c>
      <c r="W78" s="7">
        <v>0.36800000000000005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f>+(M78*0.3)</f>
        <v>0</v>
      </c>
      <c r="AD78" s="7"/>
    </row>
    <row r="79" spans="1:30">
      <c r="A79" s="9" t="s">
        <v>31</v>
      </c>
      <c r="B79" s="7" t="s">
        <v>32</v>
      </c>
      <c r="C79" s="6" t="s">
        <v>105</v>
      </c>
      <c r="D79" s="7">
        <v>72</v>
      </c>
      <c r="E79" s="7">
        <v>58</v>
      </c>
      <c r="F79" s="7">
        <v>49</v>
      </c>
      <c r="G79" s="7">
        <v>146</v>
      </c>
      <c r="H79" s="7">
        <v>31</v>
      </c>
      <c r="I79" s="7">
        <v>344</v>
      </c>
      <c r="J79" s="7">
        <v>0</v>
      </c>
      <c r="K79" s="7">
        <v>11.1</v>
      </c>
      <c r="L79" s="7">
        <v>13</v>
      </c>
      <c r="M79" s="7">
        <v>9.99</v>
      </c>
      <c r="N79" s="7">
        <v>2</v>
      </c>
      <c r="O79" s="7">
        <v>3.68</v>
      </c>
      <c r="P79" s="7">
        <v>6</v>
      </c>
      <c r="Q79" s="7">
        <v>8</v>
      </c>
      <c r="R79" s="7">
        <v>4</v>
      </c>
      <c r="S79" s="7">
        <v>7.1</v>
      </c>
      <c r="T79" s="7"/>
      <c r="U79" s="7"/>
      <c r="V79" s="7">
        <v>5</v>
      </c>
      <c r="W79" s="7">
        <v>2.9440000000000004</v>
      </c>
      <c r="X79" s="7">
        <v>30</v>
      </c>
      <c r="Y79" s="7">
        <v>53</v>
      </c>
      <c r="Z79" s="7">
        <v>0</v>
      </c>
      <c r="AA79" s="7">
        <v>11</v>
      </c>
      <c r="AB79" s="7">
        <v>3</v>
      </c>
      <c r="AC79" s="7">
        <v>10</v>
      </c>
      <c r="AD79" s="7">
        <v>5</v>
      </c>
    </row>
    <row r="80" spans="1:30">
      <c r="A80" s="9" t="s">
        <v>31</v>
      </c>
      <c r="B80" s="7" t="s">
        <v>32</v>
      </c>
      <c r="C80" s="6" t="s">
        <v>106</v>
      </c>
      <c r="D80" s="7">
        <v>38</v>
      </c>
      <c r="E80" s="7">
        <v>207</v>
      </c>
      <c r="F80" s="7">
        <v>26</v>
      </c>
      <c r="G80" s="7">
        <v>99</v>
      </c>
      <c r="H80" s="7">
        <v>45</v>
      </c>
      <c r="I80" s="7">
        <v>342</v>
      </c>
      <c r="J80" s="7">
        <v>0</v>
      </c>
      <c r="K80" s="7">
        <v>20.849999999999998</v>
      </c>
      <c r="L80" s="7">
        <v>8</v>
      </c>
      <c r="M80" s="7">
        <v>18.764999999999997</v>
      </c>
      <c r="N80" s="7">
        <v>1</v>
      </c>
      <c r="O80" s="7">
        <v>6.44</v>
      </c>
      <c r="P80" s="7">
        <v>8</v>
      </c>
      <c r="Q80" s="7">
        <v>14</v>
      </c>
      <c r="R80" s="7">
        <v>2</v>
      </c>
      <c r="S80" s="7">
        <v>6.04</v>
      </c>
      <c r="T80" s="7"/>
      <c r="U80" s="7"/>
      <c r="V80" s="7">
        <v>2</v>
      </c>
      <c r="W80" s="7">
        <v>5.152000000000001</v>
      </c>
      <c r="X80" s="7">
        <v>12</v>
      </c>
      <c r="Y80" s="7">
        <v>48</v>
      </c>
      <c r="Z80" s="7">
        <v>0</v>
      </c>
      <c r="AA80" s="7">
        <v>7</v>
      </c>
      <c r="AB80" s="7">
        <v>2</v>
      </c>
      <c r="AC80" s="7">
        <v>7</v>
      </c>
      <c r="AD80" s="7">
        <v>9</v>
      </c>
    </row>
    <row r="81" spans="1:30">
      <c r="A81" s="9" t="s">
        <v>31</v>
      </c>
      <c r="B81" s="7" t="s">
        <v>32</v>
      </c>
      <c r="C81" s="6" t="s">
        <v>13</v>
      </c>
      <c r="D81" s="7">
        <v>2</v>
      </c>
      <c r="E81" s="7">
        <v>173</v>
      </c>
      <c r="F81" s="7">
        <v>0</v>
      </c>
      <c r="G81" s="7">
        <v>7</v>
      </c>
      <c r="H81" s="7">
        <v>9</v>
      </c>
      <c r="I81" s="7">
        <v>106</v>
      </c>
      <c r="J81" s="7">
        <v>0</v>
      </c>
      <c r="K81" s="7">
        <v>0</v>
      </c>
      <c r="L81" s="7">
        <v>0</v>
      </c>
      <c r="M81" s="7">
        <v>0</v>
      </c>
      <c r="N81" s="7">
        <v>1</v>
      </c>
      <c r="O81" s="7">
        <v>0.46</v>
      </c>
      <c r="P81" s="7">
        <v>1</v>
      </c>
      <c r="Q81" s="7">
        <v>1</v>
      </c>
      <c r="R81" s="7">
        <v>1</v>
      </c>
      <c r="S81" s="7">
        <v>0</v>
      </c>
      <c r="T81" s="7">
        <v>2</v>
      </c>
      <c r="U81" s="7"/>
      <c r="V81" s="7">
        <v>0</v>
      </c>
      <c r="W81" s="7">
        <v>0.36800000000000005</v>
      </c>
      <c r="X81" s="7"/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/>
    </row>
    <row r="82" spans="1:30">
      <c r="A82" s="9" t="s">
        <v>31</v>
      </c>
      <c r="B82" s="7" t="s">
        <v>33</v>
      </c>
      <c r="C82" s="6" t="s">
        <v>107</v>
      </c>
      <c r="D82" s="7">
        <v>26</v>
      </c>
      <c r="E82" s="7">
        <v>55</v>
      </c>
      <c r="F82" s="7">
        <v>13</v>
      </c>
      <c r="G82" s="7">
        <v>61</v>
      </c>
      <c r="H82" s="7">
        <v>45</v>
      </c>
      <c r="I82" s="7">
        <v>123</v>
      </c>
      <c r="J82" s="7">
        <v>0</v>
      </c>
      <c r="K82" s="7">
        <v>8.4</v>
      </c>
      <c r="L82" s="7">
        <v>9</v>
      </c>
      <c r="M82" s="7">
        <v>7.5600000000000005</v>
      </c>
      <c r="N82" s="7">
        <v>1</v>
      </c>
      <c r="O82" s="7">
        <v>0</v>
      </c>
      <c r="P82" s="7">
        <v>4</v>
      </c>
      <c r="Q82" s="7">
        <v>0</v>
      </c>
      <c r="R82" s="7">
        <v>2</v>
      </c>
      <c r="S82" s="7">
        <v>3.8</v>
      </c>
      <c r="T82" s="7"/>
      <c r="U82" s="7"/>
      <c r="V82" s="7">
        <v>40</v>
      </c>
      <c r="W82" s="7">
        <v>0</v>
      </c>
      <c r="X82" s="7">
        <v>0</v>
      </c>
      <c r="Y82" s="7">
        <v>23</v>
      </c>
      <c r="Z82" s="7">
        <v>5</v>
      </c>
      <c r="AA82" s="7">
        <v>6</v>
      </c>
      <c r="AB82" s="7">
        <v>8</v>
      </c>
      <c r="AC82" s="7">
        <v>11</v>
      </c>
      <c r="AD82" s="7">
        <v>10</v>
      </c>
    </row>
    <row r="83" spans="1:30">
      <c r="A83" s="9" t="s">
        <v>31</v>
      </c>
      <c r="B83" s="7" t="s">
        <v>33</v>
      </c>
      <c r="C83" s="6" t="s">
        <v>108</v>
      </c>
      <c r="D83" s="7">
        <v>56</v>
      </c>
      <c r="E83" s="7">
        <v>206</v>
      </c>
      <c r="F83" s="7">
        <v>44</v>
      </c>
      <c r="G83" s="7">
        <v>128</v>
      </c>
      <c r="H83" s="7">
        <v>128</v>
      </c>
      <c r="I83" s="7">
        <v>367</v>
      </c>
      <c r="J83" s="7">
        <v>3</v>
      </c>
      <c r="K83" s="7">
        <v>42</v>
      </c>
      <c r="L83" s="7">
        <v>24</v>
      </c>
      <c r="M83" s="7">
        <v>37.800000000000004</v>
      </c>
      <c r="N83" s="7">
        <v>5</v>
      </c>
      <c r="O83" s="7">
        <v>1.3800000000000001</v>
      </c>
      <c r="P83" s="7">
        <v>20</v>
      </c>
      <c r="Q83" s="7">
        <v>3</v>
      </c>
      <c r="R83" s="7">
        <v>5</v>
      </c>
      <c r="S83" s="7">
        <v>5.0199999999999996</v>
      </c>
      <c r="T83" s="7"/>
      <c r="U83" s="7"/>
      <c r="V83" s="7">
        <v>1</v>
      </c>
      <c r="W83" s="7">
        <v>1.1040000000000001</v>
      </c>
      <c r="X83" s="7">
        <v>17</v>
      </c>
      <c r="Y83" s="7">
        <v>37</v>
      </c>
      <c r="Z83" s="7">
        <v>10</v>
      </c>
      <c r="AA83" s="7">
        <v>6</v>
      </c>
      <c r="AB83" s="7">
        <v>9</v>
      </c>
      <c r="AC83" s="7">
        <v>11</v>
      </c>
      <c r="AD83" s="7">
        <v>10</v>
      </c>
    </row>
    <row r="84" spans="1:30">
      <c r="A84" s="9" t="s">
        <v>31</v>
      </c>
      <c r="B84" s="7" t="s">
        <v>33</v>
      </c>
      <c r="C84" s="6" t="s">
        <v>13</v>
      </c>
      <c r="D84" s="7">
        <v>0</v>
      </c>
      <c r="E84" s="7">
        <v>41</v>
      </c>
      <c r="F84" s="7">
        <v>0</v>
      </c>
      <c r="G84" s="7">
        <v>1</v>
      </c>
      <c r="H84" s="7">
        <v>3</v>
      </c>
      <c r="I84" s="7">
        <v>18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/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"/>
    </row>
    <row r="85" spans="1:30">
      <c r="A85" s="9" t="s">
        <v>31</v>
      </c>
      <c r="B85" s="7" t="s">
        <v>34</v>
      </c>
      <c r="C85" s="6" t="s">
        <v>109</v>
      </c>
      <c r="D85" s="7">
        <v>56</v>
      </c>
      <c r="E85" s="7">
        <v>167</v>
      </c>
      <c r="F85" s="7">
        <v>44</v>
      </c>
      <c r="G85" s="7">
        <v>242</v>
      </c>
      <c r="H85" s="7">
        <v>41</v>
      </c>
      <c r="I85" s="7">
        <v>380</v>
      </c>
      <c r="J85" s="7">
        <v>0</v>
      </c>
      <c r="K85" s="7">
        <v>16</v>
      </c>
      <c r="L85" s="7">
        <v>5</v>
      </c>
      <c r="M85" s="7">
        <v>14.4</v>
      </c>
      <c r="N85" s="7">
        <v>2</v>
      </c>
      <c r="O85" s="7">
        <v>2.7600000000000002</v>
      </c>
      <c r="P85" s="7">
        <v>17</v>
      </c>
      <c r="Q85" s="7">
        <v>6</v>
      </c>
      <c r="R85" s="7">
        <v>7</v>
      </c>
      <c r="S85" s="7">
        <v>4.88</v>
      </c>
      <c r="T85" s="7"/>
      <c r="U85" s="7"/>
      <c r="V85" s="7">
        <v>44</v>
      </c>
      <c r="W85" s="7">
        <v>2.2080000000000002</v>
      </c>
      <c r="X85" s="7">
        <v>7</v>
      </c>
      <c r="Y85" s="7">
        <v>31</v>
      </c>
      <c r="Z85" s="7">
        <v>5</v>
      </c>
      <c r="AA85" s="7">
        <v>8</v>
      </c>
      <c r="AB85" s="7">
        <v>6</v>
      </c>
      <c r="AC85" s="7">
        <v>14</v>
      </c>
      <c r="AD85" s="7">
        <v>2</v>
      </c>
    </row>
    <row r="86" spans="1:30">
      <c r="A86" s="9" t="s">
        <v>31</v>
      </c>
      <c r="B86" s="7" t="s">
        <v>34</v>
      </c>
      <c r="C86" s="6" t="s">
        <v>110</v>
      </c>
      <c r="D86" s="7">
        <v>69</v>
      </c>
      <c r="E86" s="7">
        <v>40</v>
      </c>
      <c r="F86" s="7">
        <v>11</v>
      </c>
      <c r="G86" s="7">
        <v>169</v>
      </c>
      <c r="H86" s="7">
        <v>27</v>
      </c>
      <c r="I86" s="7">
        <v>197</v>
      </c>
      <c r="J86" s="7">
        <v>0</v>
      </c>
      <c r="K86" s="7">
        <v>18</v>
      </c>
      <c r="L86" s="7">
        <v>0</v>
      </c>
      <c r="M86" s="7">
        <v>16.2</v>
      </c>
      <c r="N86" s="7">
        <v>3</v>
      </c>
      <c r="O86" s="7">
        <v>3.68</v>
      </c>
      <c r="P86" s="7">
        <v>6</v>
      </c>
      <c r="Q86" s="7">
        <v>8</v>
      </c>
      <c r="R86" s="7">
        <v>1</v>
      </c>
      <c r="S86" s="7">
        <v>2</v>
      </c>
      <c r="T86" s="7"/>
      <c r="U86" s="7"/>
      <c r="V86" s="7">
        <v>0</v>
      </c>
      <c r="W86" s="7">
        <v>2.9440000000000004</v>
      </c>
      <c r="X86" s="7">
        <v>2</v>
      </c>
      <c r="Y86" s="7">
        <v>15</v>
      </c>
      <c r="Z86" s="7">
        <v>2</v>
      </c>
      <c r="AA86" s="7">
        <v>13</v>
      </c>
      <c r="AB86" s="7">
        <v>6</v>
      </c>
      <c r="AC86" s="7">
        <v>10</v>
      </c>
      <c r="AD86" s="7">
        <v>2</v>
      </c>
    </row>
    <row r="87" spans="1:30">
      <c r="A87" s="9" t="s">
        <v>31</v>
      </c>
      <c r="B87" s="7" t="s">
        <v>34</v>
      </c>
      <c r="C87" s="6" t="s">
        <v>111</v>
      </c>
      <c r="D87" s="7">
        <v>101</v>
      </c>
      <c r="E87" s="7">
        <v>150</v>
      </c>
      <c r="F87" s="7">
        <v>15</v>
      </c>
      <c r="G87" s="7">
        <v>215</v>
      </c>
      <c r="H87" s="7">
        <v>47</v>
      </c>
      <c r="I87" s="7">
        <v>418</v>
      </c>
      <c r="J87" s="7">
        <v>3</v>
      </c>
      <c r="K87" s="7">
        <v>21</v>
      </c>
      <c r="L87" s="7">
        <v>16</v>
      </c>
      <c r="M87" s="7">
        <v>18.900000000000002</v>
      </c>
      <c r="N87" s="7">
        <v>4</v>
      </c>
      <c r="O87" s="7">
        <v>6.44</v>
      </c>
      <c r="P87" s="7">
        <v>12</v>
      </c>
      <c r="Q87" s="7">
        <v>14</v>
      </c>
      <c r="R87" s="7">
        <v>4</v>
      </c>
      <c r="S87" s="7">
        <v>5.04</v>
      </c>
      <c r="T87" s="7"/>
      <c r="U87" s="7"/>
      <c r="V87" s="7">
        <v>2</v>
      </c>
      <c r="W87" s="7">
        <v>5.152000000000001</v>
      </c>
      <c r="X87" s="7">
        <v>40</v>
      </c>
      <c r="Y87" s="7">
        <v>40</v>
      </c>
      <c r="Z87" s="7">
        <v>3</v>
      </c>
      <c r="AA87" s="7">
        <v>35</v>
      </c>
      <c r="AB87" s="7">
        <v>11</v>
      </c>
      <c r="AC87" s="7">
        <v>16</v>
      </c>
      <c r="AD87" s="7">
        <v>30</v>
      </c>
    </row>
    <row r="88" spans="1:30">
      <c r="A88" s="9" t="s">
        <v>31</v>
      </c>
      <c r="B88" s="7" t="s">
        <v>34</v>
      </c>
      <c r="C88" s="6" t="s">
        <v>112</v>
      </c>
      <c r="D88" s="7">
        <v>7</v>
      </c>
      <c r="E88" s="7">
        <v>45</v>
      </c>
      <c r="F88" s="7">
        <v>2</v>
      </c>
      <c r="G88" s="7">
        <v>35</v>
      </c>
      <c r="H88" s="7">
        <v>1</v>
      </c>
      <c r="I88" s="7">
        <v>59</v>
      </c>
      <c r="J88" s="7">
        <v>0</v>
      </c>
      <c r="K88" s="7">
        <v>1.3499999999999999</v>
      </c>
      <c r="L88" s="7">
        <v>0</v>
      </c>
      <c r="M88" s="7">
        <v>1.2149999999999999</v>
      </c>
      <c r="N88" s="7">
        <v>1</v>
      </c>
      <c r="O88" s="7">
        <v>1.3800000000000001</v>
      </c>
      <c r="P88" s="7">
        <v>6</v>
      </c>
      <c r="Q88" s="7">
        <v>3</v>
      </c>
      <c r="R88" s="7">
        <v>1</v>
      </c>
      <c r="S88" s="7">
        <v>1</v>
      </c>
      <c r="T88" s="7"/>
      <c r="U88" s="7"/>
      <c r="V88" s="7">
        <v>0</v>
      </c>
      <c r="W88" s="7">
        <v>1.1040000000000001</v>
      </c>
      <c r="X88" s="7">
        <v>0</v>
      </c>
      <c r="Y88" s="7">
        <v>4</v>
      </c>
      <c r="Z88" s="7">
        <v>0</v>
      </c>
      <c r="AA88" s="7">
        <v>3</v>
      </c>
      <c r="AB88" s="7">
        <v>0</v>
      </c>
      <c r="AC88" s="7">
        <v>6</v>
      </c>
      <c r="AD88" s="7">
        <v>1</v>
      </c>
    </row>
    <row r="89" spans="1:30">
      <c r="A89" s="9" t="s">
        <v>31</v>
      </c>
      <c r="B89" s="7" t="s">
        <v>34</v>
      </c>
      <c r="C89" s="6" t="s">
        <v>13</v>
      </c>
      <c r="D89" s="7">
        <v>2</v>
      </c>
      <c r="E89" s="7">
        <v>340</v>
      </c>
      <c r="F89" s="7">
        <v>0</v>
      </c>
      <c r="G89" s="7">
        <v>16</v>
      </c>
      <c r="H89" s="7">
        <v>25</v>
      </c>
      <c r="I89" s="7">
        <v>155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0.46</v>
      </c>
      <c r="P89" s="7">
        <v>3</v>
      </c>
      <c r="Q89" s="7">
        <v>1</v>
      </c>
      <c r="R89" s="7">
        <v>1</v>
      </c>
      <c r="S89" s="7">
        <v>0</v>
      </c>
      <c r="T89" s="7">
        <v>2</v>
      </c>
      <c r="U89" s="7"/>
      <c r="V89" s="7">
        <v>0</v>
      </c>
      <c r="W89" s="7">
        <v>0.36800000000000005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/>
    </row>
    <row r="90" spans="1:30">
      <c r="A90" s="9" t="s">
        <v>31</v>
      </c>
      <c r="B90" s="7" t="s">
        <v>35</v>
      </c>
      <c r="C90" s="6" t="s">
        <v>113</v>
      </c>
      <c r="D90" s="7">
        <v>42</v>
      </c>
      <c r="E90" s="7">
        <v>15</v>
      </c>
      <c r="F90" s="7">
        <v>25</v>
      </c>
      <c r="G90" s="7">
        <v>111</v>
      </c>
      <c r="H90" s="7">
        <v>34</v>
      </c>
      <c r="I90" s="7">
        <v>186</v>
      </c>
      <c r="J90" s="7">
        <v>0</v>
      </c>
      <c r="K90" s="7">
        <v>33.449999999999996</v>
      </c>
      <c r="L90" s="7">
        <v>15</v>
      </c>
      <c r="M90" s="7">
        <v>30.104999999999997</v>
      </c>
      <c r="N90" s="7">
        <v>2</v>
      </c>
      <c r="O90" s="7">
        <v>2.3000000000000003</v>
      </c>
      <c r="P90" s="7">
        <v>4</v>
      </c>
      <c r="Q90" s="7">
        <v>5</v>
      </c>
      <c r="R90" s="7">
        <v>6</v>
      </c>
      <c r="S90" s="7">
        <v>5.66</v>
      </c>
      <c r="T90" s="7"/>
      <c r="U90" s="7"/>
      <c r="V90" s="7">
        <v>33</v>
      </c>
      <c r="W90" s="7">
        <v>1.8400000000000003</v>
      </c>
      <c r="X90" s="7">
        <v>24</v>
      </c>
      <c r="Y90" s="7">
        <v>37</v>
      </c>
      <c r="Z90" s="7">
        <v>18</v>
      </c>
      <c r="AA90" s="7">
        <v>11</v>
      </c>
      <c r="AB90" s="7">
        <v>8</v>
      </c>
      <c r="AC90" s="7">
        <v>40</v>
      </c>
      <c r="AD90" s="7">
        <v>4</v>
      </c>
    </row>
    <row r="91" spans="1:30">
      <c r="A91" s="9" t="s">
        <v>31</v>
      </c>
      <c r="B91" s="7" t="s">
        <v>35</v>
      </c>
      <c r="C91" s="6" t="s">
        <v>114</v>
      </c>
      <c r="D91" s="7">
        <v>35</v>
      </c>
      <c r="E91" s="7">
        <v>146</v>
      </c>
      <c r="F91" s="7">
        <v>26</v>
      </c>
      <c r="G91" s="7">
        <v>89</v>
      </c>
      <c r="H91" s="7">
        <v>46</v>
      </c>
      <c r="I91" s="7">
        <v>246</v>
      </c>
      <c r="J91" s="7">
        <v>0</v>
      </c>
      <c r="K91" s="7">
        <v>17.849999999999998</v>
      </c>
      <c r="L91" s="7">
        <v>0</v>
      </c>
      <c r="M91" s="7">
        <v>16.064999999999998</v>
      </c>
      <c r="N91" s="7">
        <v>2</v>
      </c>
      <c r="O91" s="7">
        <v>4.1400000000000006</v>
      </c>
      <c r="P91" s="7">
        <v>6</v>
      </c>
      <c r="Q91" s="7">
        <v>9</v>
      </c>
      <c r="R91" s="7">
        <v>2</v>
      </c>
      <c r="S91" s="7">
        <v>6.04</v>
      </c>
      <c r="T91" s="7"/>
      <c r="U91" s="7"/>
      <c r="V91" s="7">
        <v>2</v>
      </c>
      <c r="W91" s="7">
        <v>3.3120000000000007</v>
      </c>
      <c r="X91" s="7">
        <v>6</v>
      </c>
      <c r="Y91" s="7">
        <v>45</v>
      </c>
      <c r="Z91" s="7">
        <v>6</v>
      </c>
      <c r="AA91" s="7">
        <v>12</v>
      </c>
      <c r="AB91" s="7">
        <v>4</v>
      </c>
      <c r="AC91" s="7">
        <v>26</v>
      </c>
      <c r="AD91" s="7">
        <v>2</v>
      </c>
    </row>
    <row r="92" spans="1:30">
      <c r="A92" s="9" t="s">
        <v>31</v>
      </c>
      <c r="B92" s="7" t="s">
        <v>35</v>
      </c>
      <c r="C92" s="6" t="s">
        <v>115</v>
      </c>
      <c r="D92" s="7">
        <v>114</v>
      </c>
      <c r="E92" s="7">
        <v>300</v>
      </c>
      <c r="F92" s="7">
        <v>77</v>
      </c>
      <c r="G92" s="7">
        <v>314</v>
      </c>
      <c r="H92" s="7">
        <v>98</v>
      </c>
      <c r="I92" s="7">
        <v>674</v>
      </c>
      <c r="J92" s="7">
        <v>0</v>
      </c>
      <c r="K92" s="7">
        <v>46.949999999999996</v>
      </c>
      <c r="L92" s="7">
        <v>12</v>
      </c>
      <c r="M92" s="7">
        <v>42.254999999999995</v>
      </c>
      <c r="N92" s="7">
        <v>11</v>
      </c>
      <c r="O92" s="7">
        <v>8.74</v>
      </c>
      <c r="P92" s="7">
        <v>14</v>
      </c>
      <c r="Q92" s="7">
        <v>19</v>
      </c>
      <c r="R92" s="7">
        <v>9</v>
      </c>
      <c r="S92" s="7">
        <v>4.08</v>
      </c>
      <c r="T92" s="7"/>
      <c r="U92" s="7"/>
      <c r="V92" s="7">
        <v>4</v>
      </c>
      <c r="W92" s="7">
        <v>6.9920000000000009</v>
      </c>
      <c r="X92" s="7">
        <v>0</v>
      </c>
      <c r="Y92" s="7">
        <v>30</v>
      </c>
      <c r="Z92" s="7">
        <v>8</v>
      </c>
      <c r="AA92" s="7">
        <v>11</v>
      </c>
      <c r="AB92" s="7">
        <v>10</v>
      </c>
      <c r="AC92" s="7">
        <v>20</v>
      </c>
      <c r="AD92" s="7">
        <v>5</v>
      </c>
    </row>
    <row r="93" spans="1:30">
      <c r="A93" s="9" t="s">
        <v>31</v>
      </c>
      <c r="B93" s="7" t="s">
        <v>35</v>
      </c>
      <c r="C93" s="6" t="s">
        <v>116</v>
      </c>
      <c r="D93" s="7">
        <v>7</v>
      </c>
      <c r="E93" s="7">
        <v>6</v>
      </c>
      <c r="F93" s="7">
        <v>2</v>
      </c>
      <c r="G93" s="7">
        <v>18</v>
      </c>
      <c r="H93" s="7">
        <v>7</v>
      </c>
      <c r="I93" s="7">
        <v>17</v>
      </c>
      <c r="J93" s="7">
        <v>0</v>
      </c>
      <c r="K93" s="7">
        <v>0.75</v>
      </c>
      <c r="L93" s="7">
        <v>0</v>
      </c>
      <c r="M93" s="7">
        <v>0.67500000000000004</v>
      </c>
      <c r="N93" s="7">
        <v>1</v>
      </c>
      <c r="O93" s="7">
        <v>0.46</v>
      </c>
      <c r="P93" s="7">
        <v>0</v>
      </c>
      <c r="Q93" s="7">
        <v>1</v>
      </c>
      <c r="R93" s="7">
        <v>0</v>
      </c>
      <c r="S93" s="7">
        <v>4</v>
      </c>
      <c r="T93" s="7"/>
      <c r="U93" s="7"/>
      <c r="V93" s="7">
        <v>0</v>
      </c>
      <c r="W93" s="7">
        <v>0.36800000000000005</v>
      </c>
      <c r="X93" s="7">
        <v>0</v>
      </c>
      <c r="Y93" s="7">
        <v>28</v>
      </c>
      <c r="Z93" s="7">
        <v>3</v>
      </c>
      <c r="AA93" s="7">
        <v>3</v>
      </c>
      <c r="AB93" s="7">
        <v>3</v>
      </c>
      <c r="AC93" s="7">
        <v>10</v>
      </c>
      <c r="AD93" s="7">
        <v>1</v>
      </c>
    </row>
    <row r="94" spans="1:30">
      <c r="A94" s="9" t="s">
        <v>31</v>
      </c>
      <c r="B94" s="7" t="s">
        <v>35</v>
      </c>
      <c r="C94" s="6" t="s">
        <v>117</v>
      </c>
      <c r="D94" s="7">
        <v>34</v>
      </c>
      <c r="E94" s="7">
        <v>60</v>
      </c>
      <c r="F94" s="7">
        <v>11</v>
      </c>
      <c r="G94" s="7">
        <v>66</v>
      </c>
      <c r="H94" s="7">
        <v>22</v>
      </c>
      <c r="I94" s="7">
        <v>122</v>
      </c>
      <c r="J94" s="7">
        <v>2</v>
      </c>
      <c r="K94" s="7">
        <v>9.4499999999999993</v>
      </c>
      <c r="L94" s="7">
        <v>1</v>
      </c>
      <c r="M94" s="7">
        <v>8.504999999999999</v>
      </c>
      <c r="N94" s="7">
        <v>4</v>
      </c>
      <c r="O94" s="7">
        <v>1.84</v>
      </c>
      <c r="P94" s="7">
        <v>7</v>
      </c>
      <c r="Q94" s="7">
        <v>4</v>
      </c>
      <c r="R94" s="7">
        <v>0</v>
      </c>
      <c r="S94" s="7">
        <v>4.2</v>
      </c>
      <c r="T94" s="7"/>
      <c r="U94" s="7"/>
      <c r="V94" s="7">
        <v>10</v>
      </c>
      <c r="W94" s="7">
        <v>1.4720000000000002</v>
      </c>
      <c r="X94" s="7">
        <v>13</v>
      </c>
      <c r="Y94" s="7">
        <v>32</v>
      </c>
      <c r="Z94" s="7">
        <v>6</v>
      </c>
      <c r="AA94" s="7">
        <v>6</v>
      </c>
      <c r="AB94" s="7">
        <v>0</v>
      </c>
      <c r="AC94" s="7">
        <v>10</v>
      </c>
      <c r="AD94" s="7">
        <v>3</v>
      </c>
    </row>
    <row r="95" spans="1:30">
      <c r="A95" s="9" t="s">
        <v>31</v>
      </c>
      <c r="B95" s="7" t="s">
        <v>35</v>
      </c>
      <c r="C95" s="6" t="s">
        <v>118</v>
      </c>
      <c r="D95" s="7">
        <v>55</v>
      </c>
      <c r="E95" s="7">
        <v>240</v>
      </c>
      <c r="F95" s="7">
        <v>28</v>
      </c>
      <c r="G95" s="7">
        <v>109</v>
      </c>
      <c r="H95" s="7">
        <v>30</v>
      </c>
      <c r="I95" s="7">
        <v>340</v>
      </c>
      <c r="J95" s="7">
        <v>12</v>
      </c>
      <c r="K95" s="7">
        <v>9.15</v>
      </c>
      <c r="L95" s="7">
        <v>0</v>
      </c>
      <c r="M95" s="7">
        <v>8.2350000000000012</v>
      </c>
      <c r="N95" s="7">
        <v>7</v>
      </c>
      <c r="O95" s="7">
        <v>5.5200000000000005</v>
      </c>
      <c r="P95" s="7">
        <v>24</v>
      </c>
      <c r="Q95" s="7">
        <v>12</v>
      </c>
      <c r="R95" s="7">
        <v>2</v>
      </c>
      <c r="S95" s="7">
        <v>4.72</v>
      </c>
      <c r="T95" s="7"/>
      <c r="U95" s="7"/>
      <c r="V95" s="7">
        <v>86</v>
      </c>
      <c r="W95" s="7">
        <v>4.4160000000000004</v>
      </c>
      <c r="X95" s="7">
        <v>12</v>
      </c>
      <c r="Y95" s="7">
        <v>21</v>
      </c>
      <c r="Z95" s="7">
        <v>1</v>
      </c>
      <c r="AA95" s="7">
        <v>8</v>
      </c>
      <c r="AB95" s="7">
        <v>1</v>
      </c>
      <c r="AC95" s="7">
        <v>10</v>
      </c>
      <c r="AD95" s="7">
        <v>4</v>
      </c>
    </row>
    <row r="96" spans="1:30">
      <c r="A96" s="9" t="s">
        <v>31</v>
      </c>
      <c r="B96" s="7" t="s">
        <v>35</v>
      </c>
      <c r="C96" s="6" t="s">
        <v>13</v>
      </c>
      <c r="D96" s="7">
        <v>6</v>
      </c>
      <c r="E96" s="7">
        <v>690</v>
      </c>
      <c r="F96" s="7">
        <v>1</v>
      </c>
      <c r="G96" s="7">
        <v>9</v>
      </c>
      <c r="H96" s="7">
        <v>49</v>
      </c>
      <c r="I96" s="7">
        <v>363</v>
      </c>
      <c r="J96" s="7">
        <v>0</v>
      </c>
      <c r="K96" s="7">
        <v>0</v>
      </c>
      <c r="L96" s="7">
        <v>0</v>
      </c>
      <c r="M96" s="7">
        <v>0</v>
      </c>
      <c r="N96" s="7">
        <v>3</v>
      </c>
      <c r="O96" s="7">
        <v>1.84</v>
      </c>
      <c r="P96" s="7">
        <v>1</v>
      </c>
      <c r="Q96" s="7">
        <v>4</v>
      </c>
      <c r="R96" s="7">
        <v>0</v>
      </c>
      <c r="S96" s="7">
        <v>0</v>
      </c>
      <c r="T96" s="7">
        <v>0</v>
      </c>
      <c r="U96" s="7"/>
      <c r="V96" s="7">
        <v>0</v>
      </c>
      <c r="W96" s="7">
        <v>1.4720000000000002</v>
      </c>
      <c r="X96" s="7">
        <v>0</v>
      </c>
      <c r="Y96" s="7">
        <v>0</v>
      </c>
      <c r="Z96" s="7">
        <v>0</v>
      </c>
      <c r="AA96" s="7">
        <v>0</v>
      </c>
      <c r="AB96" s="7">
        <v>0</v>
      </c>
      <c r="AC96" s="7">
        <f>+(M96*0.3)</f>
        <v>0</v>
      </c>
      <c r="AD96" s="7"/>
    </row>
    <row r="97" spans="1:30">
      <c r="A97" s="9" t="s">
        <v>31</v>
      </c>
      <c r="B97" s="7" t="s">
        <v>143</v>
      </c>
      <c r="C97" s="6" t="s">
        <v>13</v>
      </c>
      <c r="D97" s="7">
        <v>50</v>
      </c>
      <c r="E97" s="7">
        <v>726</v>
      </c>
      <c r="F97" s="7">
        <v>2</v>
      </c>
      <c r="G97" s="7">
        <v>31</v>
      </c>
      <c r="H97" s="7">
        <v>67</v>
      </c>
      <c r="I97" s="7">
        <v>355</v>
      </c>
      <c r="J97" s="7">
        <v>0</v>
      </c>
      <c r="K97" s="7">
        <v>0</v>
      </c>
      <c r="L97" s="7">
        <v>0</v>
      </c>
      <c r="M97" s="7">
        <v>0</v>
      </c>
      <c r="N97" s="7">
        <v>1</v>
      </c>
      <c r="O97" s="7">
        <v>6.44</v>
      </c>
      <c r="P97" s="7">
        <v>7</v>
      </c>
      <c r="Q97" s="7">
        <v>14</v>
      </c>
      <c r="R97" s="7">
        <v>1</v>
      </c>
      <c r="S97" s="7">
        <v>0</v>
      </c>
      <c r="T97" s="7"/>
      <c r="U97" s="7"/>
      <c r="V97" s="7">
        <v>0</v>
      </c>
      <c r="W97" s="7">
        <v>5.152000000000001</v>
      </c>
      <c r="X97" s="7">
        <v>0</v>
      </c>
      <c r="Y97" s="7">
        <v>0</v>
      </c>
      <c r="Z97" s="7">
        <v>0</v>
      </c>
      <c r="AA97" s="7">
        <v>0</v>
      </c>
      <c r="AB97" s="7"/>
      <c r="AC97" s="7">
        <v>0</v>
      </c>
      <c r="AD97" s="7"/>
    </row>
    <row r="98" spans="1:30">
      <c r="A98" s="9" t="s">
        <v>36</v>
      </c>
      <c r="B98" s="7" t="s">
        <v>37</v>
      </c>
      <c r="C98" s="6" t="s">
        <v>119</v>
      </c>
      <c r="D98" s="7">
        <v>43</v>
      </c>
      <c r="E98" s="7">
        <v>357</v>
      </c>
      <c r="F98" s="7">
        <v>25</v>
      </c>
      <c r="G98" s="7">
        <v>121</v>
      </c>
      <c r="H98" s="7">
        <v>45</v>
      </c>
      <c r="I98" s="7">
        <v>456</v>
      </c>
      <c r="J98" s="7">
        <v>1</v>
      </c>
      <c r="K98" s="7">
        <v>7.9499999999999993</v>
      </c>
      <c r="L98" s="7">
        <v>11</v>
      </c>
      <c r="M98" s="7">
        <v>7.1549999999999994</v>
      </c>
      <c r="N98" s="7">
        <v>3</v>
      </c>
      <c r="O98" s="7">
        <v>11.040000000000001</v>
      </c>
      <c r="P98" s="7">
        <v>15</v>
      </c>
      <c r="Q98" s="7">
        <v>24</v>
      </c>
      <c r="R98" s="7">
        <v>7</v>
      </c>
      <c r="S98" s="7">
        <v>4.9399999999999995</v>
      </c>
      <c r="T98" s="7"/>
      <c r="U98" s="7"/>
      <c r="V98" s="7">
        <v>147</v>
      </c>
      <c r="W98" s="7">
        <v>8.8320000000000007</v>
      </c>
      <c r="X98" s="7">
        <v>6</v>
      </c>
      <c r="Y98" s="7">
        <v>11</v>
      </c>
      <c r="Z98" s="7">
        <v>9</v>
      </c>
      <c r="AA98" s="7">
        <v>13</v>
      </c>
      <c r="AB98" s="7">
        <v>12</v>
      </c>
      <c r="AC98" s="7">
        <v>17</v>
      </c>
      <c r="AD98" s="7">
        <v>3</v>
      </c>
    </row>
    <row r="99" spans="1:30">
      <c r="A99" s="9" t="s">
        <v>36</v>
      </c>
      <c r="B99" s="7" t="s">
        <v>37</v>
      </c>
      <c r="C99" s="6" t="s">
        <v>120</v>
      </c>
      <c r="D99" s="7">
        <v>58</v>
      </c>
      <c r="E99" s="7">
        <v>183</v>
      </c>
      <c r="F99" s="7">
        <v>59</v>
      </c>
      <c r="G99" s="7">
        <v>180</v>
      </c>
      <c r="H99" s="7">
        <v>48</v>
      </c>
      <c r="I99" s="7">
        <v>381</v>
      </c>
      <c r="J99" s="7">
        <v>0</v>
      </c>
      <c r="K99" s="7">
        <v>4.5</v>
      </c>
      <c r="L99" s="7">
        <v>12</v>
      </c>
      <c r="M99" s="7">
        <v>4.05</v>
      </c>
      <c r="N99" s="7">
        <v>7</v>
      </c>
      <c r="O99" s="7">
        <v>5.5200000000000005</v>
      </c>
      <c r="P99" s="7">
        <v>9</v>
      </c>
      <c r="Q99" s="7">
        <v>12</v>
      </c>
      <c r="R99" s="7">
        <v>5</v>
      </c>
      <c r="S99" s="7">
        <v>2.06</v>
      </c>
      <c r="T99" s="7"/>
      <c r="U99" s="7"/>
      <c r="V99" s="7">
        <v>3</v>
      </c>
      <c r="W99" s="7">
        <v>4.4160000000000004</v>
      </c>
      <c r="X99" s="7">
        <v>5</v>
      </c>
      <c r="Y99" s="7">
        <v>15</v>
      </c>
      <c r="Z99" s="7">
        <v>7</v>
      </c>
      <c r="AA99" s="7">
        <v>10</v>
      </c>
      <c r="AB99" s="7">
        <v>10</v>
      </c>
      <c r="AC99" s="7">
        <v>14</v>
      </c>
      <c r="AD99" s="7">
        <v>2</v>
      </c>
    </row>
    <row r="100" spans="1:30">
      <c r="A100" s="9" t="s">
        <v>36</v>
      </c>
      <c r="B100" s="7" t="s">
        <v>37</v>
      </c>
      <c r="C100" s="6" t="s">
        <v>121</v>
      </c>
      <c r="D100" s="7">
        <v>36</v>
      </c>
      <c r="E100" s="7">
        <v>241</v>
      </c>
      <c r="F100" s="7">
        <v>19</v>
      </c>
      <c r="G100" s="7">
        <v>72</v>
      </c>
      <c r="H100" s="7">
        <v>18</v>
      </c>
      <c r="I100" s="7">
        <v>251</v>
      </c>
      <c r="J100" s="7">
        <v>0</v>
      </c>
      <c r="K100" s="7">
        <v>10.95</v>
      </c>
      <c r="L100" s="7">
        <v>2</v>
      </c>
      <c r="M100" s="7">
        <v>9.8550000000000004</v>
      </c>
      <c r="N100" s="7">
        <v>4</v>
      </c>
      <c r="O100" s="7">
        <v>5.5200000000000005</v>
      </c>
      <c r="P100" s="7">
        <v>6</v>
      </c>
      <c r="Q100" s="7">
        <v>12</v>
      </c>
      <c r="R100" s="7">
        <v>2</v>
      </c>
      <c r="S100" s="7">
        <v>2</v>
      </c>
      <c r="T100" s="7"/>
      <c r="U100" s="7"/>
      <c r="V100" s="7">
        <v>0</v>
      </c>
      <c r="W100" s="7">
        <v>4.4160000000000004</v>
      </c>
      <c r="X100" s="7">
        <v>0</v>
      </c>
      <c r="Y100" s="7">
        <v>15</v>
      </c>
      <c r="Z100" s="7">
        <v>6</v>
      </c>
      <c r="AA100" s="7">
        <v>7</v>
      </c>
      <c r="AB100" s="7">
        <v>4</v>
      </c>
      <c r="AC100" s="7">
        <v>4</v>
      </c>
      <c r="AD100" s="7">
        <v>5</v>
      </c>
    </row>
    <row r="101" spans="1:30">
      <c r="A101" s="9" t="s">
        <v>36</v>
      </c>
      <c r="B101" s="7" t="s">
        <v>37</v>
      </c>
      <c r="C101" s="6" t="s">
        <v>13</v>
      </c>
      <c r="D101" s="7">
        <v>3</v>
      </c>
      <c r="E101" s="7">
        <v>276</v>
      </c>
      <c r="F101" s="7">
        <v>0</v>
      </c>
      <c r="G101" s="7">
        <v>8</v>
      </c>
      <c r="H101" s="7">
        <v>11</v>
      </c>
      <c r="I101" s="7">
        <v>151</v>
      </c>
      <c r="J101" s="7">
        <v>0</v>
      </c>
      <c r="K101" s="7">
        <v>0</v>
      </c>
      <c r="L101" s="7">
        <v>0</v>
      </c>
      <c r="M101" s="7">
        <v>0</v>
      </c>
      <c r="N101" s="7">
        <v>2</v>
      </c>
      <c r="O101" s="7">
        <v>1.3800000000000001</v>
      </c>
      <c r="P101" s="7">
        <v>0</v>
      </c>
      <c r="Q101" s="7">
        <v>3</v>
      </c>
      <c r="R101" s="7">
        <v>1</v>
      </c>
      <c r="S101" s="7">
        <v>0</v>
      </c>
      <c r="T101" s="7">
        <v>1</v>
      </c>
      <c r="U101" s="7"/>
      <c r="V101" s="7">
        <v>0</v>
      </c>
      <c r="W101" s="7">
        <v>1.1040000000000001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/>
    </row>
    <row r="102" spans="1:30">
      <c r="A102" s="9" t="s">
        <v>36</v>
      </c>
      <c r="B102" s="7" t="s">
        <v>38</v>
      </c>
      <c r="C102" s="6" t="s">
        <v>122</v>
      </c>
      <c r="D102" s="7">
        <v>40</v>
      </c>
      <c r="E102" s="7">
        <v>54</v>
      </c>
      <c r="F102" s="7">
        <v>22</v>
      </c>
      <c r="G102" s="7">
        <v>88</v>
      </c>
      <c r="H102" s="7">
        <v>29</v>
      </c>
      <c r="I102" s="7">
        <v>128</v>
      </c>
      <c r="J102" s="7">
        <v>0</v>
      </c>
      <c r="K102" s="7">
        <v>2.6999999999999997</v>
      </c>
      <c r="L102" s="7">
        <v>72</v>
      </c>
      <c r="M102" s="7">
        <v>2.4299999999999997</v>
      </c>
      <c r="N102" s="7">
        <v>2</v>
      </c>
      <c r="O102" s="7">
        <v>0.92</v>
      </c>
      <c r="P102" s="7">
        <v>6</v>
      </c>
      <c r="Q102" s="7">
        <v>2</v>
      </c>
      <c r="R102" s="7">
        <v>1</v>
      </c>
      <c r="S102" s="7">
        <v>4.58</v>
      </c>
      <c r="T102" s="7"/>
      <c r="U102" s="7"/>
      <c r="V102" s="7">
        <v>29</v>
      </c>
      <c r="W102" s="7">
        <v>0.7360000000000001</v>
      </c>
      <c r="X102" s="7">
        <v>38</v>
      </c>
      <c r="Y102" s="7">
        <v>27</v>
      </c>
      <c r="Z102" s="7">
        <v>6</v>
      </c>
      <c r="AA102" s="7">
        <v>20</v>
      </c>
      <c r="AB102" s="7">
        <v>19</v>
      </c>
      <c r="AC102" s="7">
        <v>10</v>
      </c>
      <c r="AD102" s="7">
        <v>10</v>
      </c>
    </row>
    <row r="103" spans="1:30">
      <c r="A103" s="9" t="s">
        <v>36</v>
      </c>
      <c r="B103" s="7" t="s">
        <v>38</v>
      </c>
      <c r="C103" s="6" t="s">
        <v>123</v>
      </c>
      <c r="D103" s="7">
        <v>33</v>
      </c>
      <c r="E103" s="7">
        <v>44</v>
      </c>
      <c r="F103" s="7">
        <v>20</v>
      </c>
      <c r="G103" s="7">
        <v>65</v>
      </c>
      <c r="H103" s="7">
        <v>22</v>
      </c>
      <c r="I103" s="7">
        <v>137</v>
      </c>
      <c r="J103" s="7">
        <v>1</v>
      </c>
      <c r="K103" s="7">
        <v>8.1</v>
      </c>
      <c r="L103" s="7">
        <v>26</v>
      </c>
      <c r="M103" s="7">
        <v>7.29</v>
      </c>
      <c r="N103" s="7">
        <v>0</v>
      </c>
      <c r="O103" s="7">
        <v>5.98</v>
      </c>
      <c r="P103" s="7">
        <v>1</v>
      </c>
      <c r="Q103" s="7">
        <v>13</v>
      </c>
      <c r="R103" s="7">
        <v>6</v>
      </c>
      <c r="S103" s="7">
        <v>4.28</v>
      </c>
      <c r="T103" s="7"/>
      <c r="U103" s="7"/>
      <c r="V103" s="7">
        <v>64</v>
      </c>
      <c r="W103" s="7">
        <v>4.7840000000000007</v>
      </c>
      <c r="X103" s="7">
        <v>20</v>
      </c>
      <c r="Y103" s="7">
        <v>17</v>
      </c>
      <c r="Z103" s="7">
        <v>12</v>
      </c>
      <c r="AA103" s="7">
        <v>13</v>
      </c>
      <c r="AB103" s="7">
        <v>2</v>
      </c>
      <c r="AC103" s="7">
        <v>6</v>
      </c>
      <c r="AD103" s="7">
        <v>10</v>
      </c>
    </row>
    <row r="104" spans="1:30">
      <c r="A104" s="9" t="s">
        <v>36</v>
      </c>
      <c r="B104" s="7" t="s">
        <v>38</v>
      </c>
      <c r="C104" s="6" t="s">
        <v>13</v>
      </c>
      <c r="D104" s="7">
        <v>0</v>
      </c>
      <c r="E104" s="7">
        <v>27</v>
      </c>
      <c r="F104" s="7">
        <v>0</v>
      </c>
      <c r="G104" s="7">
        <v>0</v>
      </c>
      <c r="H104" s="7">
        <v>1</v>
      </c>
      <c r="I104" s="7">
        <v>17</v>
      </c>
      <c r="J104" s="7">
        <v>0</v>
      </c>
      <c r="K104" s="7">
        <v>0</v>
      </c>
      <c r="L104" s="7">
        <v>0</v>
      </c>
      <c r="M104" s="7">
        <v>0</v>
      </c>
      <c r="N104" s="7">
        <v>0</v>
      </c>
      <c r="O104" s="7">
        <v>0</v>
      </c>
      <c r="P104" s="7">
        <v>1</v>
      </c>
      <c r="Q104" s="7">
        <v>0</v>
      </c>
      <c r="R104" s="7">
        <v>0</v>
      </c>
      <c r="S104" s="7">
        <v>0</v>
      </c>
      <c r="T104" s="7">
        <v>6</v>
      </c>
      <c r="U104" s="7"/>
      <c r="V104" s="7">
        <v>0</v>
      </c>
      <c r="W104" s="7">
        <v>0</v>
      </c>
      <c r="X104" s="7">
        <v>0</v>
      </c>
      <c r="Y104" s="7">
        <v>0</v>
      </c>
      <c r="Z104" s="7">
        <v>0</v>
      </c>
      <c r="AA104" s="7"/>
      <c r="AB104" s="7">
        <v>0</v>
      </c>
      <c r="AC104" s="7">
        <v>0</v>
      </c>
      <c r="AD104" s="7"/>
    </row>
    <row r="105" spans="1:30">
      <c r="A105" s="9" t="s">
        <v>36</v>
      </c>
      <c r="B105" s="7" t="s">
        <v>39</v>
      </c>
      <c r="C105" s="6" t="s">
        <v>124</v>
      </c>
      <c r="D105" s="7">
        <v>4</v>
      </c>
      <c r="E105" s="7">
        <v>6</v>
      </c>
      <c r="F105" s="7">
        <v>0</v>
      </c>
      <c r="G105" s="7">
        <v>6</v>
      </c>
      <c r="H105" s="7">
        <v>1</v>
      </c>
      <c r="I105" s="7">
        <v>5</v>
      </c>
      <c r="J105" s="7">
        <v>0</v>
      </c>
      <c r="K105" s="7">
        <v>0.15</v>
      </c>
      <c r="L105" s="7">
        <v>0</v>
      </c>
      <c r="M105" s="7">
        <v>0.13500000000000001</v>
      </c>
      <c r="N105" s="7">
        <v>0</v>
      </c>
      <c r="O105" s="7">
        <v>0.46</v>
      </c>
      <c r="P105" s="7">
        <v>0</v>
      </c>
      <c r="Q105" s="7">
        <v>1</v>
      </c>
      <c r="R105" s="7">
        <v>0</v>
      </c>
      <c r="S105" s="7">
        <v>1</v>
      </c>
      <c r="T105" s="7"/>
      <c r="U105" s="7"/>
      <c r="V105" s="7">
        <v>0</v>
      </c>
      <c r="W105" s="7">
        <v>0.36800000000000005</v>
      </c>
      <c r="X105" s="7">
        <v>0</v>
      </c>
      <c r="Y105" s="7">
        <v>2</v>
      </c>
      <c r="Z105" s="7">
        <v>0</v>
      </c>
      <c r="AA105" s="7">
        <v>0</v>
      </c>
      <c r="AB105" s="7">
        <v>0</v>
      </c>
      <c r="AC105" s="7">
        <v>1</v>
      </c>
      <c r="AD105" s="7">
        <v>1</v>
      </c>
    </row>
    <row r="106" spans="1:30">
      <c r="A106" s="9" t="s">
        <v>36</v>
      </c>
      <c r="B106" s="7" t="s">
        <v>39</v>
      </c>
      <c r="C106" s="6" t="s">
        <v>125</v>
      </c>
      <c r="D106" s="7">
        <v>107</v>
      </c>
      <c r="E106" s="7">
        <v>991</v>
      </c>
      <c r="F106" s="7">
        <v>43</v>
      </c>
      <c r="G106" s="7">
        <v>207</v>
      </c>
      <c r="H106" s="7">
        <v>47</v>
      </c>
      <c r="I106" s="7">
        <v>691</v>
      </c>
      <c r="J106" s="7">
        <v>0</v>
      </c>
      <c r="K106" s="7">
        <v>36.6</v>
      </c>
      <c r="L106" s="7">
        <v>45</v>
      </c>
      <c r="M106" s="7">
        <v>32.940000000000005</v>
      </c>
      <c r="N106" s="7">
        <v>4</v>
      </c>
      <c r="O106" s="7">
        <v>6.44</v>
      </c>
      <c r="P106" s="7">
        <v>9</v>
      </c>
      <c r="Q106" s="7">
        <v>14</v>
      </c>
      <c r="R106" s="7">
        <v>2</v>
      </c>
      <c r="S106" s="7">
        <v>8.1199999999999992</v>
      </c>
      <c r="T106" s="7"/>
      <c r="U106" s="7"/>
      <c r="V106" s="7">
        <v>6</v>
      </c>
      <c r="W106" s="7">
        <v>5.152000000000001</v>
      </c>
      <c r="X106" s="7">
        <v>59</v>
      </c>
      <c r="Y106" s="7">
        <v>60</v>
      </c>
      <c r="Z106" s="7">
        <v>38</v>
      </c>
      <c r="AA106" s="7">
        <v>20</v>
      </c>
      <c r="AB106" s="7">
        <v>5</v>
      </c>
      <c r="AC106" s="7">
        <v>21</v>
      </c>
      <c r="AD106" s="7">
        <v>3</v>
      </c>
    </row>
    <row r="107" spans="1:30">
      <c r="A107" s="9" t="s">
        <v>36</v>
      </c>
      <c r="B107" s="7" t="s">
        <v>39</v>
      </c>
      <c r="C107" s="6" t="s">
        <v>126</v>
      </c>
      <c r="D107" s="7">
        <v>36</v>
      </c>
      <c r="E107" s="7">
        <v>125</v>
      </c>
      <c r="F107" s="7">
        <v>11</v>
      </c>
      <c r="G107" s="7">
        <v>68</v>
      </c>
      <c r="H107" s="7">
        <v>16</v>
      </c>
      <c r="I107" s="7">
        <v>179</v>
      </c>
      <c r="J107" s="7">
        <v>6</v>
      </c>
      <c r="K107" s="7">
        <v>2.6999999999999997</v>
      </c>
      <c r="L107" s="7">
        <v>0</v>
      </c>
      <c r="M107" s="7">
        <v>2.4299999999999997</v>
      </c>
      <c r="N107" s="7">
        <v>0</v>
      </c>
      <c r="O107" s="7">
        <v>0.92</v>
      </c>
      <c r="P107" s="7">
        <v>4</v>
      </c>
      <c r="Q107" s="7">
        <v>2</v>
      </c>
      <c r="R107" s="7">
        <v>0</v>
      </c>
      <c r="S107" s="7">
        <v>3.06</v>
      </c>
      <c r="T107" s="7"/>
      <c r="U107" s="7"/>
      <c r="V107" s="7">
        <v>3</v>
      </c>
      <c r="W107" s="7">
        <v>0.7360000000000001</v>
      </c>
      <c r="X107" s="7">
        <v>0</v>
      </c>
      <c r="Y107" s="7">
        <v>20</v>
      </c>
      <c r="Z107" s="7">
        <v>9</v>
      </c>
      <c r="AA107" s="7">
        <v>3</v>
      </c>
      <c r="AB107" s="7">
        <v>3</v>
      </c>
      <c r="AC107" s="7">
        <v>3</v>
      </c>
      <c r="AD107" s="7">
        <v>1</v>
      </c>
    </row>
    <row r="108" spans="1:30">
      <c r="A108" s="9" t="s">
        <v>36</v>
      </c>
      <c r="B108" s="7" t="s">
        <v>39</v>
      </c>
      <c r="C108" s="6" t="s">
        <v>13</v>
      </c>
      <c r="D108" s="7">
        <v>3</v>
      </c>
      <c r="E108" s="7">
        <v>120</v>
      </c>
      <c r="F108" s="7">
        <v>0</v>
      </c>
      <c r="G108" s="7">
        <v>0</v>
      </c>
      <c r="H108" s="7">
        <v>7</v>
      </c>
      <c r="I108" s="7">
        <v>70</v>
      </c>
      <c r="J108" s="7">
        <v>0</v>
      </c>
      <c r="K108" s="7">
        <v>0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  <c r="Q108" s="7">
        <v>0</v>
      </c>
      <c r="R108" s="7">
        <v>1</v>
      </c>
      <c r="S108" s="7">
        <v>0</v>
      </c>
      <c r="T108" s="7">
        <v>0</v>
      </c>
      <c r="U108" s="7"/>
      <c r="V108" s="7">
        <v>0</v>
      </c>
      <c r="W108" s="7">
        <v>0</v>
      </c>
      <c r="X108" s="7">
        <v>0</v>
      </c>
      <c r="Y108" s="7">
        <v>0</v>
      </c>
      <c r="Z108" s="7">
        <v>0</v>
      </c>
      <c r="AA108" s="7">
        <v>0</v>
      </c>
      <c r="AB108" s="7">
        <v>0</v>
      </c>
      <c r="AC108" s="7">
        <v>0</v>
      </c>
      <c r="AD108" s="7"/>
    </row>
    <row r="109" spans="1:30">
      <c r="A109" s="9" t="s">
        <v>36</v>
      </c>
      <c r="B109" s="7" t="s">
        <v>143</v>
      </c>
      <c r="C109" s="6" t="s">
        <v>13</v>
      </c>
      <c r="D109" s="7">
        <v>13</v>
      </c>
      <c r="E109" s="7">
        <v>135</v>
      </c>
      <c r="F109" s="7">
        <v>0</v>
      </c>
      <c r="G109" s="7">
        <v>7</v>
      </c>
      <c r="H109" s="7">
        <v>11</v>
      </c>
      <c r="I109" s="7">
        <v>87</v>
      </c>
      <c r="J109" s="7">
        <v>0</v>
      </c>
      <c r="K109" s="7">
        <v>0</v>
      </c>
      <c r="L109" s="7">
        <v>0</v>
      </c>
      <c r="M109" s="7">
        <v>0</v>
      </c>
      <c r="N109" s="7">
        <v>1</v>
      </c>
      <c r="O109" s="7">
        <v>1.3800000000000001</v>
      </c>
      <c r="P109" s="7">
        <v>1</v>
      </c>
      <c r="Q109" s="7">
        <v>3</v>
      </c>
      <c r="R109" s="7">
        <v>0</v>
      </c>
      <c r="S109" s="7">
        <v>0</v>
      </c>
      <c r="T109" s="7"/>
      <c r="U109" s="7"/>
      <c r="V109" s="7">
        <v>0</v>
      </c>
      <c r="W109" s="7">
        <v>1.1040000000000001</v>
      </c>
      <c r="X109" s="7">
        <v>0</v>
      </c>
      <c r="Y109" s="7">
        <v>0</v>
      </c>
      <c r="Z109" s="7">
        <v>0</v>
      </c>
      <c r="AA109" s="7">
        <v>0</v>
      </c>
      <c r="AB109" s="7"/>
      <c r="AC109" s="7">
        <v>0</v>
      </c>
      <c r="AD109" s="7"/>
    </row>
    <row r="110" spans="1:30">
      <c r="A110" s="9" t="s">
        <v>40</v>
      </c>
      <c r="B110" s="7" t="s">
        <v>41</v>
      </c>
      <c r="C110" s="6" t="s">
        <v>127</v>
      </c>
      <c r="D110" s="7">
        <v>43</v>
      </c>
      <c r="E110" s="7">
        <v>73</v>
      </c>
      <c r="F110" s="7">
        <v>20</v>
      </c>
      <c r="G110" s="7">
        <v>64</v>
      </c>
      <c r="H110" s="7">
        <v>35</v>
      </c>
      <c r="I110" s="7">
        <v>162</v>
      </c>
      <c r="J110" s="7">
        <v>0</v>
      </c>
      <c r="K110" s="7">
        <v>16.8</v>
      </c>
      <c r="L110" s="7">
        <v>4</v>
      </c>
      <c r="M110" s="7">
        <v>15.120000000000001</v>
      </c>
      <c r="N110" s="7">
        <v>1</v>
      </c>
      <c r="O110" s="7">
        <v>3.22</v>
      </c>
      <c r="P110" s="7">
        <v>2</v>
      </c>
      <c r="Q110" s="7">
        <v>7</v>
      </c>
      <c r="R110" s="7">
        <v>2</v>
      </c>
      <c r="S110" s="7">
        <v>5.0199999999999996</v>
      </c>
      <c r="T110" s="7"/>
      <c r="U110" s="7"/>
      <c r="V110" s="7">
        <v>1</v>
      </c>
      <c r="W110" s="7">
        <v>2.5760000000000005</v>
      </c>
      <c r="X110" s="7">
        <v>25</v>
      </c>
      <c r="Y110" s="7">
        <v>40</v>
      </c>
      <c r="Z110" s="7">
        <v>2</v>
      </c>
      <c r="AA110" s="7">
        <v>3</v>
      </c>
      <c r="AB110" s="7">
        <v>6</v>
      </c>
      <c r="AC110" s="7">
        <v>7</v>
      </c>
      <c r="AD110" s="7">
        <v>6</v>
      </c>
    </row>
    <row r="111" spans="1:30">
      <c r="A111" s="9" t="s">
        <v>40</v>
      </c>
      <c r="B111" s="7" t="s">
        <v>41</v>
      </c>
      <c r="C111" s="6" t="s">
        <v>128</v>
      </c>
      <c r="D111" s="7">
        <v>36</v>
      </c>
      <c r="E111" s="7">
        <v>108</v>
      </c>
      <c r="F111" s="7">
        <v>10</v>
      </c>
      <c r="G111" s="7">
        <v>46</v>
      </c>
      <c r="H111" s="7">
        <v>24</v>
      </c>
      <c r="I111" s="7">
        <v>167</v>
      </c>
      <c r="J111" s="7">
        <v>0</v>
      </c>
      <c r="K111" s="7">
        <v>9.75</v>
      </c>
      <c r="L111" s="7">
        <v>11</v>
      </c>
      <c r="M111" s="7">
        <v>8.7750000000000004</v>
      </c>
      <c r="N111" s="7">
        <v>2</v>
      </c>
      <c r="O111" s="7">
        <v>6.9</v>
      </c>
      <c r="P111" s="7">
        <v>5</v>
      </c>
      <c r="Q111" s="7">
        <v>15</v>
      </c>
      <c r="R111" s="7">
        <v>5</v>
      </c>
      <c r="S111" s="7">
        <v>3.38</v>
      </c>
      <c r="T111" s="7"/>
      <c r="U111" s="7"/>
      <c r="V111" s="7">
        <v>19</v>
      </c>
      <c r="W111" s="7">
        <v>5.5200000000000005</v>
      </c>
      <c r="X111" s="7">
        <v>39</v>
      </c>
      <c r="Y111" s="7">
        <v>22</v>
      </c>
      <c r="Z111" s="7">
        <v>1</v>
      </c>
      <c r="AA111" s="7">
        <v>6</v>
      </c>
      <c r="AB111" s="7">
        <v>0</v>
      </c>
      <c r="AC111" s="7">
        <v>8</v>
      </c>
      <c r="AD111" s="7">
        <v>3</v>
      </c>
    </row>
    <row r="112" spans="1:30">
      <c r="A112" s="9" t="s">
        <v>40</v>
      </c>
      <c r="B112" s="7" t="s">
        <v>41</v>
      </c>
      <c r="C112" s="6" t="s">
        <v>129</v>
      </c>
      <c r="D112" s="7">
        <v>27</v>
      </c>
      <c r="E112" s="7">
        <v>68</v>
      </c>
      <c r="F112" s="7">
        <v>6</v>
      </c>
      <c r="G112" s="7">
        <v>48</v>
      </c>
      <c r="H112" s="7">
        <v>19</v>
      </c>
      <c r="I112" s="7">
        <v>104</v>
      </c>
      <c r="J112" s="7">
        <v>0</v>
      </c>
      <c r="K112" s="7">
        <v>9.6</v>
      </c>
      <c r="L112" s="7">
        <v>3</v>
      </c>
      <c r="M112" s="7">
        <v>8.64</v>
      </c>
      <c r="N112" s="7">
        <v>1</v>
      </c>
      <c r="O112" s="7">
        <v>0.46</v>
      </c>
      <c r="P112" s="7">
        <v>2</v>
      </c>
      <c r="Q112" s="7">
        <v>1</v>
      </c>
      <c r="R112" s="7">
        <v>0</v>
      </c>
      <c r="S112" s="7">
        <v>4.0999999999999996</v>
      </c>
      <c r="T112" s="7"/>
      <c r="U112" s="7"/>
      <c r="V112" s="7">
        <v>5</v>
      </c>
      <c r="W112" s="7">
        <v>0.36800000000000005</v>
      </c>
      <c r="X112" s="7">
        <v>2</v>
      </c>
      <c r="Y112" s="7">
        <v>30</v>
      </c>
      <c r="Z112" s="7">
        <v>7</v>
      </c>
      <c r="AA112" s="7">
        <v>8</v>
      </c>
      <c r="AB112" s="7">
        <v>16</v>
      </c>
      <c r="AC112" s="7">
        <v>10</v>
      </c>
      <c r="AD112" s="7">
        <v>2</v>
      </c>
    </row>
    <row r="113" spans="1:30">
      <c r="A113" s="9" t="s">
        <v>40</v>
      </c>
      <c r="B113" s="7" t="s">
        <v>41</v>
      </c>
      <c r="C113" s="6" t="s">
        <v>13</v>
      </c>
      <c r="D113" s="7">
        <v>0</v>
      </c>
      <c r="E113" s="7">
        <v>57</v>
      </c>
      <c r="F113" s="7">
        <v>0</v>
      </c>
      <c r="G113" s="7">
        <v>0</v>
      </c>
      <c r="H113" s="7">
        <v>4</v>
      </c>
      <c r="I113" s="7">
        <v>23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0.92</v>
      </c>
      <c r="P113" s="7">
        <v>0</v>
      </c>
      <c r="Q113" s="7">
        <v>2</v>
      </c>
      <c r="R113" s="7">
        <v>0</v>
      </c>
      <c r="S113" s="7">
        <v>0</v>
      </c>
      <c r="T113" s="7">
        <v>0</v>
      </c>
      <c r="U113" s="7"/>
      <c r="V113" s="7">
        <v>0</v>
      </c>
      <c r="W113" s="7">
        <v>0.7360000000000001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/>
    </row>
    <row r="114" spans="1:30">
      <c r="A114" s="9" t="s">
        <v>40</v>
      </c>
      <c r="B114" s="7" t="s">
        <v>42</v>
      </c>
      <c r="C114" s="6" t="s">
        <v>130</v>
      </c>
      <c r="D114" s="7">
        <v>65</v>
      </c>
      <c r="E114" s="7">
        <v>52</v>
      </c>
      <c r="F114" s="7">
        <v>25</v>
      </c>
      <c r="G114" s="7">
        <v>53</v>
      </c>
      <c r="H114" s="7">
        <v>30</v>
      </c>
      <c r="I114" s="7">
        <v>170</v>
      </c>
      <c r="J114" s="7">
        <v>5</v>
      </c>
      <c r="K114" s="7">
        <v>2.6999999999999997</v>
      </c>
      <c r="L114" s="7">
        <v>18</v>
      </c>
      <c r="M114" s="7">
        <v>2.4299999999999997</v>
      </c>
      <c r="N114" s="7">
        <v>1</v>
      </c>
      <c r="O114" s="7">
        <v>10.58</v>
      </c>
      <c r="P114" s="7">
        <v>5</v>
      </c>
      <c r="Q114" s="7">
        <v>23</v>
      </c>
      <c r="R114" s="7">
        <v>4</v>
      </c>
      <c r="S114" s="7">
        <v>5.64</v>
      </c>
      <c r="T114" s="7"/>
      <c r="U114" s="7"/>
      <c r="V114" s="7">
        <v>32</v>
      </c>
      <c r="W114" s="7">
        <v>8.4640000000000004</v>
      </c>
      <c r="X114" s="7">
        <v>58</v>
      </c>
      <c r="Y114" s="7">
        <v>40</v>
      </c>
      <c r="Z114" s="7">
        <v>21</v>
      </c>
      <c r="AA114" s="7">
        <v>15</v>
      </c>
      <c r="AB114" s="7">
        <v>13</v>
      </c>
      <c r="AC114" s="7">
        <v>17</v>
      </c>
      <c r="AD114" s="7">
        <v>15</v>
      </c>
    </row>
    <row r="115" spans="1:30">
      <c r="A115" s="9" t="s">
        <v>40</v>
      </c>
      <c r="B115" s="7" t="s">
        <v>42</v>
      </c>
      <c r="C115" s="6" t="s">
        <v>131</v>
      </c>
      <c r="D115" s="7">
        <v>57</v>
      </c>
      <c r="E115" s="7">
        <v>65</v>
      </c>
      <c r="F115" s="7">
        <v>8</v>
      </c>
      <c r="G115" s="7">
        <v>37</v>
      </c>
      <c r="H115" s="7">
        <v>27</v>
      </c>
      <c r="I115" s="7">
        <v>137</v>
      </c>
      <c r="J115" s="7">
        <v>0</v>
      </c>
      <c r="K115" s="7">
        <v>7.05</v>
      </c>
      <c r="L115" s="7">
        <v>3</v>
      </c>
      <c r="M115" s="7">
        <v>6.3449999999999998</v>
      </c>
      <c r="N115" s="7">
        <v>1</v>
      </c>
      <c r="O115" s="7">
        <v>2.3000000000000003</v>
      </c>
      <c r="P115" s="7">
        <v>2</v>
      </c>
      <c r="Q115" s="7">
        <v>5</v>
      </c>
      <c r="R115" s="7">
        <v>2</v>
      </c>
      <c r="S115" s="7">
        <v>1.1200000000000001</v>
      </c>
      <c r="T115" s="7"/>
      <c r="U115" s="7"/>
      <c r="V115" s="7">
        <v>6</v>
      </c>
      <c r="W115" s="7">
        <v>1.8400000000000003</v>
      </c>
      <c r="X115" s="7">
        <v>2</v>
      </c>
      <c r="Y115" s="7">
        <v>6</v>
      </c>
      <c r="Z115" s="7">
        <v>5</v>
      </c>
      <c r="AA115" s="7">
        <v>6</v>
      </c>
      <c r="AB115" s="7">
        <v>2</v>
      </c>
      <c r="AC115" s="7">
        <v>4</v>
      </c>
      <c r="AD115" s="7">
        <v>1</v>
      </c>
    </row>
    <row r="116" spans="1:30">
      <c r="A116" s="9" t="s">
        <v>40</v>
      </c>
      <c r="B116" s="7" t="s">
        <v>42</v>
      </c>
      <c r="C116" s="6" t="s">
        <v>132</v>
      </c>
      <c r="D116" s="7">
        <v>14</v>
      </c>
      <c r="E116" s="7">
        <v>50</v>
      </c>
      <c r="F116" s="7">
        <v>4</v>
      </c>
      <c r="G116" s="7">
        <v>17</v>
      </c>
      <c r="H116" s="7">
        <v>13</v>
      </c>
      <c r="I116" s="7">
        <v>85</v>
      </c>
      <c r="J116" s="7">
        <v>1</v>
      </c>
      <c r="K116" s="7">
        <v>2.4</v>
      </c>
      <c r="L116" s="7">
        <v>8</v>
      </c>
      <c r="M116" s="7">
        <v>2.16</v>
      </c>
      <c r="N116" s="7">
        <v>1</v>
      </c>
      <c r="O116" s="7">
        <v>1.3800000000000001</v>
      </c>
      <c r="P116" s="7">
        <v>0</v>
      </c>
      <c r="Q116" s="7">
        <v>3</v>
      </c>
      <c r="R116" s="7">
        <v>3</v>
      </c>
      <c r="S116" s="7">
        <v>3.02</v>
      </c>
      <c r="T116" s="7"/>
      <c r="U116" s="7"/>
      <c r="V116" s="7">
        <v>1</v>
      </c>
      <c r="W116" s="7">
        <v>1.1040000000000001</v>
      </c>
      <c r="X116" s="7">
        <v>7</v>
      </c>
      <c r="Y116" s="7">
        <v>20</v>
      </c>
      <c r="Z116" s="7">
        <v>9</v>
      </c>
      <c r="AA116" s="7">
        <v>4</v>
      </c>
      <c r="AB116" s="7">
        <v>8</v>
      </c>
      <c r="AC116" s="7">
        <v>7</v>
      </c>
      <c r="AD116" s="7">
        <v>6</v>
      </c>
    </row>
    <row r="117" spans="1:30">
      <c r="A117" s="9" t="s">
        <v>40</v>
      </c>
      <c r="B117" s="7" t="s">
        <v>42</v>
      </c>
      <c r="C117" s="6" t="s">
        <v>13</v>
      </c>
      <c r="D117" s="7">
        <v>0</v>
      </c>
      <c r="E117" s="7">
        <v>108</v>
      </c>
      <c r="F117" s="7">
        <v>0</v>
      </c>
      <c r="G117" s="7">
        <v>0</v>
      </c>
      <c r="H117" s="7">
        <v>11</v>
      </c>
      <c r="I117" s="7">
        <v>50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7">
        <v>0</v>
      </c>
      <c r="U117" s="7"/>
      <c r="V117" s="7">
        <v>0</v>
      </c>
      <c r="W117" s="7">
        <v>0</v>
      </c>
      <c r="X117" s="7">
        <v>0</v>
      </c>
      <c r="Y117" s="7">
        <v>0</v>
      </c>
      <c r="Z117" s="7">
        <v>0</v>
      </c>
      <c r="AA117" s="7"/>
      <c r="AB117" s="7">
        <v>0</v>
      </c>
      <c r="AC117" s="7">
        <v>0</v>
      </c>
      <c r="AD117" s="7"/>
    </row>
    <row r="118" spans="1:30">
      <c r="A118" s="9" t="s">
        <v>40</v>
      </c>
      <c r="B118" s="7" t="s">
        <v>43</v>
      </c>
      <c r="C118" s="6" t="s">
        <v>133</v>
      </c>
      <c r="D118" s="7">
        <v>72</v>
      </c>
      <c r="E118" s="7">
        <v>287</v>
      </c>
      <c r="F118" s="7">
        <v>42</v>
      </c>
      <c r="G118" s="7">
        <v>128</v>
      </c>
      <c r="H118" s="7">
        <v>51</v>
      </c>
      <c r="I118" s="7">
        <v>415</v>
      </c>
      <c r="J118" s="7">
        <v>3</v>
      </c>
      <c r="K118" s="7">
        <v>20</v>
      </c>
      <c r="L118" s="7">
        <v>20</v>
      </c>
      <c r="M118" s="7">
        <v>18</v>
      </c>
      <c r="N118" s="7">
        <v>1</v>
      </c>
      <c r="O118" s="7">
        <v>4.6000000000000005</v>
      </c>
      <c r="P118" s="7">
        <v>12</v>
      </c>
      <c r="Q118" s="7">
        <v>10</v>
      </c>
      <c r="R118" s="7">
        <v>3</v>
      </c>
      <c r="S118" s="7">
        <v>3.36</v>
      </c>
      <c r="T118" s="7"/>
      <c r="U118" s="7"/>
      <c r="V118" s="7">
        <v>18</v>
      </c>
      <c r="W118" s="7">
        <v>3.6800000000000006</v>
      </c>
      <c r="X118" s="7">
        <v>9</v>
      </c>
      <c r="Y118" s="7">
        <v>22</v>
      </c>
      <c r="Z118" s="7">
        <v>17</v>
      </c>
      <c r="AA118" s="7">
        <v>12</v>
      </c>
      <c r="AB118" s="7">
        <v>13</v>
      </c>
      <c r="AC118" s="7">
        <v>21</v>
      </c>
      <c r="AD118" s="7">
        <v>5</v>
      </c>
    </row>
    <row r="119" spans="1:30">
      <c r="A119" s="9" t="s">
        <v>40</v>
      </c>
      <c r="B119" s="7" t="s">
        <v>44</v>
      </c>
      <c r="C119" s="6" t="s">
        <v>134</v>
      </c>
      <c r="D119" s="7">
        <v>24</v>
      </c>
      <c r="E119" s="7">
        <v>115</v>
      </c>
      <c r="F119" s="7">
        <v>8</v>
      </c>
      <c r="G119" s="7">
        <v>31</v>
      </c>
      <c r="H119" s="7">
        <v>17</v>
      </c>
      <c r="I119" s="7">
        <v>161</v>
      </c>
      <c r="J119" s="7">
        <v>0</v>
      </c>
      <c r="K119" s="7">
        <v>2.4</v>
      </c>
      <c r="L119" s="7">
        <v>0</v>
      </c>
      <c r="M119" s="7">
        <v>2.16</v>
      </c>
      <c r="N119" s="7">
        <v>1</v>
      </c>
      <c r="O119" s="7">
        <v>2.3000000000000003</v>
      </c>
      <c r="P119" s="7">
        <v>5</v>
      </c>
      <c r="Q119" s="7">
        <v>5</v>
      </c>
      <c r="R119" s="7">
        <v>0</v>
      </c>
      <c r="S119" s="7">
        <v>1.98</v>
      </c>
      <c r="T119" s="7"/>
      <c r="U119" s="7"/>
      <c r="V119" s="7">
        <v>49</v>
      </c>
      <c r="W119" s="7">
        <v>1.8400000000000003</v>
      </c>
      <c r="X119" s="7"/>
      <c r="Y119" s="7">
        <v>6</v>
      </c>
      <c r="Z119" s="7">
        <v>0</v>
      </c>
      <c r="AA119" s="7"/>
      <c r="AB119" s="7"/>
      <c r="AC119" s="7">
        <f>+(M119*0.3)</f>
        <v>0.64800000000000002</v>
      </c>
      <c r="AD119" s="7">
        <v>1</v>
      </c>
    </row>
    <row r="120" spans="1:30">
      <c r="A120" s="9" t="s">
        <v>40</v>
      </c>
      <c r="B120" s="7" t="s">
        <v>44</v>
      </c>
      <c r="C120" s="6" t="s">
        <v>135</v>
      </c>
      <c r="D120" s="7">
        <v>16</v>
      </c>
      <c r="E120" s="7">
        <v>119</v>
      </c>
      <c r="F120" s="7">
        <v>6</v>
      </c>
      <c r="G120" s="7">
        <v>24</v>
      </c>
      <c r="H120" s="7">
        <v>4</v>
      </c>
      <c r="I120" s="7">
        <v>121</v>
      </c>
      <c r="J120" s="7">
        <v>1</v>
      </c>
      <c r="K120" s="7">
        <v>1.65</v>
      </c>
      <c r="L120" s="7">
        <v>8</v>
      </c>
      <c r="M120" s="7">
        <v>1.4849999999999999</v>
      </c>
      <c r="N120" s="7">
        <v>1</v>
      </c>
      <c r="O120" s="7">
        <v>0.46</v>
      </c>
      <c r="P120" s="7">
        <v>0</v>
      </c>
      <c r="Q120" s="7">
        <v>1</v>
      </c>
      <c r="R120" s="7">
        <v>2</v>
      </c>
      <c r="S120" s="7">
        <v>1.02</v>
      </c>
      <c r="T120" s="7"/>
      <c r="U120" s="7"/>
      <c r="V120" s="7">
        <v>1</v>
      </c>
      <c r="W120" s="7">
        <v>0.36800000000000005</v>
      </c>
      <c r="X120" s="7">
        <v>14</v>
      </c>
      <c r="Y120" s="7">
        <v>6</v>
      </c>
      <c r="Z120" s="7">
        <v>0</v>
      </c>
      <c r="AA120" s="7"/>
      <c r="AB120" s="7">
        <v>4</v>
      </c>
      <c r="AC120" s="7">
        <v>5</v>
      </c>
      <c r="AD120" s="7">
        <v>1</v>
      </c>
    </row>
    <row r="121" spans="1:30">
      <c r="A121" s="9" t="s">
        <v>40</v>
      </c>
      <c r="B121" s="7" t="s">
        <v>44</v>
      </c>
      <c r="C121" s="6" t="s">
        <v>136</v>
      </c>
      <c r="D121" s="7">
        <v>17</v>
      </c>
      <c r="E121" s="7">
        <v>101</v>
      </c>
      <c r="F121" s="7">
        <v>3</v>
      </c>
      <c r="G121" s="7">
        <v>35</v>
      </c>
      <c r="H121" s="7">
        <v>21</v>
      </c>
      <c r="I121" s="7">
        <v>130</v>
      </c>
      <c r="J121" s="7">
        <v>1</v>
      </c>
      <c r="K121" s="7">
        <v>2.85</v>
      </c>
      <c r="L121" s="7">
        <v>17</v>
      </c>
      <c r="M121" s="7">
        <v>2.5649999999999999</v>
      </c>
      <c r="N121" s="7">
        <v>2</v>
      </c>
      <c r="O121" s="7">
        <v>1.3800000000000001</v>
      </c>
      <c r="P121" s="7">
        <v>2</v>
      </c>
      <c r="Q121" s="7">
        <v>3</v>
      </c>
      <c r="R121" s="7">
        <v>1</v>
      </c>
      <c r="S121" s="7">
        <v>1.06</v>
      </c>
      <c r="T121" s="7"/>
      <c r="U121" s="7"/>
      <c r="V121" s="7">
        <v>3</v>
      </c>
      <c r="W121" s="7">
        <v>1.1040000000000001</v>
      </c>
      <c r="X121" s="7"/>
      <c r="Y121" s="7">
        <v>5</v>
      </c>
      <c r="Z121" s="7">
        <v>2</v>
      </c>
      <c r="AA121" s="7">
        <v>9</v>
      </c>
      <c r="AB121" s="7"/>
      <c r="AC121" s="7">
        <f>+(M121*0.3)</f>
        <v>0.76949999999999996</v>
      </c>
      <c r="AD121" s="7">
        <v>1</v>
      </c>
    </row>
    <row r="122" spans="1:30">
      <c r="A122" s="9" t="s">
        <v>40</v>
      </c>
      <c r="B122" s="7" t="s">
        <v>44</v>
      </c>
      <c r="C122" s="6" t="s">
        <v>137</v>
      </c>
      <c r="D122" s="7">
        <v>19</v>
      </c>
      <c r="E122" s="7">
        <v>104</v>
      </c>
      <c r="F122" s="7">
        <v>5</v>
      </c>
      <c r="G122" s="7">
        <v>37</v>
      </c>
      <c r="H122" s="7">
        <v>19</v>
      </c>
      <c r="I122" s="7">
        <v>144</v>
      </c>
      <c r="J122" s="7">
        <v>0</v>
      </c>
      <c r="K122" s="7">
        <v>0.89999999999999991</v>
      </c>
      <c r="L122" s="7">
        <v>14</v>
      </c>
      <c r="M122" s="7">
        <v>0.80999999999999994</v>
      </c>
      <c r="N122" s="7">
        <v>1</v>
      </c>
      <c r="O122" s="7">
        <v>2.7600000000000002</v>
      </c>
      <c r="P122" s="7">
        <v>1</v>
      </c>
      <c r="Q122" s="7">
        <v>6</v>
      </c>
      <c r="R122" s="7">
        <v>0</v>
      </c>
      <c r="S122" s="7">
        <v>1.06</v>
      </c>
      <c r="T122" s="7"/>
      <c r="U122" s="7"/>
      <c r="V122" s="7">
        <v>3</v>
      </c>
      <c r="W122" s="7">
        <v>2.2080000000000002</v>
      </c>
      <c r="X122" s="7">
        <v>7</v>
      </c>
      <c r="Y122" s="7">
        <v>3</v>
      </c>
      <c r="Z122" s="7">
        <v>8</v>
      </c>
      <c r="AA122" s="7">
        <v>5</v>
      </c>
      <c r="AB122" s="7">
        <v>6</v>
      </c>
      <c r="AC122" s="7">
        <v>5</v>
      </c>
      <c r="AD122" s="7">
        <v>1</v>
      </c>
    </row>
    <row r="123" spans="1:30">
      <c r="A123" s="9" t="s">
        <v>40</v>
      </c>
      <c r="B123" s="7" t="s">
        <v>44</v>
      </c>
      <c r="C123" s="6" t="s">
        <v>13</v>
      </c>
      <c r="D123" s="7">
        <v>2</v>
      </c>
      <c r="E123" s="7">
        <v>50</v>
      </c>
      <c r="F123" s="7">
        <v>1</v>
      </c>
      <c r="G123" s="7">
        <v>3</v>
      </c>
      <c r="H123" s="7">
        <v>5</v>
      </c>
      <c r="I123" s="7">
        <v>43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7">
        <v>0</v>
      </c>
      <c r="U123" s="7"/>
      <c r="V123" s="7">
        <v>0</v>
      </c>
      <c r="W123" s="7">
        <v>0</v>
      </c>
      <c r="X123" s="7">
        <v>0</v>
      </c>
      <c r="Y123" s="7">
        <v>0</v>
      </c>
      <c r="Z123" s="7">
        <v>0</v>
      </c>
      <c r="AA123" s="7"/>
      <c r="AB123" s="7"/>
      <c r="AC123" s="7">
        <f>+(M123*0.3)</f>
        <v>0</v>
      </c>
      <c r="AD123" s="7"/>
    </row>
    <row r="124" spans="1:30">
      <c r="A124" s="9" t="s">
        <v>40</v>
      </c>
      <c r="B124" s="7" t="s">
        <v>45</v>
      </c>
      <c r="C124" s="6" t="s">
        <v>138</v>
      </c>
      <c r="D124" s="7">
        <v>79</v>
      </c>
      <c r="E124" s="7">
        <v>298</v>
      </c>
      <c r="F124" s="7">
        <v>23</v>
      </c>
      <c r="G124" s="7">
        <v>86</v>
      </c>
      <c r="H124" s="7">
        <v>43</v>
      </c>
      <c r="I124" s="7">
        <v>407</v>
      </c>
      <c r="J124" s="7">
        <v>0</v>
      </c>
      <c r="K124" s="7">
        <v>6</v>
      </c>
      <c r="L124" s="7">
        <v>4</v>
      </c>
      <c r="M124" s="7">
        <v>5.4</v>
      </c>
      <c r="N124" s="7">
        <v>7</v>
      </c>
      <c r="O124" s="7">
        <v>5.5200000000000005</v>
      </c>
      <c r="P124" s="7">
        <v>19</v>
      </c>
      <c r="Q124" s="7">
        <v>12</v>
      </c>
      <c r="R124" s="7">
        <v>3</v>
      </c>
      <c r="S124" s="7">
        <v>12.84</v>
      </c>
      <c r="T124" s="7"/>
      <c r="U124" s="7"/>
      <c r="V124" s="7">
        <v>242</v>
      </c>
      <c r="W124" s="7">
        <v>4.4160000000000004</v>
      </c>
      <c r="X124" s="7">
        <v>214</v>
      </c>
      <c r="Y124" s="7">
        <v>65</v>
      </c>
      <c r="Z124" s="7">
        <v>10</v>
      </c>
      <c r="AA124" s="7">
        <v>12</v>
      </c>
      <c r="AB124" s="7">
        <v>7</v>
      </c>
      <c r="AC124" s="7">
        <v>10</v>
      </c>
      <c r="AD124" s="7">
        <v>8</v>
      </c>
    </row>
    <row r="125" spans="1:30">
      <c r="A125" s="9" t="s">
        <v>40</v>
      </c>
      <c r="B125" s="7" t="s">
        <v>45</v>
      </c>
      <c r="C125" s="6" t="s">
        <v>139</v>
      </c>
      <c r="D125" s="7">
        <v>23</v>
      </c>
      <c r="E125" s="7">
        <v>250</v>
      </c>
      <c r="F125" s="7">
        <v>3</v>
      </c>
      <c r="G125" s="7">
        <v>37</v>
      </c>
      <c r="H125" s="7">
        <v>12</v>
      </c>
      <c r="I125" s="7">
        <v>276</v>
      </c>
      <c r="J125" s="7">
        <v>0</v>
      </c>
      <c r="K125" s="7">
        <v>7.1999999999999993</v>
      </c>
      <c r="L125" s="7">
        <v>0</v>
      </c>
      <c r="M125" s="7">
        <v>6.4799999999999995</v>
      </c>
      <c r="N125" s="7">
        <v>0</v>
      </c>
      <c r="O125" s="7">
        <v>1.84</v>
      </c>
      <c r="P125" s="7">
        <v>1</v>
      </c>
      <c r="Q125" s="7">
        <v>4</v>
      </c>
      <c r="R125" s="7">
        <v>1</v>
      </c>
      <c r="S125" s="7">
        <v>1.34</v>
      </c>
      <c r="T125" s="7"/>
      <c r="U125" s="7"/>
      <c r="V125" s="7">
        <v>17</v>
      </c>
      <c r="W125" s="7">
        <v>1.4720000000000002</v>
      </c>
      <c r="X125" s="7">
        <v>0</v>
      </c>
      <c r="Y125" s="7">
        <v>8</v>
      </c>
      <c r="Z125" s="7">
        <v>0</v>
      </c>
      <c r="AA125" s="7"/>
      <c r="AB125" s="7">
        <v>1</v>
      </c>
      <c r="AC125" s="7">
        <v>5</v>
      </c>
      <c r="AD125" s="7">
        <v>4</v>
      </c>
    </row>
    <row r="126" spans="1:30">
      <c r="A126" s="9" t="s">
        <v>40</v>
      </c>
      <c r="B126" s="7" t="s">
        <v>45</v>
      </c>
      <c r="C126" s="6" t="s">
        <v>140</v>
      </c>
      <c r="D126" s="7">
        <v>44</v>
      </c>
      <c r="E126" s="7">
        <v>425</v>
      </c>
      <c r="F126" s="7">
        <v>7</v>
      </c>
      <c r="G126" s="7">
        <v>38</v>
      </c>
      <c r="H126" s="7">
        <v>12</v>
      </c>
      <c r="I126" s="7">
        <v>304</v>
      </c>
      <c r="J126" s="7">
        <v>0</v>
      </c>
      <c r="K126" s="7">
        <v>5.3999999999999995</v>
      </c>
      <c r="L126" s="7">
        <v>6</v>
      </c>
      <c r="M126" s="7">
        <v>4.8599999999999994</v>
      </c>
      <c r="N126" s="7">
        <v>2</v>
      </c>
      <c r="O126" s="7">
        <v>2.7600000000000002</v>
      </c>
      <c r="P126" s="7">
        <v>10</v>
      </c>
      <c r="Q126" s="7">
        <v>6</v>
      </c>
      <c r="R126" s="7">
        <v>1</v>
      </c>
      <c r="S126" s="7">
        <v>2.12</v>
      </c>
      <c r="T126" s="7"/>
      <c r="U126" s="7"/>
      <c r="V126" s="7">
        <v>6</v>
      </c>
      <c r="W126" s="7">
        <v>2.2080000000000002</v>
      </c>
      <c r="X126" s="7">
        <v>5</v>
      </c>
      <c r="Y126" s="7">
        <v>9</v>
      </c>
      <c r="Z126" s="7">
        <v>0</v>
      </c>
      <c r="AA126" s="7"/>
      <c r="AB126" s="7">
        <v>1</v>
      </c>
      <c r="AC126" s="7">
        <v>5</v>
      </c>
      <c r="AD126" s="7">
        <v>4</v>
      </c>
    </row>
    <row r="127" spans="1:30">
      <c r="A127" s="9" t="s">
        <v>40</v>
      </c>
      <c r="B127" s="7" t="s">
        <v>45</v>
      </c>
      <c r="C127" s="6" t="s">
        <v>141</v>
      </c>
      <c r="D127" s="7">
        <v>34</v>
      </c>
      <c r="E127" s="7">
        <v>56</v>
      </c>
      <c r="F127" s="7">
        <v>17</v>
      </c>
      <c r="G127" s="7">
        <v>31</v>
      </c>
      <c r="H127" s="7">
        <v>9</v>
      </c>
      <c r="I127" s="7">
        <v>125</v>
      </c>
      <c r="J127" s="7">
        <v>0</v>
      </c>
      <c r="K127" s="7">
        <v>8.25</v>
      </c>
      <c r="L127" s="7">
        <v>19</v>
      </c>
      <c r="M127" s="7">
        <v>7.4249999999999998</v>
      </c>
      <c r="N127" s="7">
        <v>1</v>
      </c>
      <c r="O127" s="7">
        <v>1.84</v>
      </c>
      <c r="P127" s="7">
        <v>6</v>
      </c>
      <c r="Q127" s="7">
        <v>4</v>
      </c>
      <c r="R127" s="7">
        <v>0</v>
      </c>
      <c r="S127" s="7">
        <v>1.06</v>
      </c>
      <c r="T127" s="7"/>
      <c r="U127" s="7"/>
      <c r="V127" s="7">
        <v>3</v>
      </c>
      <c r="W127" s="7">
        <v>1.4720000000000002</v>
      </c>
      <c r="X127" s="7">
        <v>0</v>
      </c>
      <c r="Y127" s="7">
        <v>7</v>
      </c>
      <c r="Z127" s="7">
        <v>0</v>
      </c>
      <c r="AA127" s="7"/>
      <c r="AB127" s="7">
        <v>0</v>
      </c>
      <c r="AC127" s="7">
        <f>+(M127*0.3)</f>
        <v>2.2275</v>
      </c>
      <c r="AD127" s="7">
        <v>3</v>
      </c>
    </row>
    <row r="128" spans="1:30">
      <c r="A128" s="9" t="s">
        <v>40</v>
      </c>
      <c r="B128" s="7" t="s">
        <v>45</v>
      </c>
      <c r="C128" s="6" t="s">
        <v>142</v>
      </c>
      <c r="D128" s="7">
        <v>27</v>
      </c>
      <c r="E128" s="7">
        <v>430</v>
      </c>
      <c r="F128" s="7">
        <v>16</v>
      </c>
      <c r="G128" s="7">
        <v>45</v>
      </c>
      <c r="H128" s="7">
        <v>25</v>
      </c>
      <c r="I128" s="7">
        <v>378</v>
      </c>
      <c r="J128" s="7">
        <v>0</v>
      </c>
      <c r="K128" s="7">
        <v>18</v>
      </c>
      <c r="L128" s="7">
        <v>0</v>
      </c>
      <c r="M128" s="7">
        <v>16.2</v>
      </c>
      <c r="N128" s="7">
        <v>2</v>
      </c>
      <c r="O128" s="7">
        <v>0.92</v>
      </c>
      <c r="P128" s="7">
        <v>7</v>
      </c>
      <c r="Q128" s="7">
        <v>2</v>
      </c>
      <c r="R128" s="7">
        <v>3</v>
      </c>
      <c r="S128" s="7">
        <v>2</v>
      </c>
      <c r="T128" s="7"/>
      <c r="U128" s="7"/>
      <c r="V128" s="7">
        <v>0</v>
      </c>
      <c r="W128" s="7">
        <v>0.7360000000000001</v>
      </c>
      <c r="X128" s="7">
        <v>0</v>
      </c>
      <c r="Y128" s="7">
        <v>10</v>
      </c>
      <c r="Z128" s="7">
        <v>0</v>
      </c>
      <c r="AA128" s="7">
        <v>8</v>
      </c>
      <c r="AB128" s="7">
        <v>0</v>
      </c>
      <c r="AC128" s="7">
        <v>5</v>
      </c>
      <c r="AD128" s="7">
        <v>4</v>
      </c>
    </row>
    <row r="129" spans="1:30">
      <c r="A129" s="9" t="s">
        <v>40</v>
      </c>
      <c r="B129" s="7" t="s">
        <v>45</v>
      </c>
      <c r="C129" s="6" t="s">
        <v>13</v>
      </c>
      <c r="D129" s="7">
        <v>3</v>
      </c>
      <c r="E129" s="7">
        <v>174</v>
      </c>
      <c r="F129" s="7">
        <v>0</v>
      </c>
      <c r="G129" s="7">
        <v>0</v>
      </c>
      <c r="H129" s="7">
        <v>2</v>
      </c>
      <c r="I129" s="7">
        <v>96</v>
      </c>
      <c r="J129" s="7">
        <v>0</v>
      </c>
      <c r="K129" s="7">
        <v>0</v>
      </c>
      <c r="L129" s="7">
        <v>0</v>
      </c>
      <c r="M129" s="7">
        <v>0</v>
      </c>
      <c r="N129" s="7">
        <v>0</v>
      </c>
      <c r="O129" s="7">
        <v>0.46</v>
      </c>
      <c r="P129" s="7">
        <v>0</v>
      </c>
      <c r="Q129" s="7">
        <v>1</v>
      </c>
      <c r="R129" s="7">
        <v>0</v>
      </c>
      <c r="S129" s="7">
        <v>0</v>
      </c>
      <c r="T129" s="7">
        <v>0</v>
      </c>
      <c r="U129" s="7">
        <v>0</v>
      </c>
      <c r="V129" s="7">
        <v>0</v>
      </c>
      <c r="W129" s="7">
        <v>0.36800000000000005</v>
      </c>
      <c r="X129" s="7">
        <v>0</v>
      </c>
      <c r="Y129" s="7">
        <v>0</v>
      </c>
      <c r="Z129" s="7">
        <v>0</v>
      </c>
      <c r="AA129" s="7"/>
      <c r="AB129" s="7"/>
      <c r="AC129" s="7">
        <v>0</v>
      </c>
      <c r="AD129" s="7"/>
    </row>
    <row r="130" spans="1:30">
      <c r="A130" s="9" t="s">
        <v>40</v>
      </c>
      <c r="B130" s="7" t="s">
        <v>143</v>
      </c>
      <c r="C130" s="6" t="s">
        <v>13</v>
      </c>
      <c r="D130" s="7">
        <v>38</v>
      </c>
      <c r="E130" s="7">
        <v>531</v>
      </c>
      <c r="F130" s="7">
        <v>4</v>
      </c>
      <c r="G130" s="7">
        <v>15</v>
      </c>
      <c r="H130" s="7">
        <v>30</v>
      </c>
      <c r="I130" s="7">
        <v>328</v>
      </c>
      <c r="J130" s="7">
        <v>0</v>
      </c>
      <c r="K130" s="7">
        <v>0</v>
      </c>
      <c r="L130" s="7">
        <v>0</v>
      </c>
      <c r="M130" s="7">
        <v>0</v>
      </c>
      <c r="N130" s="7">
        <v>1</v>
      </c>
      <c r="O130" s="7">
        <v>0.92</v>
      </c>
      <c r="P130" s="7">
        <v>2</v>
      </c>
      <c r="Q130" s="7">
        <v>2</v>
      </c>
      <c r="R130" s="7">
        <v>0</v>
      </c>
      <c r="S130" s="7">
        <v>0</v>
      </c>
      <c r="T130" s="7"/>
      <c r="U130" s="7"/>
      <c r="V130" s="7">
        <v>0</v>
      </c>
      <c r="W130" s="7">
        <v>0.7360000000000001</v>
      </c>
      <c r="X130" s="7">
        <v>0</v>
      </c>
      <c r="Y130" s="7">
        <v>0</v>
      </c>
      <c r="Z130" s="7">
        <v>0</v>
      </c>
      <c r="AA130" s="7">
        <v>0</v>
      </c>
      <c r="AB130" s="7">
        <v>0</v>
      </c>
      <c r="AC130" s="7">
        <v>0</v>
      </c>
      <c r="AD130" s="7"/>
    </row>
    <row r="131" spans="1:30">
      <c r="A131" s="9" t="s">
        <v>144</v>
      </c>
      <c r="B131" s="8" t="s">
        <v>46</v>
      </c>
      <c r="C131" s="8" t="s">
        <v>46</v>
      </c>
      <c r="D131" s="7">
        <v>875</v>
      </c>
      <c r="E131" s="7">
        <v>2000</v>
      </c>
      <c r="F131" s="7">
        <v>2683</v>
      </c>
      <c r="G131" s="7">
        <v>9</v>
      </c>
      <c r="H131" s="7">
        <v>83</v>
      </c>
      <c r="I131" s="7">
        <v>4499</v>
      </c>
      <c r="J131" s="7">
        <v>1</v>
      </c>
      <c r="K131" s="7">
        <v>5.7</v>
      </c>
      <c r="L131" s="7">
        <v>0</v>
      </c>
      <c r="M131" s="7">
        <v>5.13</v>
      </c>
      <c r="N131" s="7">
        <v>16</v>
      </c>
      <c r="O131" s="7">
        <v>22.080000000000002</v>
      </c>
      <c r="P131" s="7">
        <v>14</v>
      </c>
      <c r="Q131" s="7">
        <v>48</v>
      </c>
      <c r="R131" s="7">
        <v>22</v>
      </c>
      <c r="S131" s="7">
        <v>0</v>
      </c>
      <c r="T131" s="7"/>
      <c r="U131" s="7"/>
      <c r="V131" s="7">
        <v>0</v>
      </c>
      <c r="W131" s="7">
        <v>17.664000000000001</v>
      </c>
      <c r="X131" s="7">
        <v>0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/>
    </row>
    <row r="132" spans="1:30">
      <c r="A132" s="9" t="s">
        <v>143</v>
      </c>
      <c r="B132" s="8" t="s">
        <v>13</v>
      </c>
      <c r="C132" s="8" t="s">
        <v>13</v>
      </c>
      <c r="D132" s="7">
        <v>1756</v>
      </c>
      <c r="E132" s="7">
        <v>2247</v>
      </c>
      <c r="F132" s="7">
        <v>39</v>
      </c>
      <c r="G132" s="7">
        <v>330</v>
      </c>
      <c r="H132" s="7">
        <v>226</v>
      </c>
      <c r="I132" s="7">
        <v>2526</v>
      </c>
      <c r="J132" s="7">
        <v>0</v>
      </c>
      <c r="K132" s="7">
        <v>0</v>
      </c>
      <c r="L132" s="7">
        <v>0</v>
      </c>
      <c r="M132" s="7">
        <v>0</v>
      </c>
      <c r="N132" s="7">
        <v>21</v>
      </c>
      <c r="O132" s="7">
        <v>22.540000000000003</v>
      </c>
      <c r="P132" s="7">
        <v>27</v>
      </c>
      <c r="Q132" s="7">
        <v>49</v>
      </c>
      <c r="R132" s="7">
        <v>12</v>
      </c>
      <c r="S132" s="7">
        <v>0</v>
      </c>
      <c r="T132" s="7"/>
      <c r="U132" s="7"/>
      <c r="V132" s="7">
        <v>0</v>
      </c>
      <c r="W132" s="7">
        <v>18.032000000000004</v>
      </c>
      <c r="X132" s="7">
        <v>0</v>
      </c>
      <c r="Y132" s="7">
        <v>0</v>
      </c>
      <c r="Z132" s="7">
        <v>0</v>
      </c>
      <c r="AA132" s="7">
        <v>0</v>
      </c>
      <c r="AB132" s="7">
        <v>0</v>
      </c>
      <c r="AC132" s="7">
        <v>0</v>
      </c>
      <c r="AD132" s="7"/>
    </row>
    <row r="133" spans="1:30">
      <c r="Y133" s="4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B0458-9B44-460D-83ED-DFA0EA5352B6}">
  <dimension ref="A1:AA1704"/>
  <sheetViews>
    <sheetView tabSelected="1" topLeftCell="A852" zoomScale="107" zoomScaleNormal="107" workbookViewId="0">
      <selection activeCell="E917" sqref="E917"/>
    </sheetView>
  </sheetViews>
  <sheetFormatPr baseColWidth="10" defaultRowHeight="13.8"/>
  <cols>
    <col min="2" max="2" width="20.69921875" customWidth="1"/>
    <col min="3" max="3" width="14" customWidth="1"/>
    <col min="4" max="4" width="13.59765625" customWidth="1"/>
    <col min="5" max="5" width="27.09765625" customWidth="1"/>
    <col min="8" max="19" width="11.19921875" customWidth="1"/>
    <col min="20" max="23" width="11.19921875" style="19" customWidth="1"/>
    <col min="25" max="25" width="11.19921875" style="23"/>
    <col min="26" max="26" width="11.19921875" style="23" customWidth="1"/>
    <col min="27" max="27" width="11.19921875" customWidth="1"/>
  </cols>
  <sheetData>
    <row r="1" spans="1:27" ht="40.200000000000003" thickBot="1">
      <c r="A1" s="25" t="s">
        <v>201</v>
      </c>
      <c r="B1" s="25" t="s">
        <v>199</v>
      </c>
      <c r="C1" s="13" t="s">
        <v>168</v>
      </c>
      <c r="D1" s="13" t="s">
        <v>169</v>
      </c>
      <c r="E1" s="13" t="s">
        <v>170</v>
      </c>
      <c r="F1" s="18" t="s">
        <v>203</v>
      </c>
      <c r="G1" s="18" t="s">
        <v>202</v>
      </c>
      <c r="H1" s="18" t="s">
        <v>204</v>
      </c>
      <c r="I1" s="18" t="s">
        <v>205</v>
      </c>
      <c r="J1" s="18" t="s">
        <v>206</v>
      </c>
      <c r="K1" s="18" t="s">
        <v>207</v>
      </c>
      <c r="L1" s="18" t="s">
        <v>208</v>
      </c>
      <c r="M1" s="18" t="s">
        <v>209</v>
      </c>
      <c r="N1" s="18" t="s">
        <v>210</v>
      </c>
      <c r="O1" s="18" t="s">
        <v>211</v>
      </c>
      <c r="P1" s="18" t="s">
        <v>212</v>
      </c>
      <c r="Q1" s="18" t="s">
        <v>213</v>
      </c>
      <c r="R1" s="18" t="s">
        <v>214</v>
      </c>
      <c r="S1" s="18" t="s">
        <v>215</v>
      </c>
      <c r="T1" s="18" t="s">
        <v>216</v>
      </c>
      <c r="U1" s="18" t="s">
        <v>217</v>
      </c>
      <c r="V1" s="18" t="s">
        <v>218</v>
      </c>
      <c r="W1" s="18" t="s">
        <v>219</v>
      </c>
      <c r="X1" s="18" t="s">
        <v>220</v>
      </c>
      <c r="Y1" s="21" t="s">
        <v>221</v>
      </c>
      <c r="Z1" s="21" t="s">
        <v>222</v>
      </c>
      <c r="AA1" s="21" t="s">
        <v>223</v>
      </c>
    </row>
    <row r="2" spans="1:27" hidden="1">
      <c r="A2">
        <v>1001</v>
      </c>
      <c r="B2" t="s">
        <v>47</v>
      </c>
      <c r="C2" s="16">
        <v>111</v>
      </c>
      <c r="D2" s="16" t="s">
        <v>171</v>
      </c>
      <c r="E2" s="17" t="s">
        <v>172</v>
      </c>
      <c r="F2" s="24">
        <v>55</v>
      </c>
      <c r="G2" s="24">
        <v>317</v>
      </c>
      <c r="H2" s="19">
        <v>2</v>
      </c>
      <c r="I2" s="19">
        <v>1</v>
      </c>
      <c r="T2" s="19">
        <f>Registro[[#This Row],[Mes 1]]+Registro[[#This Row],[Mes 2]]+Registro[[#This Row],[Mes 3]]</f>
        <v>3</v>
      </c>
      <c r="U2" s="19">
        <f>Registro[[#This Row],[Mes 4]]+Registro[[#This Row],[Mes 5]]+Registro[[#This Row],[Mes 6]]</f>
        <v>0</v>
      </c>
      <c r="V2" s="19">
        <f>Registro[[#This Row],[Mes 7]]+Registro[[#This Row],[Mes 8]]+Registro[[#This Row],[Mes 9]]</f>
        <v>0</v>
      </c>
      <c r="W2" s="20">
        <f>Registro[[#This Row],[Mes 10]]+Registro[[#This Row],[Mes 11]]+Registro[[#This Row],[Mes 12]]</f>
        <v>0</v>
      </c>
      <c r="X2" s="20">
        <f>SUM(Registro[[#This Row],[Trim I]],Registro[[#This Row],[Trim II]],Registro[[#This Row],[Trim III]],Registro[[#This Row],[Trim IV]])</f>
        <v>3</v>
      </c>
      <c r="Y2" s="22">
        <f>IFERROR((Registro[[#This Row],[Avance Total]]/Registro[[#This Row],[Meta]]),0)</f>
        <v>9.4637223974763408E-3</v>
      </c>
      <c r="Z2" s="22">
        <f>IFERROR((Registro[[#This Row],[Avance Total]]-Registro[[#This Row],[Línea Base 2025]])/Registro[[#This Row],[Línea Base 2025]],0)</f>
        <v>-0.94545454545454544</v>
      </c>
      <c r="AA2" s="20">
        <v>2026</v>
      </c>
    </row>
    <row r="3" spans="1:27" hidden="1">
      <c r="A3">
        <v>1001</v>
      </c>
      <c r="B3" t="s">
        <v>47</v>
      </c>
      <c r="C3" s="16">
        <v>112</v>
      </c>
      <c r="D3" s="16" t="s">
        <v>173</v>
      </c>
      <c r="E3" s="17" t="s">
        <v>7</v>
      </c>
      <c r="F3" s="24">
        <v>9</v>
      </c>
      <c r="G3" s="24">
        <v>53</v>
      </c>
      <c r="H3" s="19">
        <v>0</v>
      </c>
      <c r="I3" s="19">
        <v>0</v>
      </c>
      <c r="T3" s="19">
        <f>Registro[[#This Row],[Mes 1]]+Registro[[#This Row],[Mes 2]]+Registro[[#This Row],[Mes 3]]</f>
        <v>0</v>
      </c>
      <c r="U3" s="19">
        <f>Registro[[#This Row],[Mes 4]]+Registro[[#This Row],[Mes 5]]+Registro[[#This Row],[Mes 6]]</f>
        <v>0</v>
      </c>
      <c r="V3" s="19">
        <f>Registro[[#This Row],[Mes 7]]+Registro[[#This Row],[Mes 8]]+Registro[[#This Row],[Mes 9]]</f>
        <v>0</v>
      </c>
      <c r="W3" s="20">
        <f>Registro[[#This Row],[Mes 10]]+Registro[[#This Row],[Mes 11]]+Registro[[#This Row],[Mes 12]]</f>
        <v>0</v>
      </c>
      <c r="X3" s="20">
        <f>SUM(Registro[[#This Row],[Trim I]],Registro[[#This Row],[Trim II]],Registro[[#This Row],[Trim III]],Registro[[#This Row],[Trim IV]])</f>
        <v>0</v>
      </c>
      <c r="Y3" s="22">
        <f>IFERROR((Registro[[#This Row],[Avance Total]]/Registro[[#This Row],[Meta]]),0)</f>
        <v>0</v>
      </c>
      <c r="Z3" s="22">
        <f>IFERROR((Registro[[#This Row],[Avance Total]]-Registro[[#This Row],[Línea Base 2025]])/Registro[[#This Row],[Línea Base 2025]],0)</f>
        <v>-1</v>
      </c>
      <c r="AA3" s="20">
        <v>2026</v>
      </c>
    </row>
    <row r="4" spans="1:27" hidden="1">
      <c r="A4">
        <v>1001</v>
      </c>
      <c r="B4" t="s">
        <v>47</v>
      </c>
      <c r="C4" s="16">
        <v>113</v>
      </c>
      <c r="D4" s="16" t="s">
        <v>179</v>
      </c>
      <c r="E4" s="17" t="s">
        <v>178</v>
      </c>
      <c r="F4" s="24">
        <v>42</v>
      </c>
      <c r="G4" s="24">
        <v>375</v>
      </c>
      <c r="H4" s="19">
        <v>1</v>
      </c>
      <c r="I4" s="19">
        <v>0</v>
      </c>
      <c r="T4" s="19">
        <f>Registro[[#This Row],[Mes 1]]+Registro[[#This Row],[Mes 2]]+Registro[[#This Row],[Mes 3]]</f>
        <v>1</v>
      </c>
      <c r="U4" s="19">
        <f>Registro[[#This Row],[Mes 4]]+Registro[[#This Row],[Mes 5]]+Registro[[#This Row],[Mes 6]]</f>
        <v>0</v>
      </c>
      <c r="V4" s="19">
        <f>Registro[[#This Row],[Mes 7]]+Registro[[#This Row],[Mes 8]]+Registro[[#This Row],[Mes 9]]</f>
        <v>0</v>
      </c>
      <c r="W4" s="20">
        <f>Registro[[#This Row],[Mes 10]]+Registro[[#This Row],[Mes 11]]+Registro[[#This Row],[Mes 12]]</f>
        <v>0</v>
      </c>
      <c r="X4" s="20">
        <f>SUM(Registro[[#This Row],[Trim I]],Registro[[#This Row],[Trim II]],Registro[[#This Row],[Trim III]],Registro[[#This Row],[Trim IV]])</f>
        <v>1</v>
      </c>
      <c r="Y4" s="22">
        <f>IFERROR((Registro[[#This Row],[Avance Total]]/Registro[[#This Row],[Meta]]),0)</f>
        <v>2.6666666666666666E-3</v>
      </c>
      <c r="Z4" s="22">
        <f>IFERROR((Registro[[#This Row],[Avance Total]]-Registro[[#This Row],[Línea Base 2025]])/Registro[[#This Row],[Línea Base 2025]],0)</f>
        <v>-0.97619047619047616</v>
      </c>
      <c r="AA4" s="20">
        <v>2026</v>
      </c>
    </row>
    <row r="5" spans="1:27" hidden="1">
      <c r="A5">
        <v>1001</v>
      </c>
      <c r="B5" t="s">
        <v>47</v>
      </c>
      <c r="C5" s="16">
        <v>114</v>
      </c>
      <c r="D5" s="16" t="s">
        <v>181</v>
      </c>
      <c r="E5" s="17" t="s">
        <v>180</v>
      </c>
      <c r="F5" s="24">
        <v>1</v>
      </c>
      <c r="G5" s="24">
        <v>12</v>
      </c>
      <c r="H5" s="19">
        <v>7</v>
      </c>
      <c r="I5" s="19">
        <v>0</v>
      </c>
      <c r="T5" s="19">
        <f>Registro[[#This Row],[Mes 1]]+Registro[[#This Row],[Mes 2]]+Registro[[#This Row],[Mes 3]]</f>
        <v>7</v>
      </c>
      <c r="U5" s="19">
        <f>Registro[[#This Row],[Mes 4]]+Registro[[#This Row],[Mes 5]]+Registro[[#This Row],[Mes 6]]</f>
        <v>0</v>
      </c>
      <c r="V5" s="19">
        <f>Registro[[#This Row],[Mes 7]]+Registro[[#This Row],[Mes 8]]+Registro[[#This Row],[Mes 9]]</f>
        <v>0</v>
      </c>
      <c r="W5" s="20">
        <f>Registro[[#This Row],[Mes 10]]+Registro[[#This Row],[Mes 11]]+Registro[[#This Row],[Mes 12]]</f>
        <v>0</v>
      </c>
      <c r="X5" s="20">
        <f>SUM(Registro[[#This Row],[Trim I]],Registro[[#This Row],[Trim II]],Registro[[#This Row],[Trim III]],Registro[[#This Row],[Trim IV]])</f>
        <v>7</v>
      </c>
      <c r="Y5" s="22">
        <f>IFERROR((Registro[[#This Row],[Avance Total]]/Registro[[#This Row],[Meta]]),0)</f>
        <v>0.58333333333333337</v>
      </c>
      <c r="Z5" s="22">
        <f>IFERROR((Registro[[#This Row],[Avance Total]]-Registro[[#This Row],[Línea Base 2025]])/Registro[[#This Row],[Línea Base 2025]],0)</f>
        <v>6</v>
      </c>
      <c r="AA5" s="20">
        <v>2026</v>
      </c>
    </row>
    <row r="6" spans="1:27" hidden="1">
      <c r="A6">
        <v>1001</v>
      </c>
      <c r="B6" t="s">
        <v>47</v>
      </c>
      <c r="C6" s="16">
        <v>115</v>
      </c>
      <c r="D6" s="16" t="s">
        <v>183</v>
      </c>
      <c r="E6" s="17" t="s">
        <v>182</v>
      </c>
      <c r="F6" s="24">
        <v>0</v>
      </c>
      <c r="G6" s="24">
        <v>10.8</v>
      </c>
      <c r="H6" s="19">
        <v>0</v>
      </c>
      <c r="I6" s="19">
        <v>0</v>
      </c>
      <c r="T6" s="19">
        <f>Registro[[#This Row],[Mes 1]]+Registro[[#This Row],[Mes 2]]+Registro[[#This Row],[Mes 3]]</f>
        <v>0</v>
      </c>
      <c r="U6" s="19">
        <f>Registro[[#This Row],[Mes 4]]+Registro[[#This Row],[Mes 5]]+Registro[[#This Row],[Mes 6]]</f>
        <v>0</v>
      </c>
      <c r="V6" s="19">
        <f>Registro[[#This Row],[Mes 7]]+Registro[[#This Row],[Mes 8]]+Registro[[#This Row],[Mes 9]]</f>
        <v>0</v>
      </c>
      <c r="W6" s="20">
        <f>Registro[[#This Row],[Mes 10]]+Registro[[#This Row],[Mes 11]]+Registro[[#This Row],[Mes 12]]</f>
        <v>0</v>
      </c>
      <c r="X6" s="20">
        <f>SUM(Registro[[#This Row],[Trim I]],Registro[[#This Row],[Trim II]],Registro[[#This Row],[Trim III]],Registro[[#This Row],[Trim IV]])</f>
        <v>0</v>
      </c>
      <c r="Y6" s="22">
        <f>IFERROR((Registro[[#This Row],[Avance Total]]/Registro[[#This Row],[Meta]]),0)</f>
        <v>0</v>
      </c>
      <c r="Z6" s="22">
        <f>IFERROR((Registro[[#This Row],[Avance Total]]-Registro[[#This Row],[Línea Base 2025]])/Registro[[#This Row],[Línea Base 2025]],0)</f>
        <v>0</v>
      </c>
      <c r="AA6" s="20">
        <v>2026</v>
      </c>
    </row>
    <row r="7" spans="1:27">
      <c r="A7">
        <v>1001</v>
      </c>
      <c r="B7" t="s">
        <v>47</v>
      </c>
      <c r="C7" s="16">
        <v>116</v>
      </c>
      <c r="D7" s="16" t="s">
        <v>185</v>
      </c>
      <c r="E7" s="17" t="s">
        <v>184</v>
      </c>
      <c r="F7" s="24">
        <v>2</v>
      </c>
      <c r="G7" s="24">
        <v>2.7600000000000002</v>
      </c>
      <c r="H7" s="19">
        <v>0</v>
      </c>
      <c r="I7" s="19">
        <v>0</v>
      </c>
      <c r="T7" s="19">
        <f>Registro[[#This Row],[Mes 1]]+Registro[[#This Row],[Mes 2]]+Registro[[#This Row],[Mes 3]]</f>
        <v>0</v>
      </c>
      <c r="U7" s="19">
        <f>Registro[[#This Row],[Mes 4]]+Registro[[#This Row],[Mes 5]]+Registro[[#This Row],[Mes 6]]</f>
        <v>0</v>
      </c>
      <c r="V7" s="19">
        <f>Registro[[#This Row],[Mes 7]]+Registro[[#This Row],[Mes 8]]+Registro[[#This Row],[Mes 9]]</f>
        <v>0</v>
      </c>
      <c r="W7" s="20">
        <f>Registro[[#This Row],[Mes 10]]+Registro[[#This Row],[Mes 11]]+Registro[[#This Row],[Mes 12]]</f>
        <v>0</v>
      </c>
      <c r="X7" s="20">
        <f>SUM(Registro[[#This Row],[Trim I]],Registro[[#This Row],[Trim II]],Registro[[#This Row],[Trim III]],Registro[[#This Row],[Trim IV]])</f>
        <v>0</v>
      </c>
      <c r="Y7" s="22">
        <f>IFERROR((Registro[[#This Row],[Avance Total]]/Registro[[#This Row],[Meta]]),0)</f>
        <v>0</v>
      </c>
      <c r="Z7" s="22">
        <f>IFERROR((Registro[[#This Row],[Avance Total]]-Registro[[#This Row],[Línea Base 2025]])/Registro[[#This Row],[Línea Base 2025]],0)</f>
        <v>-1</v>
      </c>
      <c r="AA7" s="20">
        <v>2026</v>
      </c>
    </row>
    <row r="8" spans="1:27" hidden="1">
      <c r="A8">
        <v>1001</v>
      </c>
      <c r="B8" t="s">
        <v>47</v>
      </c>
      <c r="C8" s="16">
        <v>117</v>
      </c>
      <c r="D8" s="16" t="s">
        <v>187</v>
      </c>
      <c r="E8" s="17" t="s">
        <v>186</v>
      </c>
      <c r="F8" s="24">
        <v>1</v>
      </c>
      <c r="G8" s="24">
        <v>9.32</v>
      </c>
      <c r="H8" s="19">
        <v>0</v>
      </c>
      <c r="I8" s="19">
        <v>0</v>
      </c>
      <c r="T8" s="19">
        <f>Registro[[#This Row],[Mes 1]]+Registro[[#This Row],[Mes 2]]+Registro[[#This Row],[Mes 3]]</f>
        <v>0</v>
      </c>
      <c r="U8" s="19">
        <f>Registro[[#This Row],[Mes 4]]+Registro[[#This Row],[Mes 5]]+Registro[[#This Row],[Mes 6]]</f>
        <v>0</v>
      </c>
      <c r="V8" s="19">
        <f>Registro[[#This Row],[Mes 7]]+Registro[[#This Row],[Mes 8]]+Registro[[#This Row],[Mes 9]]</f>
        <v>0</v>
      </c>
      <c r="W8" s="20">
        <f>Registro[[#This Row],[Mes 10]]+Registro[[#This Row],[Mes 11]]+Registro[[#This Row],[Mes 12]]</f>
        <v>0</v>
      </c>
      <c r="X8" s="20">
        <f>SUM(Registro[[#This Row],[Trim I]],Registro[[#This Row],[Trim II]],Registro[[#This Row],[Trim III]],Registro[[#This Row],[Trim IV]])</f>
        <v>0</v>
      </c>
      <c r="Y8" s="22">
        <f>IFERROR((Registro[[#This Row],[Avance Total]]/Registro[[#This Row],[Meta]]),0)</f>
        <v>0</v>
      </c>
      <c r="Z8" s="22">
        <f>IFERROR((Registro[[#This Row],[Avance Total]]-Registro[[#This Row],[Línea Base 2025]])/Registro[[#This Row],[Línea Base 2025]],0)</f>
        <v>-1</v>
      </c>
      <c r="AA8" s="20">
        <v>2026</v>
      </c>
    </row>
    <row r="9" spans="1:27" hidden="1">
      <c r="A9">
        <v>1001</v>
      </c>
      <c r="B9" t="s">
        <v>47</v>
      </c>
      <c r="C9" s="16">
        <v>118</v>
      </c>
      <c r="D9" s="16" t="s">
        <v>188</v>
      </c>
      <c r="E9" s="17" t="s">
        <v>9</v>
      </c>
      <c r="F9" s="24">
        <v>0</v>
      </c>
      <c r="G9" s="24">
        <v>16</v>
      </c>
      <c r="H9" s="19">
        <v>0</v>
      </c>
      <c r="I9" s="19">
        <v>0</v>
      </c>
      <c r="T9" s="19">
        <f>Registro[[#This Row],[Mes 1]]+Registro[[#This Row],[Mes 2]]+Registro[[#This Row],[Mes 3]]</f>
        <v>0</v>
      </c>
      <c r="U9" s="19">
        <f>Registro[[#This Row],[Mes 4]]+Registro[[#This Row],[Mes 5]]+Registro[[#This Row],[Mes 6]]</f>
        <v>0</v>
      </c>
      <c r="V9" s="19">
        <f>Registro[[#This Row],[Mes 7]]+Registro[[#This Row],[Mes 8]]+Registro[[#This Row],[Mes 9]]</f>
        <v>0</v>
      </c>
      <c r="W9" s="20">
        <f>Registro[[#This Row],[Mes 10]]+Registro[[#This Row],[Mes 11]]+Registro[[#This Row],[Mes 12]]</f>
        <v>0</v>
      </c>
      <c r="X9" s="20">
        <f>SUM(Registro[[#This Row],[Trim I]],Registro[[#This Row],[Trim II]],Registro[[#This Row],[Trim III]],Registro[[#This Row],[Trim IV]])</f>
        <v>0</v>
      </c>
      <c r="Y9" s="22">
        <f>IFERROR((Registro[[#This Row],[Avance Total]]/Registro[[#This Row],[Meta]]),0)</f>
        <v>0</v>
      </c>
      <c r="Z9" s="22">
        <f>IFERROR((Registro[[#This Row],[Avance Total]]-Registro[[#This Row],[Línea Base 2025]])/Registro[[#This Row],[Línea Base 2025]],0)</f>
        <v>0</v>
      </c>
      <c r="AA9" s="20">
        <v>2026</v>
      </c>
    </row>
    <row r="10" spans="1:27" hidden="1">
      <c r="A10">
        <v>1001</v>
      </c>
      <c r="B10" t="s">
        <v>47</v>
      </c>
      <c r="C10" s="16">
        <v>119</v>
      </c>
      <c r="D10" s="16" t="s">
        <v>190</v>
      </c>
      <c r="E10" s="17" t="s">
        <v>189</v>
      </c>
      <c r="F10" s="24">
        <v>0</v>
      </c>
      <c r="G10" s="24">
        <v>2.2080000000000002</v>
      </c>
      <c r="H10" s="19">
        <v>0</v>
      </c>
      <c r="I10" s="19">
        <v>0</v>
      </c>
      <c r="T10" s="19">
        <f>Registro[[#This Row],[Mes 1]]+Registro[[#This Row],[Mes 2]]+Registro[[#This Row],[Mes 3]]</f>
        <v>0</v>
      </c>
      <c r="U10" s="19">
        <f>Registro[[#This Row],[Mes 4]]+Registro[[#This Row],[Mes 5]]+Registro[[#This Row],[Mes 6]]</f>
        <v>0</v>
      </c>
      <c r="V10" s="19">
        <f>Registro[[#This Row],[Mes 7]]+Registro[[#This Row],[Mes 8]]+Registro[[#This Row],[Mes 9]]</f>
        <v>0</v>
      </c>
      <c r="W10" s="20">
        <f>Registro[[#This Row],[Mes 10]]+Registro[[#This Row],[Mes 11]]+Registro[[#This Row],[Mes 12]]</f>
        <v>0</v>
      </c>
      <c r="X10" s="20">
        <f>SUM(Registro[[#This Row],[Trim I]],Registro[[#This Row],[Trim II]],Registro[[#This Row],[Trim III]],Registro[[#This Row],[Trim IV]])</f>
        <v>0</v>
      </c>
      <c r="Y10" s="22">
        <f>IFERROR((Registro[[#This Row],[Avance Total]]/Registro[[#This Row],[Meta]]),0)</f>
        <v>0</v>
      </c>
      <c r="Z10" s="22">
        <f>IFERROR((Registro[[#This Row],[Avance Total]]-Registro[[#This Row],[Línea Base 2025]])/Registro[[#This Row],[Línea Base 2025]],0)</f>
        <v>0</v>
      </c>
      <c r="AA10" s="20">
        <v>2026</v>
      </c>
    </row>
    <row r="11" spans="1:27" hidden="1">
      <c r="A11">
        <v>1001</v>
      </c>
      <c r="B11" t="s">
        <v>47</v>
      </c>
      <c r="C11" s="16">
        <v>120</v>
      </c>
      <c r="D11" s="16" t="s">
        <v>192</v>
      </c>
      <c r="E11" s="17" t="s">
        <v>191</v>
      </c>
      <c r="F11" s="24">
        <v>18</v>
      </c>
      <c r="G11" s="24">
        <v>68</v>
      </c>
      <c r="H11" s="19">
        <v>0</v>
      </c>
      <c r="I11" s="19">
        <v>0</v>
      </c>
      <c r="T11" s="19">
        <f>Registro[[#This Row],[Mes 1]]+Registro[[#This Row],[Mes 2]]+Registro[[#This Row],[Mes 3]]</f>
        <v>0</v>
      </c>
      <c r="U11" s="19">
        <f>Registro[[#This Row],[Mes 4]]+Registro[[#This Row],[Mes 5]]+Registro[[#This Row],[Mes 6]]</f>
        <v>0</v>
      </c>
      <c r="V11" s="19">
        <f>Registro[[#This Row],[Mes 7]]+Registro[[#This Row],[Mes 8]]+Registro[[#This Row],[Mes 9]]</f>
        <v>0</v>
      </c>
      <c r="W11" s="20">
        <f>Registro[[#This Row],[Mes 10]]+Registro[[#This Row],[Mes 11]]+Registro[[#This Row],[Mes 12]]</f>
        <v>0</v>
      </c>
      <c r="X11" s="20">
        <f>SUM(Registro[[#This Row],[Trim I]],Registro[[#This Row],[Trim II]],Registro[[#This Row],[Trim III]],Registro[[#This Row],[Trim IV]])</f>
        <v>0</v>
      </c>
      <c r="Y11" s="22">
        <f>IFERROR((Registro[[#This Row],[Avance Total]]/Registro[[#This Row],[Meta]]),0)</f>
        <v>0</v>
      </c>
      <c r="Z11" s="22">
        <f>IFERROR((Registro[[#This Row],[Avance Total]]-Registro[[#This Row],[Línea Base 2025]])/Registro[[#This Row],[Línea Base 2025]],0)</f>
        <v>-1</v>
      </c>
      <c r="AA11" s="20">
        <v>2026</v>
      </c>
    </row>
    <row r="12" spans="1:27" hidden="1">
      <c r="A12">
        <v>1001</v>
      </c>
      <c r="B12" t="s">
        <v>47</v>
      </c>
      <c r="C12" s="16">
        <v>121</v>
      </c>
      <c r="D12" s="16" t="s">
        <v>194</v>
      </c>
      <c r="E12" s="17" t="s">
        <v>193</v>
      </c>
      <c r="F12" s="24">
        <v>4</v>
      </c>
      <c r="G12" s="24">
        <v>19</v>
      </c>
      <c r="H12" s="19">
        <v>0</v>
      </c>
      <c r="I12" s="19">
        <v>0</v>
      </c>
      <c r="T12" s="19">
        <f>Registro[[#This Row],[Mes 1]]+Registro[[#This Row],[Mes 2]]+Registro[[#This Row],[Mes 3]]</f>
        <v>0</v>
      </c>
      <c r="U12" s="19">
        <f>Registro[[#This Row],[Mes 4]]+Registro[[#This Row],[Mes 5]]+Registro[[#This Row],[Mes 6]]</f>
        <v>0</v>
      </c>
      <c r="V12" s="19">
        <f>Registro[[#This Row],[Mes 7]]+Registro[[#This Row],[Mes 8]]+Registro[[#This Row],[Mes 9]]</f>
        <v>0</v>
      </c>
      <c r="W12" s="20">
        <f>Registro[[#This Row],[Mes 10]]+Registro[[#This Row],[Mes 11]]+Registro[[#This Row],[Mes 12]]</f>
        <v>0</v>
      </c>
      <c r="X12" s="20">
        <f>SUM(Registro[[#This Row],[Trim I]],Registro[[#This Row],[Trim II]],Registro[[#This Row],[Trim III]],Registro[[#This Row],[Trim IV]])</f>
        <v>0</v>
      </c>
      <c r="Y12" s="22">
        <f>IFERROR((Registro[[#This Row],[Avance Total]]/Registro[[#This Row],[Meta]]),0)</f>
        <v>0</v>
      </c>
      <c r="Z12" s="22">
        <f>IFERROR((Registro[[#This Row],[Avance Total]]-Registro[[#This Row],[Línea Base 2025]])/Registro[[#This Row],[Línea Base 2025]],0)</f>
        <v>-1</v>
      </c>
      <c r="AA12" s="20">
        <v>2026</v>
      </c>
    </row>
    <row r="13" spans="1:27" hidden="1">
      <c r="A13">
        <v>1001</v>
      </c>
      <c r="B13" t="s">
        <v>47</v>
      </c>
      <c r="C13" s="16">
        <v>122</v>
      </c>
      <c r="D13" s="16" t="s">
        <v>196</v>
      </c>
      <c r="E13" s="17" t="s">
        <v>195</v>
      </c>
      <c r="F13" s="24">
        <v>5</v>
      </c>
      <c r="G13" s="24">
        <v>17</v>
      </c>
      <c r="H13" s="19">
        <v>0</v>
      </c>
      <c r="I13" s="19">
        <v>0</v>
      </c>
      <c r="T13" s="19">
        <f>Registro[[#This Row],[Mes 1]]+Registro[[#This Row],[Mes 2]]+Registro[[#This Row],[Mes 3]]</f>
        <v>0</v>
      </c>
      <c r="U13" s="19">
        <f>Registro[[#This Row],[Mes 4]]+Registro[[#This Row],[Mes 5]]+Registro[[#This Row],[Mes 6]]</f>
        <v>0</v>
      </c>
      <c r="V13" s="19">
        <f>Registro[[#This Row],[Mes 7]]+Registro[[#This Row],[Mes 8]]+Registro[[#This Row],[Mes 9]]</f>
        <v>0</v>
      </c>
      <c r="W13" s="20">
        <f>Registro[[#This Row],[Mes 10]]+Registro[[#This Row],[Mes 11]]+Registro[[#This Row],[Mes 12]]</f>
        <v>0</v>
      </c>
      <c r="X13" s="20">
        <f>SUM(Registro[[#This Row],[Trim I]],Registro[[#This Row],[Trim II]],Registro[[#This Row],[Trim III]],Registro[[#This Row],[Trim IV]])</f>
        <v>0</v>
      </c>
      <c r="Y13" s="22">
        <f>IFERROR((Registro[[#This Row],[Avance Total]]/Registro[[#This Row],[Meta]]),0)</f>
        <v>0</v>
      </c>
      <c r="Z13" s="22">
        <f>IFERROR((Registro[[#This Row],[Avance Total]]-Registro[[#This Row],[Línea Base 2025]])/Registro[[#This Row],[Línea Base 2025]],0)</f>
        <v>-1</v>
      </c>
      <c r="AA13" s="20">
        <v>2026</v>
      </c>
    </row>
    <row r="14" spans="1:27" hidden="1">
      <c r="A14">
        <v>1001</v>
      </c>
      <c r="B14" t="s">
        <v>47</v>
      </c>
      <c r="C14" s="16">
        <v>123</v>
      </c>
      <c r="D14" s="16" t="s">
        <v>198</v>
      </c>
      <c r="E14" s="17" t="s">
        <v>197</v>
      </c>
      <c r="F14" s="24">
        <v>0</v>
      </c>
      <c r="G14" s="24">
        <v>10</v>
      </c>
      <c r="H14" s="19">
        <v>0</v>
      </c>
      <c r="I14" s="19">
        <v>0</v>
      </c>
      <c r="T14" s="19">
        <f>Registro[[#This Row],[Mes 1]]+Registro[[#This Row],[Mes 2]]+Registro[[#This Row],[Mes 3]]</f>
        <v>0</v>
      </c>
      <c r="U14" s="19">
        <f>Registro[[#This Row],[Mes 4]]+Registro[[#This Row],[Mes 5]]+Registro[[#This Row],[Mes 6]]</f>
        <v>0</v>
      </c>
      <c r="V14" s="19">
        <f>Registro[[#This Row],[Mes 7]]+Registro[[#This Row],[Mes 8]]+Registro[[#This Row],[Mes 9]]</f>
        <v>0</v>
      </c>
      <c r="W14" s="20">
        <f>Registro[[#This Row],[Mes 10]]+Registro[[#This Row],[Mes 11]]+Registro[[#This Row],[Mes 12]]</f>
        <v>0</v>
      </c>
      <c r="X14" s="20">
        <f>SUM(Registro[[#This Row],[Trim I]],Registro[[#This Row],[Trim II]],Registro[[#This Row],[Trim III]],Registro[[#This Row],[Trim IV]])</f>
        <v>0</v>
      </c>
      <c r="Y14" s="22">
        <f>IFERROR((Registro[[#This Row],[Avance Total]]/Registro[[#This Row],[Meta]]),0)</f>
        <v>0</v>
      </c>
      <c r="Z14" s="22">
        <f>IFERROR((Registro[[#This Row],[Avance Total]]-Registro[[#This Row],[Línea Base 2025]])/Registro[[#This Row],[Línea Base 2025]],0)</f>
        <v>0</v>
      </c>
      <c r="AA14" s="20">
        <v>2026</v>
      </c>
    </row>
    <row r="15" spans="1:27" hidden="1">
      <c r="A15" s="14">
        <v>1002</v>
      </c>
      <c r="B15" s="15" t="s">
        <v>48</v>
      </c>
      <c r="C15" s="16">
        <v>111</v>
      </c>
      <c r="D15" s="16" t="s">
        <v>171</v>
      </c>
      <c r="E15" s="17" t="s">
        <v>172</v>
      </c>
      <c r="F15" s="24">
        <v>14</v>
      </c>
      <c r="G15" s="24">
        <v>30</v>
      </c>
      <c r="H15" s="19">
        <v>2</v>
      </c>
      <c r="I15" s="19">
        <v>1</v>
      </c>
      <c r="T15" s="19">
        <f>Registro[[#This Row],[Mes 1]]+Registro[[#This Row],[Mes 2]]+Registro[[#This Row],[Mes 3]]</f>
        <v>3</v>
      </c>
      <c r="U15" s="19">
        <f>Registro[[#This Row],[Mes 4]]+Registro[[#This Row],[Mes 5]]+Registro[[#This Row],[Mes 6]]</f>
        <v>0</v>
      </c>
      <c r="V15" s="19">
        <f>Registro[[#This Row],[Mes 7]]+Registro[[#This Row],[Mes 8]]+Registro[[#This Row],[Mes 9]]</f>
        <v>0</v>
      </c>
      <c r="W15" s="20">
        <f>Registro[[#This Row],[Mes 10]]+Registro[[#This Row],[Mes 11]]+Registro[[#This Row],[Mes 12]]</f>
        <v>0</v>
      </c>
      <c r="X15" s="20">
        <f>SUM(Registro[[#This Row],[Trim I]],Registro[[#This Row],[Trim II]],Registro[[#This Row],[Trim III]],Registro[[#This Row],[Trim IV]])</f>
        <v>3</v>
      </c>
      <c r="Y15" s="22">
        <f>IFERROR((Registro[[#This Row],[Avance Total]]/Registro[[#This Row],[Meta]]),0)</f>
        <v>0.1</v>
      </c>
      <c r="Z15" s="22">
        <f>IFERROR((Registro[[#This Row],[Avance Total]]-Registro[[#This Row],[Línea Base 2025]])/Registro[[#This Row],[Línea Base 2025]],0)</f>
        <v>-0.7857142857142857</v>
      </c>
      <c r="AA15" s="20">
        <v>2026</v>
      </c>
    </row>
    <row r="16" spans="1:27" hidden="1">
      <c r="A16" s="14">
        <v>1002</v>
      </c>
      <c r="B16" s="15" t="s">
        <v>48</v>
      </c>
      <c r="C16" s="16">
        <v>112</v>
      </c>
      <c r="D16" s="16" t="s">
        <v>173</v>
      </c>
      <c r="E16" s="17" t="s">
        <v>7</v>
      </c>
      <c r="F16" s="24">
        <v>3</v>
      </c>
      <c r="G16" s="24">
        <v>2</v>
      </c>
      <c r="H16" s="19">
        <v>0</v>
      </c>
      <c r="I16" s="19">
        <v>0</v>
      </c>
      <c r="T16" s="19">
        <f>Registro[[#This Row],[Mes 1]]+Registro[[#This Row],[Mes 2]]+Registro[[#This Row],[Mes 3]]</f>
        <v>0</v>
      </c>
      <c r="U16" s="19">
        <f>Registro[[#This Row],[Mes 4]]+Registro[[#This Row],[Mes 5]]+Registro[[#This Row],[Mes 6]]</f>
        <v>0</v>
      </c>
      <c r="V16" s="19">
        <f>Registro[[#This Row],[Mes 7]]+Registro[[#This Row],[Mes 8]]+Registro[[#This Row],[Mes 9]]</f>
        <v>0</v>
      </c>
      <c r="W16" s="20">
        <f>Registro[[#This Row],[Mes 10]]+Registro[[#This Row],[Mes 11]]+Registro[[#This Row],[Mes 12]]</f>
        <v>0</v>
      </c>
      <c r="X16" s="20">
        <f>SUM(Registro[[#This Row],[Trim I]],Registro[[#This Row],[Trim II]],Registro[[#This Row],[Trim III]],Registro[[#This Row],[Trim IV]])</f>
        <v>0</v>
      </c>
      <c r="Y16" s="22">
        <f>IFERROR((Registro[[#This Row],[Avance Total]]/Registro[[#This Row],[Meta]]),0)</f>
        <v>0</v>
      </c>
      <c r="Z16" s="22">
        <f>IFERROR((Registro[[#This Row],[Avance Total]]-Registro[[#This Row],[Línea Base 2025]])/Registro[[#This Row],[Línea Base 2025]],0)</f>
        <v>-1</v>
      </c>
      <c r="AA16" s="20">
        <v>2026</v>
      </c>
    </row>
    <row r="17" spans="1:27" hidden="1">
      <c r="A17" s="14">
        <v>1002</v>
      </c>
      <c r="B17" s="15" t="s">
        <v>48</v>
      </c>
      <c r="C17" s="16">
        <v>113</v>
      </c>
      <c r="D17" s="16" t="s">
        <v>179</v>
      </c>
      <c r="E17" s="17" t="s">
        <v>178</v>
      </c>
      <c r="F17" s="24">
        <v>0</v>
      </c>
      <c r="G17" s="24">
        <v>51</v>
      </c>
      <c r="H17" s="19">
        <v>1</v>
      </c>
      <c r="I17" s="19">
        <v>0</v>
      </c>
      <c r="T17" s="19">
        <f>Registro[[#This Row],[Mes 1]]+Registro[[#This Row],[Mes 2]]+Registro[[#This Row],[Mes 3]]</f>
        <v>1</v>
      </c>
      <c r="U17" s="19">
        <f>Registro[[#This Row],[Mes 4]]+Registro[[#This Row],[Mes 5]]+Registro[[#This Row],[Mes 6]]</f>
        <v>0</v>
      </c>
      <c r="V17" s="19">
        <f>Registro[[#This Row],[Mes 7]]+Registro[[#This Row],[Mes 8]]+Registro[[#This Row],[Mes 9]]</f>
        <v>0</v>
      </c>
      <c r="W17" s="20">
        <f>Registro[[#This Row],[Mes 10]]+Registro[[#This Row],[Mes 11]]+Registro[[#This Row],[Mes 12]]</f>
        <v>0</v>
      </c>
      <c r="X17" s="20">
        <f>SUM(Registro[[#This Row],[Trim I]],Registro[[#This Row],[Trim II]],Registro[[#This Row],[Trim III]],Registro[[#This Row],[Trim IV]])</f>
        <v>1</v>
      </c>
      <c r="Y17" s="22">
        <f>IFERROR((Registro[[#This Row],[Avance Total]]/Registro[[#This Row],[Meta]]),0)</f>
        <v>1.9607843137254902E-2</v>
      </c>
      <c r="Z17" s="22">
        <f>IFERROR((Registro[[#This Row],[Avance Total]]-Registro[[#This Row],[Línea Base 2025]])/Registro[[#This Row],[Línea Base 2025]],0)</f>
        <v>0</v>
      </c>
      <c r="AA17" s="20">
        <v>2026</v>
      </c>
    </row>
    <row r="18" spans="1:27" hidden="1">
      <c r="A18" s="14">
        <v>1002</v>
      </c>
      <c r="B18" s="15" t="s">
        <v>48</v>
      </c>
      <c r="C18" s="16">
        <v>114</v>
      </c>
      <c r="D18" s="16" t="s">
        <v>181</v>
      </c>
      <c r="E18" s="17" t="s">
        <v>180</v>
      </c>
      <c r="F18" s="24">
        <v>0</v>
      </c>
      <c r="G18" s="24">
        <v>0</v>
      </c>
      <c r="H18" s="19">
        <v>7</v>
      </c>
      <c r="I18" s="19">
        <v>0</v>
      </c>
      <c r="T18" s="19">
        <f>Registro[[#This Row],[Mes 1]]+Registro[[#This Row],[Mes 2]]+Registro[[#This Row],[Mes 3]]</f>
        <v>7</v>
      </c>
      <c r="U18" s="19">
        <f>Registro[[#This Row],[Mes 4]]+Registro[[#This Row],[Mes 5]]+Registro[[#This Row],[Mes 6]]</f>
        <v>0</v>
      </c>
      <c r="V18" s="19">
        <f>Registro[[#This Row],[Mes 7]]+Registro[[#This Row],[Mes 8]]+Registro[[#This Row],[Mes 9]]</f>
        <v>0</v>
      </c>
      <c r="W18" s="20">
        <f>Registro[[#This Row],[Mes 10]]+Registro[[#This Row],[Mes 11]]+Registro[[#This Row],[Mes 12]]</f>
        <v>0</v>
      </c>
      <c r="X18" s="20">
        <f>SUM(Registro[[#This Row],[Trim I]],Registro[[#This Row],[Trim II]],Registro[[#This Row],[Trim III]],Registro[[#This Row],[Trim IV]])</f>
        <v>7</v>
      </c>
      <c r="Y18" s="22">
        <f>IFERROR((Registro[[#This Row],[Avance Total]]/Registro[[#This Row],[Meta]]),0)</f>
        <v>0</v>
      </c>
      <c r="Z18" s="22">
        <f>IFERROR((Registro[[#This Row],[Avance Total]]-Registro[[#This Row],[Línea Base 2025]])/Registro[[#This Row],[Línea Base 2025]],0)</f>
        <v>0</v>
      </c>
      <c r="AA18" s="20">
        <v>2026</v>
      </c>
    </row>
    <row r="19" spans="1:27" hidden="1">
      <c r="A19" s="14">
        <v>1002</v>
      </c>
      <c r="B19" s="15" t="s">
        <v>48</v>
      </c>
      <c r="C19" s="16">
        <v>115</v>
      </c>
      <c r="D19" s="16" t="s">
        <v>183</v>
      </c>
      <c r="E19" s="17" t="s">
        <v>182</v>
      </c>
      <c r="F19" s="24">
        <v>0</v>
      </c>
      <c r="G19" s="24">
        <v>0</v>
      </c>
      <c r="H19" s="19">
        <v>0</v>
      </c>
      <c r="I19" s="19">
        <v>0</v>
      </c>
      <c r="T19" s="19">
        <f>Registro[[#This Row],[Mes 1]]+Registro[[#This Row],[Mes 2]]+Registro[[#This Row],[Mes 3]]</f>
        <v>0</v>
      </c>
      <c r="U19" s="19">
        <f>Registro[[#This Row],[Mes 4]]+Registro[[#This Row],[Mes 5]]+Registro[[#This Row],[Mes 6]]</f>
        <v>0</v>
      </c>
      <c r="V19" s="19">
        <f>Registro[[#This Row],[Mes 7]]+Registro[[#This Row],[Mes 8]]+Registro[[#This Row],[Mes 9]]</f>
        <v>0</v>
      </c>
      <c r="W19" s="20">
        <f>Registro[[#This Row],[Mes 10]]+Registro[[#This Row],[Mes 11]]+Registro[[#This Row],[Mes 12]]</f>
        <v>0</v>
      </c>
      <c r="X19" s="20">
        <f>SUM(Registro[[#This Row],[Trim I]],Registro[[#This Row],[Trim II]],Registro[[#This Row],[Trim III]],Registro[[#This Row],[Trim IV]])</f>
        <v>0</v>
      </c>
      <c r="Y19" s="22">
        <f>IFERROR((Registro[[#This Row],[Avance Total]]/Registro[[#This Row],[Meta]]),0)</f>
        <v>0</v>
      </c>
      <c r="Z19" s="22">
        <f>IFERROR((Registro[[#This Row],[Avance Total]]-Registro[[#This Row],[Línea Base 2025]])/Registro[[#This Row],[Línea Base 2025]],0)</f>
        <v>0</v>
      </c>
      <c r="AA19" s="20">
        <v>2026</v>
      </c>
    </row>
    <row r="20" spans="1:27">
      <c r="A20" s="14">
        <v>1002</v>
      </c>
      <c r="B20" s="15" t="s">
        <v>48</v>
      </c>
      <c r="C20" s="16">
        <v>116</v>
      </c>
      <c r="D20" s="16" t="s">
        <v>185</v>
      </c>
      <c r="E20" s="17" t="s">
        <v>184</v>
      </c>
      <c r="F20" s="24">
        <v>0</v>
      </c>
      <c r="G20" s="24">
        <v>0</v>
      </c>
      <c r="H20" s="19">
        <v>0</v>
      </c>
      <c r="I20" s="19">
        <v>0</v>
      </c>
      <c r="T20" s="19">
        <f>Registro[[#This Row],[Mes 1]]+Registro[[#This Row],[Mes 2]]+Registro[[#This Row],[Mes 3]]</f>
        <v>0</v>
      </c>
      <c r="U20" s="19">
        <f>Registro[[#This Row],[Mes 4]]+Registro[[#This Row],[Mes 5]]+Registro[[#This Row],[Mes 6]]</f>
        <v>0</v>
      </c>
      <c r="V20" s="19">
        <f>Registro[[#This Row],[Mes 7]]+Registro[[#This Row],[Mes 8]]+Registro[[#This Row],[Mes 9]]</f>
        <v>0</v>
      </c>
      <c r="W20" s="20">
        <f>Registro[[#This Row],[Mes 10]]+Registro[[#This Row],[Mes 11]]+Registro[[#This Row],[Mes 12]]</f>
        <v>0</v>
      </c>
      <c r="X20" s="20">
        <f>SUM(Registro[[#This Row],[Trim I]],Registro[[#This Row],[Trim II]],Registro[[#This Row],[Trim III]],Registro[[#This Row],[Trim IV]])</f>
        <v>0</v>
      </c>
      <c r="Y20" s="22">
        <f>IFERROR((Registro[[#This Row],[Avance Total]]/Registro[[#This Row],[Meta]]),0)</f>
        <v>0</v>
      </c>
      <c r="Z20" s="22">
        <f>IFERROR((Registro[[#This Row],[Avance Total]]-Registro[[#This Row],[Línea Base 2025]])/Registro[[#This Row],[Línea Base 2025]],0)</f>
        <v>0</v>
      </c>
      <c r="AA20" s="20">
        <v>2026</v>
      </c>
    </row>
    <row r="21" spans="1:27" hidden="1">
      <c r="A21" s="14">
        <v>1002</v>
      </c>
      <c r="B21" s="15" t="s">
        <v>48</v>
      </c>
      <c r="C21" s="16">
        <v>117</v>
      </c>
      <c r="D21" s="16" t="s">
        <v>187</v>
      </c>
      <c r="E21" s="17" t="s">
        <v>186</v>
      </c>
      <c r="F21" s="24">
        <v>0</v>
      </c>
      <c r="G21" s="24">
        <v>0.08</v>
      </c>
      <c r="H21" s="19">
        <v>0</v>
      </c>
      <c r="I21" s="19">
        <v>0</v>
      </c>
      <c r="T21" s="19">
        <f>Registro[[#This Row],[Mes 1]]+Registro[[#This Row],[Mes 2]]+Registro[[#This Row],[Mes 3]]</f>
        <v>0</v>
      </c>
      <c r="U21" s="19">
        <f>Registro[[#This Row],[Mes 4]]+Registro[[#This Row],[Mes 5]]+Registro[[#This Row],[Mes 6]]</f>
        <v>0</v>
      </c>
      <c r="V21" s="19">
        <f>Registro[[#This Row],[Mes 7]]+Registro[[#This Row],[Mes 8]]+Registro[[#This Row],[Mes 9]]</f>
        <v>0</v>
      </c>
      <c r="W21" s="20">
        <f>Registro[[#This Row],[Mes 10]]+Registro[[#This Row],[Mes 11]]+Registro[[#This Row],[Mes 12]]</f>
        <v>0</v>
      </c>
      <c r="X21" s="20">
        <f>SUM(Registro[[#This Row],[Trim I]],Registro[[#This Row],[Trim II]],Registro[[#This Row],[Trim III]],Registro[[#This Row],[Trim IV]])</f>
        <v>0</v>
      </c>
      <c r="Y21" s="22">
        <f>IFERROR((Registro[[#This Row],[Avance Total]]/Registro[[#This Row],[Meta]]),0)</f>
        <v>0</v>
      </c>
      <c r="Z21" s="22">
        <f>IFERROR((Registro[[#This Row],[Avance Total]]-Registro[[#This Row],[Línea Base 2025]])/Registro[[#This Row],[Línea Base 2025]],0)</f>
        <v>0</v>
      </c>
      <c r="AA21" s="20">
        <v>2026</v>
      </c>
    </row>
    <row r="22" spans="1:27" hidden="1">
      <c r="A22" s="14">
        <v>1002</v>
      </c>
      <c r="B22" s="15" t="s">
        <v>48</v>
      </c>
      <c r="C22" s="16">
        <v>118</v>
      </c>
      <c r="D22" s="16" t="s">
        <v>188</v>
      </c>
      <c r="E22" s="17" t="s">
        <v>9</v>
      </c>
      <c r="F22" s="24">
        <v>0</v>
      </c>
      <c r="G22" s="24">
        <v>4</v>
      </c>
      <c r="H22" s="19">
        <v>0</v>
      </c>
      <c r="I22" s="19">
        <v>0</v>
      </c>
      <c r="T22" s="19">
        <f>Registro[[#This Row],[Mes 1]]+Registro[[#This Row],[Mes 2]]+Registro[[#This Row],[Mes 3]]</f>
        <v>0</v>
      </c>
      <c r="U22" s="19">
        <f>Registro[[#This Row],[Mes 4]]+Registro[[#This Row],[Mes 5]]+Registro[[#This Row],[Mes 6]]</f>
        <v>0</v>
      </c>
      <c r="V22" s="19">
        <f>Registro[[#This Row],[Mes 7]]+Registro[[#This Row],[Mes 8]]+Registro[[#This Row],[Mes 9]]</f>
        <v>0</v>
      </c>
      <c r="W22" s="20">
        <f>Registro[[#This Row],[Mes 10]]+Registro[[#This Row],[Mes 11]]+Registro[[#This Row],[Mes 12]]</f>
        <v>0</v>
      </c>
      <c r="X22" s="20">
        <f>SUM(Registro[[#This Row],[Trim I]],Registro[[#This Row],[Trim II]],Registro[[#This Row],[Trim III]],Registro[[#This Row],[Trim IV]])</f>
        <v>0</v>
      </c>
      <c r="Y22" s="22">
        <f>IFERROR((Registro[[#This Row],[Avance Total]]/Registro[[#This Row],[Meta]]),0)</f>
        <v>0</v>
      </c>
      <c r="Z22" s="22">
        <f>IFERROR((Registro[[#This Row],[Avance Total]]-Registro[[#This Row],[Línea Base 2025]])/Registro[[#This Row],[Línea Base 2025]],0)</f>
        <v>0</v>
      </c>
      <c r="AA22" s="20">
        <v>2026</v>
      </c>
    </row>
    <row r="23" spans="1:27" hidden="1">
      <c r="A23" s="14">
        <v>1002</v>
      </c>
      <c r="B23" s="15" t="s">
        <v>48</v>
      </c>
      <c r="C23" s="16">
        <v>119</v>
      </c>
      <c r="D23" s="16" t="s">
        <v>190</v>
      </c>
      <c r="E23" s="17" t="s">
        <v>189</v>
      </c>
      <c r="F23" s="24">
        <v>0</v>
      </c>
      <c r="G23" s="24">
        <v>0</v>
      </c>
      <c r="H23" s="19">
        <v>0</v>
      </c>
      <c r="I23" s="19">
        <v>0</v>
      </c>
      <c r="T23" s="19">
        <f>Registro[[#This Row],[Mes 1]]+Registro[[#This Row],[Mes 2]]+Registro[[#This Row],[Mes 3]]</f>
        <v>0</v>
      </c>
      <c r="U23" s="19">
        <f>Registro[[#This Row],[Mes 4]]+Registro[[#This Row],[Mes 5]]+Registro[[#This Row],[Mes 6]]</f>
        <v>0</v>
      </c>
      <c r="V23" s="19">
        <f>Registro[[#This Row],[Mes 7]]+Registro[[#This Row],[Mes 8]]+Registro[[#This Row],[Mes 9]]</f>
        <v>0</v>
      </c>
      <c r="W23" s="20">
        <f>Registro[[#This Row],[Mes 10]]+Registro[[#This Row],[Mes 11]]+Registro[[#This Row],[Mes 12]]</f>
        <v>0</v>
      </c>
      <c r="X23" s="20">
        <f>SUM(Registro[[#This Row],[Trim I]],Registro[[#This Row],[Trim II]],Registro[[#This Row],[Trim III]],Registro[[#This Row],[Trim IV]])</f>
        <v>0</v>
      </c>
      <c r="Y23" s="22">
        <f>IFERROR((Registro[[#This Row],[Avance Total]]/Registro[[#This Row],[Meta]]),0)</f>
        <v>0</v>
      </c>
      <c r="Z23" s="22">
        <f>IFERROR((Registro[[#This Row],[Avance Total]]-Registro[[#This Row],[Línea Base 2025]])/Registro[[#This Row],[Línea Base 2025]],0)</f>
        <v>0</v>
      </c>
      <c r="AA23" s="20">
        <v>2026</v>
      </c>
    </row>
    <row r="24" spans="1:27" hidden="1">
      <c r="A24" s="14">
        <v>1002</v>
      </c>
      <c r="B24" s="15" t="s">
        <v>48</v>
      </c>
      <c r="C24" s="16">
        <v>120</v>
      </c>
      <c r="D24" s="16" t="s">
        <v>192</v>
      </c>
      <c r="E24" s="17" t="s">
        <v>191</v>
      </c>
      <c r="F24" s="24">
        <v>0</v>
      </c>
      <c r="G24" s="24">
        <v>0</v>
      </c>
      <c r="H24" s="19">
        <v>0</v>
      </c>
      <c r="I24" s="19">
        <v>0</v>
      </c>
      <c r="T24" s="19">
        <f>Registro[[#This Row],[Mes 1]]+Registro[[#This Row],[Mes 2]]+Registro[[#This Row],[Mes 3]]</f>
        <v>0</v>
      </c>
      <c r="U24" s="19">
        <f>Registro[[#This Row],[Mes 4]]+Registro[[#This Row],[Mes 5]]+Registro[[#This Row],[Mes 6]]</f>
        <v>0</v>
      </c>
      <c r="V24" s="19">
        <f>Registro[[#This Row],[Mes 7]]+Registro[[#This Row],[Mes 8]]+Registro[[#This Row],[Mes 9]]</f>
        <v>0</v>
      </c>
      <c r="W24" s="20">
        <f>Registro[[#This Row],[Mes 10]]+Registro[[#This Row],[Mes 11]]+Registro[[#This Row],[Mes 12]]</f>
        <v>0</v>
      </c>
      <c r="X24" s="20">
        <f>SUM(Registro[[#This Row],[Trim I]],Registro[[#This Row],[Trim II]],Registro[[#This Row],[Trim III]],Registro[[#This Row],[Trim IV]])</f>
        <v>0</v>
      </c>
      <c r="Y24" s="22">
        <f>IFERROR((Registro[[#This Row],[Avance Total]]/Registro[[#This Row],[Meta]]),0)</f>
        <v>0</v>
      </c>
      <c r="Z24" s="22">
        <f>IFERROR((Registro[[#This Row],[Avance Total]]-Registro[[#This Row],[Línea Base 2025]])/Registro[[#This Row],[Línea Base 2025]],0)</f>
        <v>0</v>
      </c>
      <c r="AA24" s="20">
        <v>2026</v>
      </c>
    </row>
    <row r="25" spans="1:27" hidden="1">
      <c r="A25" s="14">
        <v>1002</v>
      </c>
      <c r="B25" s="15" t="s">
        <v>48</v>
      </c>
      <c r="C25" s="16">
        <v>121</v>
      </c>
      <c r="D25" s="16" t="s">
        <v>194</v>
      </c>
      <c r="E25" s="17" t="s">
        <v>193</v>
      </c>
      <c r="F25" s="24">
        <v>0</v>
      </c>
      <c r="G25" s="24">
        <v>0</v>
      </c>
      <c r="H25" s="19">
        <v>0</v>
      </c>
      <c r="I25" s="19">
        <v>0</v>
      </c>
      <c r="T25" s="19">
        <f>Registro[[#This Row],[Mes 1]]+Registro[[#This Row],[Mes 2]]+Registro[[#This Row],[Mes 3]]</f>
        <v>0</v>
      </c>
      <c r="U25" s="19">
        <f>Registro[[#This Row],[Mes 4]]+Registro[[#This Row],[Mes 5]]+Registro[[#This Row],[Mes 6]]</f>
        <v>0</v>
      </c>
      <c r="V25" s="19">
        <f>Registro[[#This Row],[Mes 7]]+Registro[[#This Row],[Mes 8]]+Registro[[#This Row],[Mes 9]]</f>
        <v>0</v>
      </c>
      <c r="W25" s="20">
        <f>Registro[[#This Row],[Mes 10]]+Registro[[#This Row],[Mes 11]]+Registro[[#This Row],[Mes 12]]</f>
        <v>0</v>
      </c>
      <c r="X25" s="20">
        <f>SUM(Registro[[#This Row],[Trim I]],Registro[[#This Row],[Trim II]],Registro[[#This Row],[Trim III]],Registro[[#This Row],[Trim IV]])</f>
        <v>0</v>
      </c>
      <c r="Y25" s="22">
        <f>IFERROR((Registro[[#This Row],[Avance Total]]/Registro[[#This Row],[Meta]]),0)</f>
        <v>0</v>
      </c>
      <c r="Z25" s="22">
        <f>IFERROR((Registro[[#This Row],[Avance Total]]-Registro[[#This Row],[Línea Base 2025]])/Registro[[#This Row],[Línea Base 2025]],0)</f>
        <v>0</v>
      </c>
      <c r="AA25" s="20">
        <v>2026</v>
      </c>
    </row>
    <row r="26" spans="1:27" hidden="1">
      <c r="A26" s="14">
        <v>1002</v>
      </c>
      <c r="B26" s="15" t="s">
        <v>48</v>
      </c>
      <c r="C26" s="16">
        <v>122</v>
      </c>
      <c r="D26" s="16" t="s">
        <v>196</v>
      </c>
      <c r="E26" s="17" t="s">
        <v>195</v>
      </c>
      <c r="F26" s="24">
        <v>0</v>
      </c>
      <c r="G26" s="24">
        <v>1</v>
      </c>
      <c r="H26" s="19">
        <v>0</v>
      </c>
      <c r="I26" s="19">
        <v>0</v>
      </c>
      <c r="T26" s="19">
        <f>Registro[[#This Row],[Mes 1]]+Registro[[#This Row],[Mes 2]]+Registro[[#This Row],[Mes 3]]</f>
        <v>0</v>
      </c>
      <c r="U26" s="19">
        <f>Registro[[#This Row],[Mes 4]]+Registro[[#This Row],[Mes 5]]+Registro[[#This Row],[Mes 6]]</f>
        <v>0</v>
      </c>
      <c r="V26" s="19">
        <f>Registro[[#This Row],[Mes 7]]+Registro[[#This Row],[Mes 8]]+Registro[[#This Row],[Mes 9]]</f>
        <v>0</v>
      </c>
      <c r="W26" s="20">
        <f>Registro[[#This Row],[Mes 10]]+Registro[[#This Row],[Mes 11]]+Registro[[#This Row],[Mes 12]]</f>
        <v>0</v>
      </c>
      <c r="X26" s="20">
        <f>SUM(Registro[[#This Row],[Trim I]],Registro[[#This Row],[Trim II]],Registro[[#This Row],[Trim III]],Registro[[#This Row],[Trim IV]])</f>
        <v>0</v>
      </c>
      <c r="Y26" s="22">
        <f>IFERROR((Registro[[#This Row],[Avance Total]]/Registro[[#This Row],[Meta]]),0)</f>
        <v>0</v>
      </c>
      <c r="Z26" s="22">
        <f>IFERROR((Registro[[#This Row],[Avance Total]]-Registro[[#This Row],[Línea Base 2025]])/Registro[[#This Row],[Línea Base 2025]],0)</f>
        <v>0</v>
      </c>
      <c r="AA26" s="20">
        <v>2026</v>
      </c>
    </row>
    <row r="27" spans="1:27" hidden="1">
      <c r="A27" s="14">
        <v>1002</v>
      </c>
      <c r="B27" s="15" t="s">
        <v>48</v>
      </c>
      <c r="C27" s="16">
        <v>123</v>
      </c>
      <c r="D27" s="16" t="s">
        <v>198</v>
      </c>
      <c r="E27" s="17" t="s">
        <v>197</v>
      </c>
      <c r="F27" s="24">
        <v>0</v>
      </c>
      <c r="G27" s="24">
        <v>0</v>
      </c>
      <c r="H27" s="19">
        <v>0</v>
      </c>
      <c r="I27" s="19">
        <v>0</v>
      </c>
      <c r="T27" s="19">
        <f>Registro[[#This Row],[Mes 1]]+Registro[[#This Row],[Mes 2]]+Registro[[#This Row],[Mes 3]]</f>
        <v>0</v>
      </c>
      <c r="U27" s="19">
        <f>Registro[[#This Row],[Mes 4]]+Registro[[#This Row],[Mes 5]]+Registro[[#This Row],[Mes 6]]</f>
        <v>0</v>
      </c>
      <c r="V27" s="19">
        <f>Registro[[#This Row],[Mes 7]]+Registro[[#This Row],[Mes 8]]+Registro[[#This Row],[Mes 9]]</f>
        <v>0</v>
      </c>
      <c r="W27" s="20">
        <f>Registro[[#This Row],[Mes 10]]+Registro[[#This Row],[Mes 11]]+Registro[[#This Row],[Mes 12]]</f>
        <v>0</v>
      </c>
      <c r="X27" s="20">
        <f>SUM(Registro[[#This Row],[Trim I]],Registro[[#This Row],[Trim II]],Registro[[#This Row],[Trim III]],Registro[[#This Row],[Trim IV]])</f>
        <v>0</v>
      </c>
      <c r="Y27" s="22">
        <f>IFERROR((Registro[[#This Row],[Avance Total]]/Registro[[#This Row],[Meta]]),0)</f>
        <v>0</v>
      </c>
      <c r="Z27" s="22">
        <f>IFERROR((Registro[[#This Row],[Avance Total]]-Registro[[#This Row],[Línea Base 2025]])/Registro[[#This Row],[Línea Base 2025]],0)</f>
        <v>0</v>
      </c>
      <c r="AA27" s="20">
        <v>2026</v>
      </c>
    </row>
    <row r="28" spans="1:27" hidden="1">
      <c r="A28" s="14">
        <v>1003</v>
      </c>
      <c r="B28" s="15" t="s">
        <v>49</v>
      </c>
      <c r="C28" s="16">
        <v>111</v>
      </c>
      <c r="D28" s="16" t="s">
        <v>171</v>
      </c>
      <c r="E28" s="17" t="s">
        <v>172</v>
      </c>
      <c r="F28" s="24">
        <v>10</v>
      </c>
      <c r="G28" s="24">
        <v>25</v>
      </c>
      <c r="H28" s="19">
        <v>0</v>
      </c>
      <c r="I28" s="19">
        <v>2</v>
      </c>
      <c r="T28" s="19">
        <f>Registro[[#This Row],[Mes 1]]+Registro[[#This Row],[Mes 2]]+Registro[[#This Row],[Mes 3]]</f>
        <v>2</v>
      </c>
      <c r="U28" s="19">
        <f>Registro[[#This Row],[Mes 4]]+Registro[[#This Row],[Mes 5]]+Registro[[#This Row],[Mes 6]]</f>
        <v>0</v>
      </c>
      <c r="V28" s="19">
        <f>Registro[[#This Row],[Mes 7]]+Registro[[#This Row],[Mes 8]]+Registro[[#This Row],[Mes 9]]</f>
        <v>0</v>
      </c>
      <c r="W28" s="20">
        <f>Registro[[#This Row],[Mes 10]]+Registro[[#This Row],[Mes 11]]+Registro[[#This Row],[Mes 12]]</f>
        <v>0</v>
      </c>
      <c r="X28" s="20">
        <f>SUM(Registro[[#This Row],[Trim I]],Registro[[#This Row],[Trim II]],Registro[[#This Row],[Trim III]],Registro[[#This Row],[Trim IV]])</f>
        <v>2</v>
      </c>
      <c r="Y28" s="22">
        <f>IFERROR((Registro[[#This Row],[Avance Total]]/Registro[[#This Row],[Meta]]),0)</f>
        <v>0.08</v>
      </c>
      <c r="Z28" s="22">
        <f>IFERROR((Registro[[#This Row],[Avance Total]]-Registro[[#This Row],[Línea Base 2025]])/Registro[[#This Row],[Línea Base 2025]],0)</f>
        <v>-0.8</v>
      </c>
      <c r="AA28" s="20">
        <v>2026</v>
      </c>
    </row>
    <row r="29" spans="1:27" hidden="1">
      <c r="A29" s="14">
        <v>1003</v>
      </c>
      <c r="B29" s="15" t="s">
        <v>49</v>
      </c>
      <c r="C29" s="16">
        <v>112</v>
      </c>
      <c r="D29" s="16" t="s">
        <v>173</v>
      </c>
      <c r="E29" s="17" t="s">
        <v>7</v>
      </c>
      <c r="F29" s="24">
        <v>3</v>
      </c>
      <c r="G29" s="24">
        <v>14</v>
      </c>
      <c r="H29" s="19">
        <v>0</v>
      </c>
      <c r="I29" s="19">
        <v>0</v>
      </c>
      <c r="T29" s="19">
        <f>Registro[[#This Row],[Mes 1]]+Registro[[#This Row],[Mes 2]]+Registro[[#This Row],[Mes 3]]</f>
        <v>0</v>
      </c>
      <c r="U29" s="19">
        <f>Registro[[#This Row],[Mes 4]]+Registro[[#This Row],[Mes 5]]+Registro[[#This Row],[Mes 6]]</f>
        <v>0</v>
      </c>
      <c r="V29" s="19">
        <f>Registro[[#This Row],[Mes 7]]+Registro[[#This Row],[Mes 8]]+Registro[[#This Row],[Mes 9]]</f>
        <v>0</v>
      </c>
      <c r="W29" s="20">
        <f>Registro[[#This Row],[Mes 10]]+Registro[[#This Row],[Mes 11]]+Registro[[#This Row],[Mes 12]]</f>
        <v>0</v>
      </c>
      <c r="X29" s="20">
        <f>SUM(Registro[[#This Row],[Trim I]],Registro[[#This Row],[Trim II]],Registro[[#This Row],[Trim III]],Registro[[#This Row],[Trim IV]])</f>
        <v>0</v>
      </c>
      <c r="Y29" s="22">
        <f>IFERROR((Registro[[#This Row],[Avance Total]]/Registro[[#This Row],[Meta]]),0)</f>
        <v>0</v>
      </c>
      <c r="Z29" s="22">
        <f>IFERROR((Registro[[#This Row],[Avance Total]]-Registro[[#This Row],[Línea Base 2025]])/Registro[[#This Row],[Línea Base 2025]],0)</f>
        <v>-1</v>
      </c>
      <c r="AA29" s="20">
        <v>2026</v>
      </c>
    </row>
    <row r="30" spans="1:27" hidden="1">
      <c r="A30" s="14">
        <v>1003</v>
      </c>
      <c r="B30" s="15" t="s">
        <v>49</v>
      </c>
      <c r="C30" s="16">
        <v>113</v>
      </c>
      <c r="D30" s="16" t="s">
        <v>179</v>
      </c>
      <c r="E30" s="17" t="s">
        <v>178</v>
      </c>
      <c r="F30" s="24">
        <v>8</v>
      </c>
      <c r="G30" s="24">
        <v>54</v>
      </c>
      <c r="H30" s="19">
        <v>0</v>
      </c>
      <c r="I30" s="19">
        <v>0</v>
      </c>
      <c r="T30" s="19">
        <f>Registro[[#This Row],[Mes 1]]+Registro[[#This Row],[Mes 2]]+Registro[[#This Row],[Mes 3]]</f>
        <v>0</v>
      </c>
      <c r="U30" s="19">
        <f>Registro[[#This Row],[Mes 4]]+Registro[[#This Row],[Mes 5]]+Registro[[#This Row],[Mes 6]]</f>
        <v>0</v>
      </c>
      <c r="V30" s="19">
        <f>Registro[[#This Row],[Mes 7]]+Registro[[#This Row],[Mes 8]]+Registro[[#This Row],[Mes 9]]</f>
        <v>0</v>
      </c>
      <c r="W30" s="20">
        <f>Registro[[#This Row],[Mes 10]]+Registro[[#This Row],[Mes 11]]+Registro[[#This Row],[Mes 12]]</f>
        <v>0</v>
      </c>
      <c r="X30" s="20">
        <f>SUM(Registro[[#This Row],[Trim I]],Registro[[#This Row],[Trim II]],Registro[[#This Row],[Trim III]],Registro[[#This Row],[Trim IV]])</f>
        <v>0</v>
      </c>
      <c r="Y30" s="22">
        <f>IFERROR((Registro[[#This Row],[Avance Total]]/Registro[[#This Row],[Meta]]),0)</f>
        <v>0</v>
      </c>
      <c r="Z30" s="22">
        <f>IFERROR((Registro[[#This Row],[Avance Total]]-Registro[[#This Row],[Línea Base 2025]])/Registro[[#This Row],[Línea Base 2025]],0)</f>
        <v>-1</v>
      </c>
      <c r="AA30" s="20">
        <v>2026</v>
      </c>
    </row>
    <row r="31" spans="1:27" hidden="1">
      <c r="A31" s="14">
        <v>1003</v>
      </c>
      <c r="B31" s="15" t="s">
        <v>49</v>
      </c>
      <c r="C31" s="16">
        <v>114</v>
      </c>
      <c r="D31" s="16" t="s">
        <v>181</v>
      </c>
      <c r="E31" s="17" t="s">
        <v>180</v>
      </c>
      <c r="F31" s="24">
        <v>1</v>
      </c>
      <c r="G31" s="24">
        <v>4.8</v>
      </c>
      <c r="H31" s="19">
        <v>1</v>
      </c>
      <c r="I31" s="19">
        <v>0</v>
      </c>
      <c r="T31" s="19">
        <f>Registro[[#This Row],[Mes 1]]+Registro[[#This Row],[Mes 2]]+Registro[[#This Row],[Mes 3]]</f>
        <v>1</v>
      </c>
      <c r="U31" s="19">
        <f>Registro[[#This Row],[Mes 4]]+Registro[[#This Row],[Mes 5]]+Registro[[#This Row],[Mes 6]]</f>
        <v>0</v>
      </c>
      <c r="V31" s="19">
        <f>Registro[[#This Row],[Mes 7]]+Registro[[#This Row],[Mes 8]]+Registro[[#This Row],[Mes 9]]</f>
        <v>0</v>
      </c>
      <c r="W31" s="20">
        <f>Registro[[#This Row],[Mes 10]]+Registro[[#This Row],[Mes 11]]+Registro[[#This Row],[Mes 12]]</f>
        <v>0</v>
      </c>
      <c r="X31" s="20">
        <f>SUM(Registro[[#This Row],[Trim I]],Registro[[#This Row],[Trim II]],Registro[[#This Row],[Trim III]],Registro[[#This Row],[Trim IV]])</f>
        <v>1</v>
      </c>
      <c r="Y31" s="22">
        <f>IFERROR((Registro[[#This Row],[Avance Total]]/Registro[[#This Row],[Meta]]),0)</f>
        <v>0.20833333333333334</v>
      </c>
      <c r="Z31" s="22">
        <f>IFERROR((Registro[[#This Row],[Avance Total]]-Registro[[#This Row],[Línea Base 2025]])/Registro[[#This Row],[Línea Base 2025]],0)</f>
        <v>0</v>
      </c>
      <c r="AA31" s="20">
        <v>2026</v>
      </c>
    </row>
    <row r="32" spans="1:27" hidden="1">
      <c r="A32" s="14">
        <v>1003</v>
      </c>
      <c r="B32" s="15" t="s">
        <v>49</v>
      </c>
      <c r="C32" s="16">
        <v>115</v>
      </c>
      <c r="D32" s="16" t="s">
        <v>183</v>
      </c>
      <c r="E32" s="17" t="s">
        <v>182</v>
      </c>
      <c r="F32" s="24">
        <v>0</v>
      </c>
      <c r="G32" s="24">
        <v>4.32</v>
      </c>
      <c r="H32" s="19">
        <v>0</v>
      </c>
      <c r="I32" s="19">
        <v>0</v>
      </c>
      <c r="T32" s="19">
        <f>Registro[[#This Row],[Mes 1]]+Registro[[#This Row],[Mes 2]]+Registro[[#This Row],[Mes 3]]</f>
        <v>0</v>
      </c>
      <c r="U32" s="19">
        <f>Registro[[#This Row],[Mes 4]]+Registro[[#This Row],[Mes 5]]+Registro[[#This Row],[Mes 6]]</f>
        <v>0</v>
      </c>
      <c r="V32" s="19">
        <f>Registro[[#This Row],[Mes 7]]+Registro[[#This Row],[Mes 8]]+Registro[[#This Row],[Mes 9]]</f>
        <v>0</v>
      </c>
      <c r="W32" s="20">
        <f>Registro[[#This Row],[Mes 10]]+Registro[[#This Row],[Mes 11]]+Registro[[#This Row],[Mes 12]]</f>
        <v>0</v>
      </c>
      <c r="X32" s="20">
        <f>SUM(Registro[[#This Row],[Trim I]],Registro[[#This Row],[Trim II]],Registro[[#This Row],[Trim III]],Registro[[#This Row],[Trim IV]])</f>
        <v>0</v>
      </c>
      <c r="Y32" s="22">
        <f>IFERROR((Registro[[#This Row],[Avance Total]]/Registro[[#This Row],[Meta]]),0)</f>
        <v>0</v>
      </c>
      <c r="Z32" s="22">
        <f>IFERROR((Registro[[#This Row],[Avance Total]]-Registro[[#This Row],[Línea Base 2025]])/Registro[[#This Row],[Línea Base 2025]],0)</f>
        <v>0</v>
      </c>
      <c r="AA32" s="20">
        <v>2026</v>
      </c>
    </row>
    <row r="33" spans="1:27">
      <c r="A33" s="14">
        <v>1003</v>
      </c>
      <c r="B33" s="15" t="s">
        <v>49</v>
      </c>
      <c r="C33" s="16">
        <v>116</v>
      </c>
      <c r="D33" s="16" t="s">
        <v>185</v>
      </c>
      <c r="E33" s="17" t="s">
        <v>184</v>
      </c>
      <c r="F33" s="24">
        <v>0</v>
      </c>
      <c r="G33" s="24">
        <v>1.84</v>
      </c>
      <c r="H33" s="19">
        <v>0</v>
      </c>
      <c r="I33" s="19">
        <v>0</v>
      </c>
      <c r="T33" s="19">
        <f>Registro[[#This Row],[Mes 1]]+Registro[[#This Row],[Mes 2]]+Registro[[#This Row],[Mes 3]]</f>
        <v>0</v>
      </c>
      <c r="U33" s="19">
        <f>Registro[[#This Row],[Mes 4]]+Registro[[#This Row],[Mes 5]]+Registro[[#This Row],[Mes 6]]</f>
        <v>0</v>
      </c>
      <c r="V33" s="19">
        <f>Registro[[#This Row],[Mes 7]]+Registro[[#This Row],[Mes 8]]+Registro[[#This Row],[Mes 9]]</f>
        <v>0</v>
      </c>
      <c r="W33" s="20">
        <f>Registro[[#This Row],[Mes 10]]+Registro[[#This Row],[Mes 11]]+Registro[[#This Row],[Mes 12]]</f>
        <v>0</v>
      </c>
      <c r="X33" s="20">
        <f>SUM(Registro[[#This Row],[Trim I]],Registro[[#This Row],[Trim II]],Registro[[#This Row],[Trim III]],Registro[[#This Row],[Trim IV]])</f>
        <v>0</v>
      </c>
      <c r="Y33" s="22">
        <f>IFERROR((Registro[[#This Row],[Avance Total]]/Registro[[#This Row],[Meta]]),0)</f>
        <v>0</v>
      </c>
      <c r="Z33" s="22">
        <f>IFERROR((Registro[[#This Row],[Avance Total]]-Registro[[#This Row],[Línea Base 2025]])/Registro[[#This Row],[Línea Base 2025]],0)</f>
        <v>0</v>
      </c>
      <c r="AA33" s="20">
        <v>2026</v>
      </c>
    </row>
    <row r="34" spans="1:27" hidden="1">
      <c r="A34" s="14">
        <v>1003</v>
      </c>
      <c r="B34" s="15" t="s">
        <v>49</v>
      </c>
      <c r="C34" s="16">
        <v>117</v>
      </c>
      <c r="D34" s="16" t="s">
        <v>187</v>
      </c>
      <c r="E34" s="17" t="s">
        <v>186</v>
      </c>
      <c r="F34" s="24">
        <v>0</v>
      </c>
      <c r="G34" s="24">
        <v>1</v>
      </c>
      <c r="H34" s="19">
        <v>0</v>
      </c>
      <c r="I34" s="19">
        <v>0</v>
      </c>
      <c r="T34" s="19">
        <f>Registro[[#This Row],[Mes 1]]+Registro[[#This Row],[Mes 2]]+Registro[[#This Row],[Mes 3]]</f>
        <v>0</v>
      </c>
      <c r="U34" s="19">
        <f>Registro[[#This Row],[Mes 4]]+Registro[[#This Row],[Mes 5]]+Registro[[#This Row],[Mes 6]]</f>
        <v>0</v>
      </c>
      <c r="V34" s="19">
        <f>Registro[[#This Row],[Mes 7]]+Registro[[#This Row],[Mes 8]]+Registro[[#This Row],[Mes 9]]</f>
        <v>0</v>
      </c>
      <c r="W34" s="20">
        <f>Registro[[#This Row],[Mes 10]]+Registro[[#This Row],[Mes 11]]+Registro[[#This Row],[Mes 12]]</f>
        <v>0</v>
      </c>
      <c r="X34" s="20">
        <f>SUM(Registro[[#This Row],[Trim I]],Registro[[#This Row],[Trim II]],Registro[[#This Row],[Trim III]],Registro[[#This Row],[Trim IV]])</f>
        <v>0</v>
      </c>
      <c r="Y34" s="22">
        <f>IFERROR((Registro[[#This Row],[Avance Total]]/Registro[[#This Row],[Meta]]),0)</f>
        <v>0</v>
      </c>
      <c r="Z34" s="22">
        <f>IFERROR((Registro[[#This Row],[Avance Total]]-Registro[[#This Row],[Línea Base 2025]])/Registro[[#This Row],[Línea Base 2025]],0)</f>
        <v>0</v>
      </c>
      <c r="AA34" s="20">
        <v>2026</v>
      </c>
    </row>
    <row r="35" spans="1:27" hidden="1">
      <c r="A35" s="14">
        <v>1003</v>
      </c>
      <c r="B35" s="15" t="s">
        <v>49</v>
      </c>
      <c r="C35" s="16">
        <v>118</v>
      </c>
      <c r="D35" s="16" t="s">
        <v>188</v>
      </c>
      <c r="E35" s="17" t="s">
        <v>9</v>
      </c>
      <c r="F35" s="24">
        <v>0</v>
      </c>
      <c r="G35" s="24">
        <v>0</v>
      </c>
      <c r="H35" s="19">
        <v>0</v>
      </c>
      <c r="I35" s="19">
        <v>0</v>
      </c>
      <c r="T35" s="19">
        <f>Registro[[#This Row],[Mes 1]]+Registro[[#This Row],[Mes 2]]+Registro[[#This Row],[Mes 3]]</f>
        <v>0</v>
      </c>
      <c r="U35" s="19">
        <f>Registro[[#This Row],[Mes 4]]+Registro[[#This Row],[Mes 5]]+Registro[[#This Row],[Mes 6]]</f>
        <v>0</v>
      </c>
      <c r="V35" s="19">
        <f>Registro[[#This Row],[Mes 7]]+Registro[[#This Row],[Mes 8]]+Registro[[#This Row],[Mes 9]]</f>
        <v>0</v>
      </c>
      <c r="W35" s="20">
        <f>Registro[[#This Row],[Mes 10]]+Registro[[#This Row],[Mes 11]]+Registro[[#This Row],[Mes 12]]</f>
        <v>0</v>
      </c>
      <c r="X35" s="20">
        <f>SUM(Registro[[#This Row],[Trim I]],Registro[[#This Row],[Trim II]],Registro[[#This Row],[Trim III]],Registro[[#This Row],[Trim IV]])</f>
        <v>0</v>
      </c>
      <c r="Y35" s="22">
        <f>IFERROR((Registro[[#This Row],[Avance Total]]/Registro[[#This Row],[Meta]]),0)</f>
        <v>0</v>
      </c>
      <c r="Z35" s="22">
        <f>IFERROR((Registro[[#This Row],[Avance Total]]-Registro[[#This Row],[Línea Base 2025]])/Registro[[#This Row],[Línea Base 2025]],0)</f>
        <v>0</v>
      </c>
      <c r="AA35" s="20">
        <v>2026</v>
      </c>
    </row>
    <row r="36" spans="1:27" hidden="1">
      <c r="A36" s="14">
        <v>1003</v>
      </c>
      <c r="B36" s="15" t="s">
        <v>49</v>
      </c>
      <c r="C36" s="16">
        <v>119</v>
      </c>
      <c r="D36" s="16" t="s">
        <v>190</v>
      </c>
      <c r="E36" s="17" t="s">
        <v>189</v>
      </c>
      <c r="F36" s="24">
        <v>0</v>
      </c>
      <c r="G36" s="24">
        <v>1.4720000000000002</v>
      </c>
      <c r="H36" s="19">
        <v>0</v>
      </c>
      <c r="I36" s="19">
        <v>0</v>
      </c>
      <c r="T36" s="19">
        <f>Registro[[#This Row],[Mes 1]]+Registro[[#This Row],[Mes 2]]+Registro[[#This Row],[Mes 3]]</f>
        <v>0</v>
      </c>
      <c r="U36" s="19">
        <f>Registro[[#This Row],[Mes 4]]+Registro[[#This Row],[Mes 5]]+Registro[[#This Row],[Mes 6]]</f>
        <v>0</v>
      </c>
      <c r="V36" s="19">
        <f>Registro[[#This Row],[Mes 7]]+Registro[[#This Row],[Mes 8]]+Registro[[#This Row],[Mes 9]]</f>
        <v>0</v>
      </c>
      <c r="W36" s="20">
        <f>Registro[[#This Row],[Mes 10]]+Registro[[#This Row],[Mes 11]]+Registro[[#This Row],[Mes 12]]</f>
        <v>0</v>
      </c>
      <c r="X36" s="20">
        <f>SUM(Registro[[#This Row],[Trim I]],Registro[[#This Row],[Trim II]],Registro[[#This Row],[Trim III]],Registro[[#This Row],[Trim IV]])</f>
        <v>0</v>
      </c>
      <c r="Y36" s="22">
        <f>IFERROR((Registro[[#This Row],[Avance Total]]/Registro[[#This Row],[Meta]]),0)</f>
        <v>0</v>
      </c>
      <c r="Z36" s="22">
        <f>IFERROR((Registro[[#This Row],[Avance Total]]-Registro[[#This Row],[Línea Base 2025]])/Registro[[#This Row],[Línea Base 2025]],0)</f>
        <v>0</v>
      </c>
      <c r="AA36" s="20">
        <v>2026</v>
      </c>
    </row>
    <row r="37" spans="1:27" hidden="1">
      <c r="A37" s="14">
        <v>1003</v>
      </c>
      <c r="B37" s="15" t="s">
        <v>49</v>
      </c>
      <c r="C37" s="16">
        <v>120</v>
      </c>
      <c r="D37" s="16" t="s">
        <v>192</v>
      </c>
      <c r="E37" s="17" t="s">
        <v>191</v>
      </c>
      <c r="F37" s="24">
        <v>3</v>
      </c>
      <c r="G37" s="24">
        <v>5</v>
      </c>
      <c r="H37" s="19">
        <v>0</v>
      </c>
      <c r="I37" s="19">
        <v>0</v>
      </c>
      <c r="T37" s="19">
        <f>Registro[[#This Row],[Mes 1]]+Registro[[#This Row],[Mes 2]]+Registro[[#This Row],[Mes 3]]</f>
        <v>0</v>
      </c>
      <c r="U37" s="19">
        <f>Registro[[#This Row],[Mes 4]]+Registro[[#This Row],[Mes 5]]+Registro[[#This Row],[Mes 6]]</f>
        <v>0</v>
      </c>
      <c r="V37" s="19">
        <f>Registro[[#This Row],[Mes 7]]+Registro[[#This Row],[Mes 8]]+Registro[[#This Row],[Mes 9]]</f>
        <v>0</v>
      </c>
      <c r="W37" s="20">
        <f>Registro[[#This Row],[Mes 10]]+Registro[[#This Row],[Mes 11]]+Registro[[#This Row],[Mes 12]]</f>
        <v>0</v>
      </c>
      <c r="X37" s="20">
        <f>SUM(Registro[[#This Row],[Trim I]],Registro[[#This Row],[Trim II]],Registro[[#This Row],[Trim III]],Registro[[#This Row],[Trim IV]])</f>
        <v>0</v>
      </c>
      <c r="Y37" s="22">
        <f>IFERROR((Registro[[#This Row],[Avance Total]]/Registro[[#This Row],[Meta]]),0)</f>
        <v>0</v>
      </c>
      <c r="Z37" s="22">
        <f>IFERROR((Registro[[#This Row],[Avance Total]]-Registro[[#This Row],[Línea Base 2025]])/Registro[[#This Row],[Línea Base 2025]],0)</f>
        <v>-1</v>
      </c>
      <c r="AA37" s="20">
        <v>2026</v>
      </c>
    </row>
    <row r="38" spans="1:27" hidden="1">
      <c r="A38" s="14">
        <v>1003</v>
      </c>
      <c r="B38" s="15" t="s">
        <v>49</v>
      </c>
      <c r="C38" s="16">
        <v>121</v>
      </c>
      <c r="D38" s="16" t="s">
        <v>194</v>
      </c>
      <c r="E38" s="17" t="s">
        <v>193</v>
      </c>
      <c r="F38" s="24">
        <v>0</v>
      </c>
      <c r="G38" s="24">
        <v>0</v>
      </c>
      <c r="H38" s="19">
        <v>0</v>
      </c>
      <c r="I38" s="19">
        <v>0</v>
      </c>
      <c r="T38" s="19">
        <f>Registro[[#This Row],[Mes 1]]+Registro[[#This Row],[Mes 2]]+Registro[[#This Row],[Mes 3]]</f>
        <v>0</v>
      </c>
      <c r="U38" s="19">
        <f>Registro[[#This Row],[Mes 4]]+Registro[[#This Row],[Mes 5]]+Registro[[#This Row],[Mes 6]]</f>
        <v>0</v>
      </c>
      <c r="V38" s="19">
        <f>Registro[[#This Row],[Mes 7]]+Registro[[#This Row],[Mes 8]]+Registro[[#This Row],[Mes 9]]</f>
        <v>0</v>
      </c>
      <c r="W38" s="20">
        <f>Registro[[#This Row],[Mes 10]]+Registro[[#This Row],[Mes 11]]+Registro[[#This Row],[Mes 12]]</f>
        <v>0</v>
      </c>
      <c r="X38" s="20">
        <f>SUM(Registro[[#This Row],[Trim I]],Registro[[#This Row],[Trim II]],Registro[[#This Row],[Trim III]],Registro[[#This Row],[Trim IV]])</f>
        <v>0</v>
      </c>
      <c r="Y38" s="22">
        <f>IFERROR((Registro[[#This Row],[Avance Total]]/Registro[[#This Row],[Meta]]),0)</f>
        <v>0</v>
      </c>
      <c r="Z38" s="22">
        <f>IFERROR((Registro[[#This Row],[Avance Total]]-Registro[[#This Row],[Línea Base 2025]])/Registro[[#This Row],[Línea Base 2025]],0)</f>
        <v>0</v>
      </c>
      <c r="AA38" s="20">
        <v>2026</v>
      </c>
    </row>
    <row r="39" spans="1:27" hidden="1">
      <c r="A39" s="14">
        <v>1003</v>
      </c>
      <c r="B39" s="15" t="s">
        <v>49</v>
      </c>
      <c r="C39" s="16">
        <v>122</v>
      </c>
      <c r="D39" s="16" t="s">
        <v>196</v>
      </c>
      <c r="E39" s="17" t="s">
        <v>195</v>
      </c>
      <c r="F39" s="24">
        <v>0</v>
      </c>
      <c r="G39" s="24">
        <v>1.296</v>
      </c>
      <c r="H39" s="19">
        <v>0</v>
      </c>
      <c r="I39" s="19">
        <v>0</v>
      </c>
      <c r="T39" s="19">
        <f>Registro[[#This Row],[Mes 1]]+Registro[[#This Row],[Mes 2]]+Registro[[#This Row],[Mes 3]]</f>
        <v>0</v>
      </c>
      <c r="U39" s="19">
        <f>Registro[[#This Row],[Mes 4]]+Registro[[#This Row],[Mes 5]]+Registro[[#This Row],[Mes 6]]</f>
        <v>0</v>
      </c>
      <c r="V39" s="19">
        <f>Registro[[#This Row],[Mes 7]]+Registro[[#This Row],[Mes 8]]+Registro[[#This Row],[Mes 9]]</f>
        <v>0</v>
      </c>
      <c r="W39" s="20">
        <f>Registro[[#This Row],[Mes 10]]+Registro[[#This Row],[Mes 11]]+Registro[[#This Row],[Mes 12]]</f>
        <v>0</v>
      </c>
      <c r="X39" s="20">
        <f>SUM(Registro[[#This Row],[Trim I]],Registro[[#This Row],[Trim II]],Registro[[#This Row],[Trim III]],Registro[[#This Row],[Trim IV]])</f>
        <v>0</v>
      </c>
      <c r="Y39" s="22">
        <f>IFERROR((Registro[[#This Row],[Avance Total]]/Registro[[#This Row],[Meta]]),0)</f>
        <v>0</v>
      </c>
      <c r="Z39" s="22">
        <f>IFERROR((Registro[[#This Row],[Avance Total]]-Registro[[#This Row],[Línea Base 2025]])/Registro[[#This Row],[Línea Base 2025]],0)</f>
        <v>0</v>
      </c>
      <c r="AA39" s="20">
        <v>2026</v>
      </c>
    </row>
    <row r="40" spans="1:27" hidden="1">
      <c r="A40" s="14">
        <v>1003</v>
      </c>
      <c r="B40" s="15" t="s">
        <v>49</v>
      </c>
      <c r="C40" s="16">
        <v>123</v>
      </c>
      <c r="D40" s="16" t="s">
        <v>198</v>
      </c>
      <c r="E40" s="17" t="s">
        <v>197</v>
      </c>
      <c r="F40" s="24">
        <v>0</v>
      </c>
      <c r="G40" s="24">
        <v>2</v>
      </c>
      <c r="H40" s="19">
        <v>0</v>
      </c>
      <c r="I40" s="19">
        <v>0</v>
      </c>
      <c r="T40" s="19">
        <f>Registro[[#This Row],[Mes 1]]+Registro[[#This Row],[Mes 2]]+Registro[[#This Row],[Mes 3]]</f>
        <v>0</v>
      </c>
      <c r="U40" s="19">
        <f>Registro[[#This Row],[Mes 4]]+Registro[[#This Row],[Mes 5]]+Registro[[#This Row],[Mes 6]]</f>
        <v>0</v>
      </c>
      <c r="V40" s="19">
        <f>Registro[[#This Row],[Mes 7]]+Registro[[#This Row],[Mes 8]]+Registro[[#This Row],[Mes 9]]</f>
        <v>0</v>
      </c>
      <c r="W40" s="20">
        <f>Registro[[#This Row],[Mes 10]]+Registro[[#This Row],[Mes 11]]+Registro[[#This Row],[Mes 12]]</f>
        <v>0</v>
      </c>
      <c r="X40" s="20">
        <f>SUM(Registro[[#This Row],[Trim I]],Registro[[#This Row],[Trim II]],Registro[[#This Row],[Trim III]],Registro[[#This Row],[Trim IV]])</f>
        <v>0</v>
      </c>
      <c r="Y40" s="22">
        <f>IFERROR((Registro[[#This Row],[Avance Total]]/Registro[[#This Row],[Meta]]),0)</f>
        <v>0</v>
      </c>
      <c r="Z40" s="22">
        <f>IFERROR((Registro[[#This Row],[Avance Total]]-Registro[[#This Row],[Línea Base 2025]])/Registro[[#This Row],[Línea Base 2025]],0)</f>
        <v>0</v>
      </c>
      <c r="AA40" s="20">
        <v>2026</v>
      </c>
    </row>
    <row r="41" spans="1:27" hidden="1">
      <c r="A41" s="14">
        <v>1004</v>
      </c>
      <c r="B41" s="15" t="s">
        <v>13</v>
      </c>
      <c r="C41" s="16">
        <v>111</v>
      </c>
      <c r="D41" s="16" t="s">
        <v>171</v>
      </c>
      <c r="E41" s="17" t="s">
        <v>172</v>
      </c>
      <c r="F41" s="24">
        <v>0</v>
      </c>
      <c r="G41" s="24">
        <v>1</v>
      </c>
      <c r="H41" s="19">
        <v>0</v>
      </c>
      <c r="I41" s="19">
        <v>0</v>
      </c>
      <c r="T41" s="20">
        <f>Registro[[#This Row],[Mes 1]]+Registro[[#This Row],[Mes 2]]+Registro[[#This Row],[Mes 3]]</f>
        <v>0</v>
      </c>
      <c r="U41" s="20">
        <f>Registro[[#This Row],[Mes 4]]+Registro[[#This Row],[Mes 5]]+Registro[[#This Row],[Mes 6]]</f>
        <v>0</v>
      </c>
      <c r="V41" s="20">
        <f>Registro[[#This Row],[Mes 7]]+Registro[[#This Row],[Mes 8]]+Registro[[#This Row],[Mes 9]]</f>
        <v>0</v>
      </c>
      <c r="W41" s="20">
        <f>Registro[[#This Row],[Mes 10]]+Registro[[#This Row],[Mes 11]]+Registro[[#This Row],[Mes 12]]</f>
        <v>0</v>
      </c>
      <c r="X41" s="20">
        <f>SUM(Registro[[#This Row],[Trim I]],Registro[[#This Row],[Trim II]],Registro[[#This Row],[Trim III]],Registro[[#This Row],[Trim IV]])</f>
        <v>0</v>
      </c>
      <c r="Y41" s="22">
        <f>IFERROR((Registro[[#This Row],[Avance Total]]/Registro[[#This Row],[Meta]]),0)</f>
        <v>0</v>
      </c>
      <c r="Z41" s="22">
        <f>IFERROR((Registro[[#This Row],[Avance Total]]-Registro[[#This Row],[Línea Base 2025]])/Registro[[#This Row],[Línea Base 2025]],0)</f>
        <v>0</v>
      </c>
      <c r="AA41" s="20"/>
    </row>
    <row r="42" spans="1:27" hidden="1">
      <c r="A42" s="14">
        <v>1004</v>
      </c>
      <c r="B42" s="15" t="s">
        <v>13</v>
      </c>
      <c r="C42" s="16">
        <v>112</v>
      </c>
      <c r="D42" s="16" t="s">
        <v>173</v>
      </c>
      <c r="E42" s="17" t="s">
        <v>7</v>
      </c>
      <c r="F42" s="24">
        <v>0</v>
      </c>
      <c r="G42" s="24">
        <v>0</v>
      </c>
      <c r="H42" s="19">
        <v>0</v>
      </c>
      <c r="I42" s="19">
        <v>0</v>
      </c>
      <c r="T42" s="20">
        <f>Registro[[#This Row],[Mes 1]]+Registro[[#This Row],[Mes 2]]+Registro[[#This Row],[Mes 3]]</f>
        <v>0</v>
      </c>
      <c r="U42" s="20">
        <f>Registro[[#This Row],[Mes 4]]+Registro[[#This Row],[Mes 5]]+Registro[[#This Row],[Mes 6]]</f>
        <v>0</v>
      </c>
      <c r="V42" s="20">
        <f>Registro[[#This Row],[Mes 7]]+Registro[[#This Row],[Mes 8]]+Registro[[#This Row],[Mes 9]]</f>
        <v>0</v>
      </c>
      <c r="W42" s="20">
        <f>Registro[[#This Row],[Mes 10]]+Registro[[#This Row],[Mes 11]]+Registro[[#This Row],[Mes 12]]</f>
        <v>0</v>
      </c>
      <c r="X42" s="20">
        <f>SUM(Registro[[#This Row],[Trim I]],Registro[[#This Row],[Trim II]],Registro[[#This Row],[Trim III]],Registro[[#This Row],[Trim IV]])</f>
        <v>0</v>
      </c>
      <c r="Y42" s="22">
        <f>IFERROR((Registro[[#This Row],[Avance Total]]/Registro[[#This Row],[Meta]]),0)</f>
        <v>0</v>
      </c>
      <c r="Z42" s="22">
        <f>IFERROR((Registro[[#This Row],[Avance Total]]-Registro[[#This Row],[Línea Base 2025]])/Registro[[#This Row],[Línea Base 2025]],0)</f>
        <v>0</v>
      </c>
      <c r="AA42" s="20"/>
    </row>
    <row r="43" spans="1:27" hidden="1">
      <c r="A43" s="14">
        <v>1004</v>
      </c>
      <c r="B43" s="15" t="s">
        <v>13</v>
      </c>
      <c r="C43" s="16">
        <v>113</v>
      </c>
      <c r="D43" s="16" t="s">
        <v>179</v>
      </c>
      <c r="E43" s="17" t="s">
        <v>178</v>
      </c>
      <c r="F43" s="24">
        <v>0</v>
      </c>
      <c r="G43" s="24">
        <v>1</v>
      </c>
      <c r="H43" s="19">
        <v>0</v>
      </c>
      <c r="I43" s="19">
        <v>0</v>
      </c>
      <c r="T43" s="20">
        <f>Registro[[#This Row],[Mes 1]]+Registro[[#This Row],[Mes 2]]+Registro[[#This Row],[Mes 3]]</f>
        <v>0</v>
      </c>
      <c r="U43" s="20">
        <f>Registro[[#This Row],[Mes 4]]+Registro[[#This Row],[Mes 5]]+Registro[[#This Row],[Mes 6]]</f>
        <v>0</v>
      </c>
      <c r="V43" s="20">
        <f>Registro[[#This Row],[Mes 7]]+Registro[[#This Row],[Mes 8]]+Registro[[#This Row],[Mes 9]]</f>
        <v>0</v>
      </c>
      <c r="W43" s="20">
        <f>Registro[[#This Row],[Mes 10]]+Registro[[#This Row],[Mes 11]]+Registro[[#This Row],[Mes 12]]</f>
        <v>0</v>
      </c>
      <c r="X43" s="20">
        <f>SUM(Registro[[#This Row],[Trim I]],Registro[[#This Row],[Trim II]],Registro[[#This Row],[Trim III]],Registro[[#This Row],[Trim IV]])</f>
        <v>0</v>
      </c>
      <c r="Y43" s="22">
        <f>IFERROR((Registro[[#This Row],[Avance Total]]/Registro[[#This Row],[Meta]]),0)</f>
        <v>0</v>
      </c>
      <c r="Z43" s="22">
        <f>IFERROR((Registro[[#This Row],[Avance Total]]-Registro[[#This Row],[Línea Base 2025]])/Registro[[#This Row],[Línea Base 2025]],0)</f>
        <v>0</v>
      </c>
      <c r="AA43" s="20"/>
    </row>
    <row r="44" spans="1:27" hidden="1">
      <c r="A44" s="14">
        <v>1004</v>
      </c>
      <c r="B44" s="15" t="s">
        <v>13</v>
      </c>
      <c r="C44" s="16">
        <v>114</v>
      </c>
      <c r="D44" s="16" t="s">
        <v>181</v>
      </c>
      <c r="E44" s="17" t="s">
        <v>180</v>
      </c>
      <c r="F44" s="24">
        <v>0</v>
      </c>
      <c r="G44" s="24">
        <v>0</v>
      </c>
      <c r="H44" s="19">
        <v>0</v>
      </c>
      <c r="I44" s="19">
        <v>0</v>
      </c>
      <c r="T44" s="20">
        <f>Registro[[#This Row],[Mes 1]]+Registro[[#This Row],[Mes 2]]+Registro[[#This Row],[Mes 3]]</f>
        <v>0</v>
      </c>
      <c r="U44" s="20">
        <f>Registro[[#This Row],[Mes 4]]+Registro[[#This Row],[Mes 5]]+Registro[[#This Row],[Mes 6]]</f>
        <v>0</v>
      </c>
      <c r="V44" s="20">
        <f>Registro[[#This Row],[Mes 7]]+Registro[[#This Row],[Mes 8]]+Registro[[#This Row],[Mes 9]]</f>
        <v>0</v>
      </c>
      <c r="W44" s="20">
        <f>Registro[[#This Row],[Mes 10]]+Registro[[#This Row],[Mes 11]]+Registro[[#This Row],[Mes 12]]</f>
        <v>0</v>
      </c>
      <c r="X44" s="20">
        <f>SUM(Registro[[#This Row],[Trim I]],Registro[[#This Row],[Trim II]],Registro[[#This Row],[Trim III]],Registro[[#This Row],[Trim IV]])</f>
        <v>0</v>
      </c>
      <c r="Y44" s="22">
        <f>IFERROR((Registro[[#This Row],[Avance Total]]/Registro[[#This Row],[Meta]]),0)</f>
        <v>0</v>
      </c>
      <c r="Z44" s="22">
        <f>IFERROR((Registro[[#This Row],[Avance Total]]-Registro[[#This Row],[Línea Base 2025]])/Registro[[#This Row],[Línea Base 2025]],0)</f>
        <v>0</v>
      </c>
      <c r="AA44" s="20"/>
    </row>
    <row r="45" spans="1:27" hidden="1">
      <c r="A45" s="14">
        <v>1004</v>
      </c>
      <c r="B45" s="15" t="s">
        <v>13</v>
      </c>
      <c r="C45" s="16">
        <v>115</v>
      </c>
      <c r="D45" s="16" t="s">
        <v>183</v>
      </c>
      <c r="E45" s="17" t="s">
        <v>182</v>
      </c>
      <c r="F45" s="24">
        <v>0</v>
      </c>
      <c r="G45" s="24">
        <v>0</v>
      </c>
      <c r="H45" s="19">
        <v>0</v>
      </c>
      <c r="I45" s="19">
        <v>0</v>
      </c>
      <c r="T45" s="20">
        <f>Registro[[#This Row],[Mes 1]]+Registro[[#This Row],[Mes 2]]+Registro[[#This Row],[Mes 3]]</f>
        <v>0</v>
      </c>
      <c r="U45" s="20">
        <f>Registro[[#This Row],[Mes 4]]+Registro[[#This Row],[Mes 5]]+Registro[[#This Row],[Mes 6]]</f>
        <v>0</v>
      </c>
      <c r="V45" s="20">
        <f>Registro[[#This Row],[Mes 7]]+Registro[[#This Row],[Mes 8]]+Registro[[#This Row],[Mes 9]]</f>
        <v>0</v>
      </c>
      <c r="W45" s="20">
        <f>Registro[[#This Row],[Mes 10]]+Registro[[#This Row],[Mes 11]]+Registro[[#This Row],[Mes 12]]</f>
        <v>0</v>
      </c>
      <c r="X45" s="20">
        <f>SUM(Registro[[#This Row],[Trim I]],Registro[[#This Row],[Trim II]],Registro[[#This Row],[Trim III]],Registro[[#This Row],[Trim IV]])</f>
        <v>0</v>
      </c>
      <c r="Y45" s="22">
        <f>IFERROR((Registro[[#This Row],[Avance Total]]/Registro[[#This Row],[Meta]]),0)</f>
        <v>0</v>
      </c>
      <c r="Z45" s="22">
        <f>IFERROR((Registro[[#This Row],[Avance Total]]-Registro[[#This Row],[Línea Base 2025]])/Registro[[#This Row],[Línea Base 2025]],0)</f>
        <v>0</v>
      </c>
      <c r="AA45" s="20"/>
    </row>
    <row r="46" spans="1:27">
      <c r="A46" s="14">
        <v>1004</v>
      </c>
      <c r="B46" s="15" t="s">
        <v>13</v>
      </c>
      <c r="C46" s="16">
        <v>116</v>
      </c>
      <c r="D46" s="16" t="s">
        <v>185</v>
      </c>
      <c r="E46" s="17" t="s">
        <v>184</v>
      </c>
      <c r="F46" s="24">
        <v>0</v>
      </c>
      <c r="G46" s="24">
        <v>0</v>
      </c>
      <c r="H46" s="19">
        <v>0</v>
      </c>
      <c r="I46" s="19">
        <v>0</v>
      </c>
      <c r="T46" s="20">
        <f>Registro[[#This Row],[Mes 1]]+Registro[[#This Row],[Mes 2]]+Registro[[#This Row],[Mes 3]]</f>
        <v>0</v>
      </c>
      <c r="U46" s="20">
        <f>Registro[[#This Row],[Mes 4]]+Registro[[#This Row],[Mes 5]]+Registro[[#This Row],[Mes 6]]</f>
        <v>0</v>
      </c>
      <c r="V46" s="20">
        <f>Registro[[#This Row],[Mes 7]]+Registro[[#This Row],[Mes 8]]+Registro[[#This Row],[Mes 9]]</f>
        <v>0</v>
      </c>
      <c r="W46" s="20">
        <f>Registro[[#This Row],[Mes 10]]+Registro[[#This Row],[Mes 11]]+Registro[[#This Row],[Mes 12]]</f>
        <v>0</v>
      </c>
      <c r="X46" s="20">
        <f>SUM(Registro[[#This Row],[Trim I]],Registro[[#This Row],[Trim II]],Registro[[#This Row],[Trim III]],Registro[[#This Row],[Trim IV]])</f>
        <v>0</v>
      </c>
      <c r="Y46" s="22">
        <f>IFERROR((Registro[[#This Row],[Avance Total]]/Registro[[#This Row],[Meta]]),0)</f>
        <v>0</v>
      </c>
      <c r="Z46" s="22">
        <f>IFERROR((Registro[[#This Row],[Avance Total]]-Registro[[#This Row],[Línea Base 2025]])/Registro[[#This Row],[Línea Base 2025]],0)</f>
        <v>0</v>
      </c>
      <c r="AA46" s="20"/>
    </row>
    <row r="47" spans="1:27" hidden="1">
      <c r="A47" s="14">
        <v>1004</v>
      </c>
      <c r="B47" s="15" t="s">
        <v>13</v>
      </c>
      <c r="C47" s="16">
        <v>117</v>
      </c>
      <c r="D47" s="16" t="s">
        <v>187</v>
      </c>
      <c r="E47" s="17" t="s">
        <v>186</v>
      </c>
      <c r="F47" s="24">
        <v>0</v>
      </c>
      <c r="G47" s="24">
        <v>0</v>
      </c>
      <c r="H47" s="19">
        <v>0</v>
      </c>
      <c r="I47" s="19">
        <v>0</v>
      </c>
      <c r="T47" s="20">
        <f>Registro[[#This Row],[Mes 1]]+Registro[[#This Row],[Mes 2]]+Registro[[#This Row],[Mes 3]]</f>
        <v>0</v>
      </c>
      <c r="U47" s="20">
        <f>Registro[[#This Row],[Mes 4]]+Registro[[#This Row],[Mes 5]]+Registro[[#This Row],[Mes 6]]</f>
        <v>0</v>
      </c>
      <c r="V47" s="20">
        <f>Registro[[#This Row],[Mes 7]]+Registro[[#This Row],[Mes 8]]+Registro[[#This Row],[Mes 9]]</f>
        <v>0</v>
      </c>
      <c r="W47" s="20">
        <f>Registro[[#This Row],[Mes 10]]+Registro[[#This Row],[Mes 11]]+Registro[[#This Row],[Mes 12]]</f>
        <v>0</v>
      </c>
      <c r="X47" s="20">
        <f>SUM(Registro[[#This Row],[Trim I]],Registro[[#This Row],[Trim II]],Registro[[#This Row],[Trim III]],Registro[[#This Row],[Trim IV]])</f>
        <v>0</v>
      </c>
      <c r="Y47" s="22">
        <f>IFERROR((Registro[[#This Row],[Avance Total]]/Registro[[#This Row],[Meta]]),0)</f>
        <v>0</v>
      </c>
      <c r="Z47" s="22">
        <f>IFERROR((Registro[[#This Row],[Avance Total]]-Registro[[#This Row],[Línea Base 2025]])/Registro[[#This Row],[Línea Base 2025]],0)</f>
        <v>0</v>
      </c>
      <c r="AA47" s="20"/>
    </row>
    <row r="48" spans="1:27" hidden="1">
      <c r="A48" s="14">
        <v>1004</v>
      </c>
      <c r="B48" s="15" t="s">
        <v>13</v>
      </c>
      <c r="C48" s="16">
        <v>118</v>
      </c>
      <c r="D48" s="16" t="s">
        <v>188</v>
      </c>
      <c r="E48" s="17" t="s">
        <v>9</v>
      </c>
      <c r="F48" s="24">
        <v>0</v>
      </c>
      <c r="G48" s="24">
        <v>0</v>
      </c>
      <c r="H48" s="19">
        <v>0</v>
      </c>
      <c r="I48" s="19">
        <v>0</v>
      </c>
      <c r="T48" s="20">
        <f>Registro[[#This Row],[Mes 1]]+Registro[[#This Row],[Mes 2]]+Registro[[#This Row],[Mes 3]]</f>
        <v>0</v>
      </c>
      <c r="U48" s="20">
        <f>Registro[[#This Row],[Mes 4]]+Registro[[#This Row],[Mes 5]]+Registro[[#This Row],[Mes 6]]</f>
        <v>0</v>
      </c>
      <c r="V48" s="20">
        <f>Registro[[#This Row],[Mes 7]]+Registro[[#This Row],[Mes 8]]+Registro[[#This Row],[Mes 9]]</f>
        <v>0</v>
      </c>
      <c r="W48" s="20">
        <f>Registro[[#This Row],[Mes 10]]+Registro[[#This Row],[Mes 11]]+Registro[[#This Row],[Mes 12]]</f>
        <v>0</v>
      </c>
      <c r="X48" s="20">
        <f>SUM(Registro[[#This Row],[Trim I]],Registro[[#This Row],[Trim II]],Registro[[#This Row],[Trim III]],Registro[[#This Row],[Trim IV]])</f>
        <v>0</v>
      </c>
      <c r="Y48" s="22">
        <f>IFERROR((Registro[[#This Row],[Avance Total]]/Registro[[#This Row],[Meta]]),0)</f>
        <v>0</v>
      </c>
      <c r="Z48" s="22">
        <f>IFERROR((Registro[[#This Row],[Avance Total]]-Registro[[#This Row],[Línea Base 2025]])/Registro[[#This Row],[Línea Base 2025]],0)</f>
        <v>0</v>
      </c>
      <c r="AA48" s="20"/>
    </row>
    <row r="49" spans="1:27" hidden="1">
      <c r="A49" s="14">
        <v>1004</v>
      </c>
      <c r="B49" s="15" t="s">
        <v>13</v>
      </c>
      <c r="C49" s="16">
        <v>119</v>
      </c>
      <c r="D49" s="16" t="s">
        <v>190</v>
      </c>
      <c r="E49" s="17" t="s">
        <v>189</v>
      </c>
      <c r="F49" s="24">
        <v>0</v>
      </c>
      <c r="G49" s="24">
        <v>0</v>
      </c>
      <c r="H49" s="19">
        <v>0</v>
      </c>
      <c r="I49" s="19">
        <v>0</v>
      </c>
      <c r="T49" s="20">
        <f>Registro[[#This Row],[Mes 1]]+Registro[[#This Row],[Mes 2]]+Registro[[#This Row],[Mes 3]]</f>
        <v>0</v>
      </c>
      <c r="U49" s="20">
        <f>Registro[[#This Row],[Mes 4]]+Registro[[#This Row],[Mes 5]]+Registro[[#This Row],[Mes 6]]</f>
        <v>0</v>
      </c>
      <c r="V49" s="20">
        <f>Registro[[#This Row],[Mes 7]]+Registro[[#This Row],[Mes 8]]+Registro[[#This Row],[Mes 9]]</f>
        <v>0</v>
      </c>
      <c r="W49" s="20">
        <f>Registro[[#This Row],[Mes 10]]+Registro[[#This Row],[Mes 11]]+Registro[[#This Row],[Mes 12]]</f>
        <v>0</v>
      </c>
      <c r="X49" s="20">
        <f>SUM(Registro[[#This Row],[Trim I]],Registro[[#This Row],[Trim II]],Registro[[#This Row],[Trim III]],Registro[[#This Row],[Trim IV]])</f>
        <v>0</v>
      </c>
      <c r="Y49" s="22">
        <f>IFERROR((Registro[[#This Row],[Avance Total]]/Registro[[#This Row],[Meta]]),0)</f>
        <v>0</v>
      </c>
      <c r="Z49" s="22">
        <f>IFERROR((Registro[[#This Row],[Avance Total]]-Registro[[#This Row],[Línea Base 2025]])/Registro[[#This Row],[Línea Base 2025]],0)</f>
        <v>0</v>
      </c>
      <c r="AA49" s="20"/>
    </row>
    <row r="50" spans="1:27" hidden="1">
      <c r="A50" s="14">
        <v>1004</v>
      </c>
      <c r="B50" s="15" t="s">
        <v>13</v>
      </c>
      <c r="C50" s="16">
        <v>120</v>
      </c>
      <c r="D50" s="16" t="s">
        <v>192</v>
      </c>
      <c r="E50" s="17" t="s">
        <v>191</v>
      </c>
      <c r="F50" s="24">
        <v>0</v>
      </c>
      <c r="G50" s="24">
        <v>0</v>
      </c>
      <c r="H50" s="19">
        <v>0</v>
      </c>
      <c r="I50" s="19">
        <v>0</v>
      </c>
      <c r="T50" s="20">
        <f>Registro[[#This Row],[Mes 1]]+Registro[[#This Row],[Mes 2]]+Registro[[#This Row],[Mes 3]]</f>
        <v>0</v>
      </c>
      <c r="U50" s="20">
        <f>Registro[[#This Row],[Mes 4]]+Registro[[#This Row],[Mes 5]]+Registro[[#This Row],[Mes 6]]</f>
        <v>0</v>
      </c>
      <c r="V50" s="20">
        <f>Registro[[#This Row],[Mes 7]]+Registro[[#This Row],[Mes 8]]+Registro[[#This Row],[Mes 9]]</f>
        <v>0</v>
      </c>
      <c r="W50" s="20">
        <f>Registro[[#This Row],[Mes 10]]+Registro[[#This Row],[Mes 11]]+Registro[[#This Row],[Mes 12]]</f>
        <v>0</v>
      </c>
      <c r="X50" s="20">
        <f>SUM(Registro[[#This Row],[Trim I]],Registro[[#This Row],[Trim II]],Registro[[#This Row],[Trim III]],Registro[[#This Row],[Trim IV]])</f>
        <v>0</v>
      </c>
      <c r="Y50" s="22">
        <f>IFERROR((Registro[[#This Row],[Avance Total]]/Registro[[#This Row],[Meta]]),0)</f>
        <v>0</v>
      </c>
      <c r="Z50" s="22">
        <f>IFERROR((Registro[[#This Row],[Avance Total]]-Registro[[#This Row],[Línea Base 2025]])/Registro[[#This Row],[Línea Base 2025]],0)</f>
        <v>0</v>
      </c>
      <c r="AA50" s="20"/>
    </row>
    <row r="51" spans="1:27" hidden="1">
      <c r="A51" s="14">
        <v>1004</v>
      </c>
      <c r="B51" s="15" t="s">
        <v>13</v>
      </c>
      <c r="C51" s="16">
        <v>121</v>
      </c>
      <c r="D51" s="16" t="s">
        <v>194</v>
      </c>
      <c r="E51" s="17" t="s">
        <v>193</v>
      </c>
      <c r="F51" s="24">
        <v>0</v>
      </c>
      <c r="G51" s="24">
        <v>0</v>
      </c>
      <c r="H51" s="19">
        <v>0</v>
      </c>
      <c r="I51" s="19">
        <v>0</v>
      </c>
      <c r="T51" s="20">
        <f>Registro[[#This Row],[Mes 1]]+Registro[[#This Row],[Mes 2]]+Registro[[#This Row],[Mes 3]]</f>
        <v>0</v>
      </c>
      <c r="U51" s="20">
        <f>Registro[[#This Row],[Mes 4]]+Registro[[#This Row],[Mes 5]]+Registro[[#This Row],[Mes 6]]</f>
        <v>0</v>
      </c>
      <c r="V51" s="20">
        <f>Registro[[#This Row],[Mes 7]]+Registro[[#This Row],[Mes 8]]+Registro[[#This Row],[Mes 9]]</f>
        <v>0</v>
      </c>
      <c r="W51" s="20">
        <f>Registro[[#This Row],[Mes 10]]+Registro[[#This Row],[Mes 11]]+Registro[[#This Row],[Mes 12]]</f>
        <v>0</v>
      </c>
      <c r="X51" s="20">
        <f>SUM(Registro[[#This Row],[Trim I]],Registro[[#This Row],[Trim II]],Registro[[#This Row],[Trim III]],Registro[[#This Row],[Trim IV]])</f>
        <v>0</v>
      </c>
      <c r="Y51" s="22">
        <f>IFERROR((Registro[[#This Row],[Avance Total]]/Registro[[#This Row],[Meta]]),0)</f>
        <v>0</v>
      </c>
      <c r="Z51" s="22">
        <f>IFERROR((Registro[[#This Row],[Avance Total]]-Registro[[#This Row],[Línea Base 2025]])/Registro[[#This Row],[Línea Base 2025]],0)</f>
        <v>0</v>
      </c>
      <c r="AA51" s="20"/>
    </row>
    <row r="52" spans="1:27" hidden="1">
      <c r="A52" s="14">
        <v>1004</v>
      </c>
      <c r="B52" s="15" t="s">
        <v>13</v>
      </c>
      <c r="C52" s="16">
        <v>122</v>
      </c>
      <c r="D52" s="16" t="s">
        <v>196</v>
      </c>
      <c r="E52" s="17" t="s">
        <v>195</v>
      </c>
      <c r="F52" s="24">
        <v>0</v>
      </c>
      <c r="G52" s="24">
        <v>0</v>
      </c>
      <c r="H52" s="19">
        <v>0</v>
      </c>
      <c r="I52" s="19">
        <v>0</v>
      </c>
      <c r="T52" s="20">
        <f>Registro[[#This Row],[Mes 1]]+Registro[[#This Row],[Mes 2]]+Registro[[#This Row],[Mes 3]]</f>
        <v>0</v>
      </c>
      <c r="U52" s="20">
        <f>Registro[[#This Row],[Mes 4]]+Registro[[#This Row],[Mes 5]]+Registro[[#This Row],[Mes 6]]</f>
        <v>0</v>
      </c>
      <c r="V52" s="20">
        <f>Registro[[#This Row],[Mes 7]]+Registro[[#This Row],[Mes 8]]+Registro[[#This Row],[Mes 9]]</f>
        <v>0</v>
      </c>
      <c r="W52" s="20">
        <f>Registro[[#This Row],[Mes 10]]+Registro[[#This Row],[Mes 11]]+Registro[[#This Row],[Mes 12]]</f>
        <v>0</v>
      </c>
      <c r="X52" s="20">
        <f>SUM(Registro[[#This Row],[Trim I]],Registro[[#This Row],[Trim II]],Registro[[#This Row],[Trim III]],Registro[[#This Row],[Trim IV]])</f>
        <v>0</v>
      </c>
      <c r="Y52" s="22">
        <f>IFERROR((Registro[[#This Row],[Avance Total]]/Registro[[#This Row],[Meta]]),0)</f>
        <v>0</v>
      </c>
      <c r="Z52" s="22">
        <f>IFERROR((Registro[[#This Row],[Avance Total]]-Registro[[#This Row],[Línea Base 2025]])/Registro[[#This Row],[Línea Base 2025]],0)</f>
        <v>0</v>
      </c>
      <c r="AA52" s="20"/>
    </row>
    <row r="53" spans="1:27" hidden="1">
      <c r="A53" s="14">
        <v>1004</v>
      </c>
      <c r="B53" s="15" t="s">
        <v>13</v>
      </c>
      <c r="C53" s="16">
        <v>123</v>
      </c>
      <c r="D53" s="16" t="s">
        <v>198</v>
      </c>
      <c r="E53" s="17" t="s">
        <v>197</v>
      </c>
      <c r="F53" s="24">
        <v>0</v>
      </c>
      <c r="G53" s="24">
        <v>0</v>
      </c>
      <c r="H53" s="19">
        <v>0</v>
      </c>
      <c r="I53" s="19">
        <v>0</v>
      </c>
      <c r="T53" s="20">
        <f>Registro[[#This Row],[Mes 1]]+Registro[[#This Row],[Mes 2]]+Registro[[#This Row],[Mes 3]]</f>
        <v>0</v>
      </c>
      <c r="U53" s="20">
        <f>Registro[[#This Row],[Mes 4]]+Registro[[#This Row],[Mes 5]]+Registro[[#This Row],[Mes 6]]</f>
        <v>0</v>
      </c>
      <c r="V53" s="20">
        <f>Registro[[#This Row],[Mes 7]]+Registro[[#This Row],[Mes 8]]+Registro[[#This Row],[Mes 9]]</f>
        <v>0</v>
      </c>
      <c r="W53" s="20">
        <f>Registro[[#This Row],[Mes 10]]+Registro[[#This Row],[Mes 11]]+Registro[[#This Row],[Mes 12]]</f>
        <v>0</v>
      </c>
      <c r="X53" s="20">
        <f>SUM(Registro[[#This Row],[Trim I]],Registro[[#This Row],[Trim II]],Registro[[#This Row],[Trim III]],Registro[[#This Row],[Trim IV]])</f>
        <v>0</v>
      </c>
      <c r="Y53" s="22">
        <f>IFERROR((Registro[[#This Row],[Avance Total]]/Registro[[#This Row],[Meta]]),0)</f>
        <v>0</v>
      </c>
      <c r="Z53" s="22">
        <f>IFERROR((Registro[[#This Row],[Avance Total]]-Registro[[#This Row],[Línea Base 2025]])/Registro[[#This Row],[Línea Base 2025]],0)</f>
        <v>0</v>
      </c>
      <c r="AA53" s="20"/>
    </row>
    <row r="54" spans="1:27" hidden="1">
      <c r="A54" s="14">
        <v>1005</v>
      </c>
      <c r="B54" s="15" t="s">
        <v>50</v>
      </c>
      <c r="C54" s="16">
        <v>111</v>
      </c>
      <c r="D54" s="16" t="s">
        <v>171</v>
      </c>
      <c r="E54" s="17" t="s">
        <v>172</v>
      </c>
      <c r="F54" s="24">
        <v>53</v>
      </c>
      <c r="G54" s="24">
        <v>508</v>
      </c>
      <c r="H54" s="19">
        <v>12</v>
      </c>
      <c r="I54" s="19">
        <v>11</v>
      </c>
      <c r="T54" s="19">
        <f>Registro[[#This Row],[Mes 1]]+Registro[[#This Row],[Mes 2]]+Registro[[#This Row],[Mes 3]]</f>
        <v>23</v>
      </c>
      <c r="U54" s="19">
        <f>Registro[[#This Row],[Mes 4]]+Registro[[#This Row],[Mes 5]]+Registro[[#This Row],[Mes 6]]</f>
        <v>0</v>
      </c>
      <c r="V54" s="19">
        <f>Registro[[#This Row],[Mes 7]]+Registro[[#This Row],[Mes 8]]+Registro[[#This Row],[Mes 9]]</f>
        <v>0</v>
      </c>
      <c r="W54" s="20">
        <f>Registro[[#This Row],[Mes 10]]+Registro[[#This Row],[Mes 11]]+Registro[[#This Row],[Mes 12]]</f>
        <v>0</v>
      </c>
      <c r="X54" s="20">
        <f>SUM(Registro[[#This Row],[Trim I]],Registro[[#This Row],[Trim II]],Registro[[#This Row],[Trim III]],Registro[[#This Row],[Trim IV]])</f>
        <v>23</v>
      </c>
      <c r="Y54" s="22">
        <f>IFERROR((Registro[[#This Row],[Avance Total]]/Registro[[#This Row],[Meta]]),0)</f>
        <v>4.5275590551181105E-2</v>
      </c>
      <c r="Z54" s="22">
        <f>IFERROR((Registro[[#This Row],[Avance Total]]-Registro[[#This Row],[Línea Base 2025]])/Registro[[#This Row],[Línea Base 2025]],0)</f>
        <v>-0.56603773584905659</v>
      </c>
      <c r="AA54" s="20">
        <v>2026</v>
      </c>
    </row>
    <row r="55" spans="1:27" hidden="1">
      <c r="A55" s="14">
        <v>1005</v>
      </c>
      <c r="B55" s="15" t="s">
        <v>50</v>
      </c>
      <c r="C55" s="16">
        <v>112</v>
      </c>
      <c r="D55" s="16" t="s">
        <v>173</v>
      </c>
      <c r="E55" s="17" t="s">
        <v>7</v>
      </c>
      <c r="F55" s="24">
        <v>30</v>
      </c>
      <c r="G55" s="24">
        <v>53</v>
      </c>
      <c r="H55" s="19">
        <v>0</v>
      </c>
      <c r="I55" s="19">
        <v>0</v>
      </c>
      <c r="T55" s="19">
        <f>Registro[[#This Row],[Mes 1]]+Registro[[#This Row],[Mes 2]]+Registro[[#This Row],[Mes 3]]</f>
        <v>0</v>
      </c>
      <c r="U55" s="19">
        <f>Registro[[#This Row],[Mes 4]]+Registro[[#This Row],[Mes 5]]+Registro[[#This Row],[Mes 6]]</f>
        <v>0</v>
      </c>
      <c r="V55" s="19">
        <f>Registro[[#This Row],[Mes 7]]+Registro[[#This Row],[Mes 8]]+Registro[[#This Row],[Mes 9]]</f>
        <v>0</v>
      </c>
      <c r="W55" s="20">
        <f>Registro[[#This Row],[Mes 10]]+Registro[[#This Row],[Mes 11]]+Registro[[#This Row],[Mes 12]]</f>
        <v>0</v>
      </c>
      <c r="X55" s="20">
        <f>SUM(Registro[[#This Row],[Trim I]],Registro[[#This Row],[Trim II]],Registro[[#This Row],[Trim III]],Registro[[#This Row],[Trim IV]])</f>
        <v>0</v>
      </c>
      <c r="Y55" s="22">
        <f>IFERROR((Registro[[#This Row],[Avance Total]]/Registro[[#This Row],[Meta]]),0)</f>
        <v>0</v>
      </c>
      <c r="Z55" s="22">
        <f>IFERROR((Registro[[#This Row],[Avance Total]]-Registro[[#This Row],[Línea Base 2025]])/Registro[[#This Row],[Línea Base 2025]],0)</f>
        <v>-1</v>
      </c>
      <c r="AA55" s="20">
        <v>2026</v>
      </c>
    </row>
    <row r="56" spans="1:27" hidden="1">
      <c r="A56" s="14">
        <v>1005</v>
      </c>
      <c r="B56" s="15" t="s">
        <v>50</v>
      </c>
      <c r="C56" s="16">
        <v>113</v>
      </c>
      <c r="D56" s="16" t="s">
        <v>179</v>
      </c>
      <c r="E56" s="17" t="s">
        <v>178</v>
      </c>
      <c r="F56" s="24">
        <v>24</v>
      </c>
      <c r="G56" s="24">
        <v>611</v>
      </c>
      <c r="H56" s="19">
        <v>1</v>
      </c>
      <c r="I56" s="19">
        <v>2</v>
      </c>
      <c r="T56" s="19">
        <f>Registro[[#This Row],[Mes 1]]+Registro[[#This Row],[Mes 2]]+Registro[[#This Row],[Mes 3]]</f>
        <v>3</v>
      </c>
      <c r="U56" s="19">
        <f>Registro[[#This Row],[Mes 4]]+Registro[[#This Row],[Mes 5]]+Registro[[#This Row],[Mes 6]]</f>
        <v>0</v>
      </c>
      <c r="V56" s="19">
        <f>Registro[[#This Row],[Mes 7]]+Registro[[#This Row],[Mes 8]]+Registro[[#This Row],[Mes 9]]</f>
        <v>0</v>
      </c>
      <c r="W56" s="20">
        <f>Registro[[#This Row],[Mes 10]]+Registro[[#This Row],[Mes 11]]+Registro[[#This Row],[Mes 12]]</f>
        <v>0</v>
      </c>
      <c r="X56" s="20">
        <f>SUM(Registro[[#This Row],[Trim I]],Registro[[#This Row],[Trim II]],Registro[[#This Row],[Trim III]],Registro[[#This Row],[Trim IV]])</f>
        <v>3</v>
      </c>
      <c r="Y56" s="22">
        <f>IFERROR((Registro[[#This Row],[Avance Total]]/Registro[[#This Row],[Meta]]),0)</f>
        <v>4.9099836333878887E-3</v>
      </c>
      <c r="Z56" s="22">
        <f>IFERROR((Registro[[#This Row],[Avance Total]]-Registro[[#This Row],[Línea Base 2025]])/Registro[[#This Row],[Línea Base 2025]],0)</f>
        <v>-0.875</v>
      </c>
      <c r="AA56" s="20">
        <v>2026</v>
      </c>
    </row>
    <row r="57" spans="1:27" hidden="1">
      <c r="A57" s="14">
        <v>1005</v>
      </c>
      <c r="B57" s="15" t="s">
        <v>50</v>
      </c>
      <c r="C57" s="16">
        <v>114</v>
      </c>
      <c r="D57" s="16" t="s">
        <v>181</v>
      </c>
      <c r="E57" s="17" t="s">
        <v>180</v>
      </c>
      <c r="F57" s="24">
        <v>20</v>
      </c>
      <c r="G57" s="24">
        <v>26.7</v>
      </c>
      <c r="H57" s="19">
        <v>4</v>
      </c>
      <c r="I57" s="19">
        <v>0</v>
      </c>
      <c r="T57" s="19">
        <f>Registro[[#This Row],[Mes 1]]+Registro[[#This Row],[Mes 2]]+Registro[[#This Row],[Mes 3]]</f>
        <v>4</v>
      </c>
      <c r="U57" s="19">
        <f>Registro[[#This Row],[Mes 4]]+Registro[[#This Row],[Mes 5]]+Registro[[#This Row],[Mes 6]]</f>
        <v>0</v>
      </c>
      <c r="V57" s="19">
        <f>Registro[[#This Row],[Mes 7]]+Registro[[#This Row],[Mes 8]]+Registro[[#This Row],[Mes 9]]</f>
        <v>0</v>
      </c>
      <c r="W57" s="20">
        <f>Registro[[#This Row],[Mes 10]]+Registro[[#This Row],[Mes 11]]+Registro[[#This Row],[Mes 12]]</f>
        <v>0</v>
      </c>
      <c r="X57" s="20">
        <f>SUM(Registro[[#This Row],[Trim I]],Registro[[#This Row],[Trim II]],Registro[[#This Row],[Trim III]],Registro[[#This Row],[Trim IV]])</f>
        <v>4</v>
      </c>
      <c r="Y57" s="22">
        <f>IFERROR((Registro[[#This Row],[Avance Total]]/Registro[[#This Row],[Meta]]),0)</f>
        <v>0.14981273408239701</v>
      </c>
      <c r="Z57" s="22">
        <f>IFERROR((Registro[[#This Row],[Avance Total]]-Registro[[#This Row],[Línea Base 2025]])/Registro[[#This Row],[Línea Base 2025]],0)</f>
        <v>-0.8</v>
      </c>
      <c r="AA57" s="20">
        <v>2026</v>
      </c>
    </row>
    <row r="58" spans="1:27" hidden="1">
      <c r="A58" s="14">
        <v>1005</v>
      </c>
      <c r="B58" s="15" t="s">
        <v>50</v>
      </c>
      <c r="C58" s="16">
        <v>115</v>
      </c>
      <c r="D58" s="16" t="s">
        <v>183</v>
      </c>
      <c r="E58" s="17" t="s">
        <v>182</v>
      </c>
      <c r="F58" s="24">
        <v>3</v>
      </c>
      <c r="G58" s="24">
        <v>24.03</v>
      </c>
      <c r="H58" s="19">
        <v>0</v>
      </c>
      <c r="I58" s="19">
        <v>18</v>
      </c>
      <c r="T58" s="19">
        <f>Registro[[#This Row],[Mes 1]]+Registro[[#This Row],[Mes 2]]+Registro[[#This Row],[Mes 3]]</f>
        <v>18</v>
      </c>
      <c r="U58" s="19">
        <f>Registro[[#This Row],[Mes 4]]+Registro[[#This Row],[Mes 5]]+Registro[[#This Row],[Mes 6]]</f>
        <v>0</v>
      </c>
      <c r="V58" s="19">
        <f>Registro[[#This Row],[Mes 7]]+Registro[[#This Row],[Mes 8]]+Registro[[#This Row],[Mes 9]]</f>
        <v>0</v>
      </c>
      <c r="W58" s="20">
        <f>Registro[[#This Row],[Mes 10]]+Registro[[#This Row],[Mes 11]]+Registro[[#This Row],[Mes 12]]</f>
        <v>0</v>
      </c>
      <c r="X58" s="20">
        <f>SUM(Registro[[#This Row],[Trim I]],Registro[[#This Row],[Trim II]],Registro[[#This Row],[Trim III]],Registro[[#This Row],[Trim IV]])</f>
        <v>18</v>
      </c>
      <c r="Y58" s="22">
        <f>IFERROR((Registro[[#This Row],[Avance Total]]/Registro[[#This Row],[Meta]]),0)</f>
        <v>0.74906367041198496</v>
      </c>
      <c r="Z58" s="22">
        <f>IFERROR((Registro[[#This Row],[Avance Total]]-Registro[[#This Row],[Línea Base 2025]])/Registro[[#This Row],[Línea Base 2025]],0)</f>
        <v>5</v>
      </c>
      <c r="AA58" s="20">
        <v>2026</v>
      </c>
    </row>
    <row r="59" spans="1:27">
      <c r="A59" s="14">
        <v>1005</v>
      </c>
      <c r="B59" s="15" t="s">
        <v>50</v>
      </c>
      <c r="C59" s="16">
        <v>116</v>
      </c>
      <c r="D59" s="16" t="s">
        <v>185</v>
      </c>
      <c r="E59" s="17" t="s">
        <v>184</v>
      </c>
      <c r="F59" s="24">
        <v>3</v>
      </c>
      <c r="G59" s="24">
        <v>5.5200000000000005</v>
      </c>
      <c r="H59" s="19">
        <v>1</v>
      </c>
      <c r="I59" s="19">
        <v>0</v>
      </c>
      <c r="T59" s="19">
        <f>Registro[[#This Row],[Mes 1]]+Registro[[#This Row],[Mes 2]]+Registro[[#This Row],[Mes 3]]</f>
        <v>1</v>
      </c>
      <c r="U59" s="19">
        <f>Registro[[#This Row],[Mes 4]]+Registro[[#This Row],[Mes 5]]+Registro[[#This Row],[Mes 6]]</f>
        <v>0</v>
      </c>
      <c r="V59" s="19">
        <f>Registro[[#This Row],[Mes 7]]+Registro[[#This Row],[Mes 8]]+Registro[[#This Row],[Mes 9]]</f>
        <v>0</v>
      </c>
      <c r="W59" s="20">
        <f>Registro[[#This Row],[Mes 10]]+Registro[[#This Row],[Mes 11]]+Registro[[#This Row],[Mes 12]]</f>
        <v>0</v>
      </c>
      <c r="X59" s="20">
        <f>SUM(Registro[[#This Row],[Trim I]],Registro[[#This Row],[Trim II]],Registro[[#This Row],[Trim III]],Registro[[#This Row],[Trim IV]])</f>
        <v>1</v>
      </c>
      <c r="Y59" s="22">
        <f>IFERROR((Registro[[#This Row],[Avance Total]]/Registro[[#This Row],[Meta]]),0)</f>
        <v>0.18115942028985504</v>
      </c>
      <c r="Z59" s="22">
        <f>IFERROR((Registro[[#This Row],[Avance Total]]-Registro[[#This Row],[Línea Base 2025]])/Registro[[#This Row],[Línea Base 2025]],0)</f>
        <v>-0.66666666666666663</v>
      </c>
      <c r="AA59" s="20">
        <v>2026</v>
      </c>
    </row>
    <row r="60" spans="1:27" hidden="1">
      <c r="A60" s="14">
        <v>1005</v>
      </c>
      <c r="B60" s="15" t="s">
        <v>50</v>
      </c>
      <c r="C60" s="16">
        <v>117</v>
      </c>
      <c r="D60" s="16" t="s">
        <v>187</v>
      </c>
      <c r="E60" s="17" t="s">
        <v>186</v>
      </c>
      <c r="F60" s="24">
        <v>2</v>
      </c>
      <c r="G60" s="24">
        <v>3.16</v>
      </c>
      <c r="H60" s="19">
        <v>0</v>
      </c>
      <c r="I60" s="19">
        <v>0</v>
      </c>
      <c r="T60" s="19">
        <f>Registro[[#This Row],[Mes 1]]+Registro[[#This Row],[Mes 2]]+Registro[[#This Row],[Mes 3]]</f>
        <v>0</v>
      </c>
      <c r="U60" s="19">
        <f>Registro[[#This Row],[Mes 4]]+Registro[[#This Row],[Mes 5]]+Registro[[#This Row],[Mes 6]]</f>
        <v>0</v>
      </c>
      <c r="V60" s="19">
        <f>Registro[[#This Row],[Mes 7]]+Registro[[#This Row],[Mes 8]]+Registro[[#This Row],[Mes 9]]</f>
        <v>0</v>
      </c>
      <c r="W60" s="20">
        <f>Registro[[#This Row],[Mes 10]]+Registro[[#This Row],[Mes 11]]+Registro[[#This Row],[Mes 12]]</f>
        <v>0</v>
      </c>
      <c r="X60" s="20">
        <f>SUM(Registro[[#This Row],[Trim I]],Registro[[#This Row],[Trim II]],Registro[[#This Row],[Trim III]],Registro[[#This Row],[Trim IV]])</f>
        <v>0</v>
      </c>
      <c r="Y60" s="22">
        <f>IFERROR((Registro[[#This Row],[Avance Total]]/Registro[[#This Row],[Meta]]),0)</f>
        <v>0</v>
      </c>
      <c r="Z60" s="22">
        <f>IFERROR((Registro[[#This Row],[Avance Total]]-Registro[[#This Row],[Línea Base 2025]])/Registro[[#This Row],[Línea Base 2025]],0)</f>
        <v>-1</v>
      </c>
      <c r="AA60" s="20">
        <v>2026</v>
      </c>
    </row>
    <row r="61" spans="1:27" hidden="1">
      <c r="A61" s="14">
        <v>1005</v>
      </c>
      <c r="B61" s="15" t="s">
        <v>50</v>
      </c>
      <c r="C61" s="16">
        <v>118</v>
      </c>
      <c r="D61" s="16" t="s">
        <v>188</v>
      </c>
      <c r="E61" s="17" t="s">
        <v>9</v>
      </c>
      <c r="F61" s="24">
        <v>0</v>
      </c>
      <c r="G61" s="24">
        <v>8</v>
      </c>
      <c r="H61" s="19">
        <v>0</v>
      </c>
      <c r="I61" s="19">
        <v>0</v>
      </c>
      <c r="T61" s="19">
        <f>Registro[[#This Row],[Mes 1]]+Registro[[#This Row],[Mes 2]]+Registro[[#This Row],[Mes 3]]</f>
        <v>0</v>
      </c>
      <c r="U61" s="19">
        <f>Registro[[#This Row],[Mes 4]]+Registro[[#This Row],[Mes 5]]+Registro[[#This Row],[Mes 6]]</f>
        <v>0</v>
      </c>
      <c r="V61" s="19">
        <f>Registro[[#This Row],[Mes 7]]+Registro[[#This Row],[Mes 8]]+Registro[[#This Row],[Mes 9]]</f>
        <v>0</v>
      </c>
      <c r="W61" s="20">
        <f>Registro[[#This Row],[Mes 10]]+Registro[[#This Row],[Mes 11]]+Registro[[#This Row],[Mes 12]]</f>
        <v>0</v>
      </c>
      <c r="X61" s="20">
        <f>SUM(Registro[[#This Row],[Trim I]],Registro[[#This Row],[Trim II]],Registro[[#This Row],[Trim III]],Registro[[#This Row],[Trim IV]])</f>
        <v>0</v>
      </c>
      <c r="Y61" s="22">
        <f>IFERROR((Registro[[#This Row],[Avance Total]]/Registro[[#This Row],[Meta]]),0)</f>
        <v>0</v>
      </c>
      <c r="Z61" s="22">
        <f>IFERROR((Registro[[#This Row],[Avance Total]]-Registro[[#This Row],[Línea Base 2025]])/Registro[[#This Row],[Línea Base 2025]],0)</f>
        <v>0</v>
      </c>
      <c r="AA61" s="20">
        <v>2026</v>
      </c>
    </row>
    <row r="62" spans="1:27" hidden="1">
      <c r="A62" s="14">
        <v>1005</v>
      </c>
      <c r="B62" s="15" t="s">
        <v>50</v>
      </c>
      <c r="C62" s="16">
        <v>119</v>
      </c>
      <c r="D62" s="16" t="s">
        <v>190</v>
      </c>
      <c r="E62" s="17" t="s">
        <v>189</v>
      </c>
      <c r="F62" s="24">
        <v>0</v>
      </c>
      <c r="G62" s="24">
        <v>4.4160000000000004</v>
      </c>
      <c r="H62" s="19">
        <v>1</v>
      </c>
      <c r="I62" s="19">
        <v>0</v>
      </c>
      <c r="T62" s="19">
        <f>Registro[[#This Row],[Mes 1]]+Registro[[#This Row],[Mes 2]]+Registro[[#This Row],[Mes 3]]</f>
        <v>1</v>
      </c>
      <c r="U62" s="19">
        <f>Registro[[#This Row],[Mes 4]]+Registro[[#This Row],[Mes 5]]+Registro[[#This Row],[Mes 6]]</f>
        <v>0</v>
      </c>
      <c r="V62" s="19">
        <f>Registro[[#This Row],[Mes 7]]+Registro[[#This Row],[Mes 8]]+Registro[[#This Row],[Mes 9]]</f>
        <v>0</v>
      </c>
      <c r="W62" s="20">
        <f>Registro[[#This Row],[Mes 10]]+Registro[[#This Row],[Mes 11]]+Registro[[#This Row],[Mes 12]]</f>
        <v>0</v>
      </c>
      <c r="X62" s="20">
        <f>SUM(Registro[[#This Row],[Trim I]],Registro[[#This Row],[Trim II]],Registro[[#This Row],[Trim III]],Registro[[#This Row],[Trim IV]])</f>
        <v>1</v>
      </c>
      <c r="Y62" s="22">
        <f>IFERROR((Registro[[#This Row],[Avance Total]]/Registro[[#This Row],[Meta]]),0)</f>
        <v>0.22644927536231882</v>
      </c>
      <c r="Z62" s="22">
        <f>IFERROR((Registro[[#This Row],[Avance Total]]-Registro[[#This Row],[Línea Base 2025]])/Registro[[#This Row],[Línea Base 2025]],0)</f>
        <v>0</v>
      </c>
      <c r="AA62" s="20">
        <v>2026</v>
      </c>
    </row>
    <row r="63" spans="1:27" hidden="1">
      <c r="A63" s="14">
        <v>1005</v>
      </c>
      <c r="B63" s="15" t="s">
        <v>50</v>
      </c>
      <c r="C63" s="16">
        <v>120</v>
      </c>
      <c r="D63" s="16" t="s">
        <v>192</v>
      </c>
      <c r="E63" s="17" t="s">
        <v>191</v>
      </c>
      <c r="F63" s="24">
        <v>26</v>
      </c>
      <c r="G63" s="24">
        <v>23</v>
      </c>
      <c r="H63" s="19">
        <v>0</v>
      </c>
      <c r="I63" s="19">
        <v>0</v>
      </c>
      <c r="T63" s="19">
        <f>Registro[[#This Row],[Mes 1]]+Registro[[#This Row],[Mes 2]]+Registro[[#This Row],[Mes 3]]</f>
        <v>0</v>
      </c>
      <c r="U63" s="19">
        <f>Registro[[#This Row],[Mes 4]]+Registro[[#This Row],[Mes 5]]+Registro[[#This Row],[Mes 6]]</f>
        <v>0</v>
      </c>
      <c r="V63" s="19">
        <f>Registro[[#This Row],[Mes 7]]+Registro[[#This Row],[Mes 8]]+Registro[[#This Row],[Mes 9]]</f>
        <v>0</v>
      </c>
      <c r="W63" s="20">
        <f>Registro[[#This Row],[Mes 10]]+Registro[[#This Row],[Mes 11]]+Registro[[#This Row],[Mes 12]]</f>
        <v>0</v>
      </c>
      <c r="X63" s="20">
        <f>SUM(Registro[[#This Row],[Trim I]],Registro[[#This Row],[Trim II]],Registro[[#This Row],[Trim III]],Registro[[#This Row],[Trim IV]])</f>
        <v>0</v>
      </c>
      <c r="Y63" s="22">
        <f>IFERROR((Registro[[#This Row],[Avance Total]]/Registro[[#This Row],[Meta]]),0)</f>
        <v>0</v>
      </c>
      <c r="Z63" s="22">
        <f>IFERROR((Registro[[#This Row],[Avance Total]]-Registro[[#This Row],[Línea Base 2025]])/Registro[[#This Row],[Línea Base 2025]],0)</f>
        <v>-1</v>
      </c>
      <c r="AA63" s="20">
        <v>2026</v>
      </c>
    </row>
    <row r="64" spans="1:27" hidden="1">
      <c r="A64" s="14">
        <v>1005</v>
      </c>
      <c r="B64" s="15" t="s">
        <v>50</v>
      </c>
      <c r="C64" s="16">
        <v>121</v>
      </c>
      <c r="D64" s="16" t="s">
        <v>194</v>
      </c>
      <c r="E64" s="17" t="s">
        <v>193</v>
      </c>
      <c r="F64" s="24">
        <v>2</v>
      </c>
      <c r="G64" s="24">
        <v>3</v>
      </c>
      <c r="H64" s="19">
        <v>1</v>
      </c>
      <c r="I64" s="19">
        <v>0</v>
      </c>
      <c r="T64" s="19">
        <f>Registro[[#This Row],[Mes 1]]+Registro[[#This Row],[Mes 2]]+Registro[[#This Row],[Mes 3]]</f>
        <v>1</v>
      </c>
      <c r="U64" s="19">
        <f>Registro[[#This Row],[Mes 4]]+Registro[[#This Row],[Mes 5]]+Registro[[#This Row],[Mes 6]]</f>
        <v>0</v>
      </c>
      <c r="V64" s="19">
        <f>Registro[[#This Row],[Mes 7]]+Registro[[#This Row],[Mes 8]]+Registro[[#This Row],[Mes 9]]</f>
        <v>0</v>
      </c>
      <c r="W64" s="20">
        <f>Registro[[#This Row],[Mes 10]]+Registro[[#This Row],[Mes 11]]+Registro[[#This Row],[Mes 12]]</f>
        <v>0</v>
      </c>
      <c r="X64" s="20">
        <f>SUM(Registro[[#This Row],[Trim I]],Registro[[#This Row],[Trim II]],Registro[[#This Row],[Trim III]],Registro[[#This Row],[Trim IV]])</f>
        <v>1</v>
      </c>
      <c r="Y64" s="22">
        <f>IFERROR((Registro[[#This Row],[Avance Total]]/Registro[[#This Row],[Meta]]),0)</f>
        <v>0.33333333333333331</v>
      </c>
      <c r="Z64" s="22">
        <f>IFERROR((Registro[[#This Row],[Avance Total]]-Registro[[#This Row],[Línea Base 2025]])/Registro[[#This Row],[Línea Base 2025]],0)</f>
        <v>-0.5</v>
      </c>
      <c r="AA64" s="20">
        <v>2026</v>
      </c>
    </row>
    <row r="65" spans="1:27" hidden="1">
      <c r="A65" s="14">
        <v>1005</v>
      </c>
      <c r="B65" s="15" t="s">
        <v>50</v>
      </c>
      <c r="C65" s="16">
        <v>122</v>
      </c>
      <c r="D65" s="16" t="s">
        <v>196</v>
      </c>
      <c r="E65" s="17" t="s">
        <v>195</v>
      </c>
      <c r="F65" s="24">
        <v>6</v>
      </c>
      <c r="G65" s="24">
        <v>23</v>
      </c>
      <c r="H65" s="19">
        <v>0</v>
      </c>
      <c r="I65" s="19">
        <v>0</v>
      </c>
      <c r="T65" s="19">
        <f>Registro[[#This Row],[Mes 1]]+Registro[[#This Row],[Mes 2]]+Registro[[#This Row],[Mes 3]]</f>
        <v>0</v>
      </c>
      <c r="U65" s="19">
        <f>Registro[[#This Row],[Mes 4]]+Registro[[#This Row],[Mes 5]]+Registro[[#This Row],[Mes 6]]</f>
        <v>0</v>
      </c>
      <c r="V65" s="19">
        <f>Registro[[#This Row],[Mes 7]]+Registro[[#This Row],[Mes 8]]+Registro[[#This Row],[Mes 9]]</f>
        <v>0</v>
      </c>
      <c r="W65" s="20">
        <f>Registro[[#This Row],[Mes 10]]+Registro[[#This Row],[Mes 11]]+Registro[[#This Row],[Mes 12]]</f>
        <v>0</v>
      </c>
      <c r="X65" s="20">
        <f>SUM(Registro[[#This Row],[Trim I]],Registro[[#This Row],[Trim II]],Registro[[#This Row],[Trim III]],Registro[[#This Row],[Trim IV]])</f>
        <v>0</v>
      </c>
      <c r="Y65" s="22">
        <f>IFERROR((Registro[[#This Row],[Avance Total]]/Registro[[#This Row],[Meta]]),0)</f>
        <v>0</v>
      </c>
      <c r="Z65" s="22">
        <f>IFERROR((Registro[[#This Row],[Avance Total]]-Registro[[#This Row],[Línea Base 2025]])/Registro[[#This Row],[Línea Base 2025]],0)</f>
        <v>-1</v>
      </c>
      <c r="AA65" s="20">
        <v>2026</v>
      </c>
    </row>
    <row r="66" spans="1:27" hidden="1">
      <c r="A66" s="14">
        <v>1005</v>
      </c>
      <c r="B66" s="15" t="s">
        <v>50</v>
      </c>
      <c r="C66" s="16">
        <v>123</v>
      </c>
      <c r="D66" s="16" t="s">
        <v>198</v>
      </c>
      <c r="E66" s="17" t="s">
        <v>197</v>
      </c>
      <c r="F66" s="24">
        <v>0</v>
      </c>
      <c r="G66" s="24">
        <v>60</v>
      </c>
      <c r="H66" s="19">
        <v>0</v>
      </c>
      <c r="I66" s="19">
        <v>0</v>
      </c>
      <c r="T66" s="19">
        <f>Registro[[#This Row],[Mes 1]]+Registro[[#This Row],[Mes 2]]+Registro[[#This Row],[Mes 3]]</f>
        <v>0</v>
      </c>
      <c r="U66" s="19">
        <f>Registro[[#This Row],[Mes 4]]+Registro[[#This Row],[Mes 5]]+Registro[[#This Row],[Mes 6]]</f>
        <v>0</v>
      </c>
      <c r="V66" s="19">
        <f>Registro[[#This Row],[Mes 7]]+Registro[[#This Row],[Mes 8]]+Registro[[#This Row],[Mes 9]]</f>
        <v>0</v>
      </c>
      <c r="W66" s="20">
        <f>Registro[[#This Row],[Mes 10]]+Registro[[#This Row],[Mes 11]]+Registro[[#This Row],[Mes 12]]</f>
        <v>0</v>
      </c>
      <c r="X66" s="20">
        <f>SUM(Registro[[#This Row],[Trim I]],Registro[[#This Row],[Trim II]],Registro[[#This Row],[Trim III]],Registro[[#This Row],[Trim IV]])</f>
        <v>0</v>
      </c>
      <c r="Y66" s="22">
        <f>IFERROR((Registro[[#This Row],[Avance Total]]/Registro[[#This Row],[Meta]]),0)</f>
        <v>0</v>
      </c>
      <c r="Z66" s="22">
        <f>IFERROR((Registro[[#This Row],[Avance Total]]-Registro[[#This Row],[Línea Base 2025]])/Registro[[#This Row],[Línea Base 2025]],0)</f>
        <v>0</v>
      </c>
      <c r="AA66" s="20">
        <v>2026</v>
      </c>
    </row>
    <row r="67" spans="1:27" hidden="1">
      <c r="A67" s="14">
        <v>1006</v>
      </c>
      <c r="B67" s="15" t="s">
        <v>51</v>
      </c>
      <c r="C67" s="16">
        <v>111</v>
      </c>
      <c r="D67" s="16" t="s">
        <v>171</v>
      </c>
      <c r="E67" s="17" t="s">
        <v>172</v>
      </c>
      <c r="F67" s="24">
        <v>51</v>
      </c>
      <c r="G67" s="24">
        <v>482</v>
      </c>
      <c r="H67" s="19">
        <v>6</v>
      </c>
      <c r="I67" s="19">
        <v>6</v>
      </c>
      <c r="T67" s="19">
        <f>Registro[[#This Row],[Mes 1]]+Registro[[#This Row],[Mes 2]]+Registro[[#This Row],[Mes 3]]</f>
        <v>12</v>
      </c>
      <c r="U67" s="19">
        <f>Registro[[#This Row],[Mes 4]]+Registro[[#This Row],[Mes 5]]+Registro[[#This Row],[Mes 6]]</f>
        <v>0</v>
      </c>
      <c r="V67" s="19">
        <f>Registro[[#This Row],[Mes 7]]+Registro[[#This Row],[Mes 8]]+Registro[[#This Row],[Mes 9]]</f>
        <v>0</v>
      </c>
      <c r="W67" s="20">
        <f>Registro[[#This Row],[Mes 10]]+Registro[[#This Row],[Mes 11]]+Registro[[#This Row],[Mes 12]]</f>
        <v>0</v>
      </c>
      <c r="X67" s="20">
        <f>SUM(Registro[[#This Row],[Trim I]],Registro[[#This Row],[Trim II]],Registro[[#This Row],[Trim III]],Registro[[#This Row],[Trim IV]])</f>
        <v>12</v>
      </c>
      <c r="Y67" s="22">
        <f>IFERROR((Registro[[#This Row],[Avance Total]]/Registro[[#This Row],[Meta]]),0)</f>
        <v>2.4896265560165973E-2</v>
      </c>
      <c r="Z67" s="22">
        <f>IFERROR((Registro[[#This Row],[Avance Total]]-Registro[[#This Row],[Línea Base 2025]])/Registro[[#This Row],[Línea Base 2025]],0)</f>
        <v>-0.76470588235294112</v>
      </c>
      <c r="AA67" s="20">
        <v>2026</v>
      </c>
    </row>
    <row r="68" spans="1:27" hidden="1">
      <c r="A68" s="14">
        <v>1006</v>
      </c>
      <c r="B68" s="15" t="s">
        <v>51</v>
      </c>
      <c r="C68" s="16">
        <v>112</v>
      </c>
      <c r="D68" s="16" t="s">
        <v>173</v>
      </c>
      <c r="E68" s="17" t="s">
        <v>7</v>
      </c>
      <c r="F68" s="24">
        <v>33</v>
      </c>
      <c r="G68" s="24">
        <v>66</v>
      </c>
      <c r="H68" s="19">
        <v>0</v>
      </c>
      <c r="I68" s="19">
        <v>0</v>
      </c>
      <c r="T68" s="19">
        <f>Registro[[#This Row],[Mes 1]]+Registro[[#This Row],[Mes 2]]+Registro[[#This Row],[Mes 3]]</f>
        <v>0</v>
      </c>
      <c r="U68" s="19">
        <f>Registro[[#This Row],[Mes 4]]+Registro[[#This Row],[Mes 5]]+Registro[[#This Row],[Mes 6]]</f>
        <v>0</v>
      </c>
      <c r="V68" s="19">
        <f>Registro[[#This Row],[Mes 7]]+Registro[[#This Row],[Mes 8]]+Registro[[#This Row],[Mes 9]]</f>
        <v>0</v>
      </c>
      <c r="W68" s="20">
        <f>Registro[[#This Row],[Mes 10]]+Registro[[#This Row],[Mes 11]]+Registro[[#This Row],[Mes 12]]</f>
        <v>0</v>
      </c>
      <c r="X68" s="20">
        <f>SUM(Registro[[#This Row],[Trim I]],Registro[[#This Row],[Trim II]],Registro[[#This Row],[Trim III]],Registro[[#This Row],[Trim IV]])</f>
        <v>0</v>
      </c>
      <c r="Y68" s="22">
        <f>IFERROR((Registro[[#This Row],[Avance Total]]/Registro[[#This Row],[Meta]]),0)</f>
        <v>0</v>
      </c>
      <c r="Z68" s="22">
        <f>IFERROR((Registro[[#This Row],[Avance Total]]-Registro[[#This Row],[Línea Base 2025]])/Registro[[#This Row],[Línea Base 2025]],0)</f>
        <v>-1</v>
      </c>
      <c r="AA68" s="20">
        <v>2026</v>
      </c>
    </row>
    <row r="69" spans="1:27" hidden="1">
      <c r="A69" s="14">
        <v>1006</v>
      </c>
      <c r="B69" s="15" t="s">
        <v>51</v>
      </c>
      <c r="C69" s="16">
        <v>113</v>
      </c>
      <c r="D69" s="16" t="s">
        <v>179</v>
      </c>
      <c r="E69" s="17" t="s">
        <v>178</v>
      </c>
      <c r="F69" s="24">
        <v>28</v>
      </c>
      <c r="G69" s="24">
        <v>641</v>
      </c>
      <c r="H69" s="19">
        <v>0</v>
      </c>
      <c r="I69" s="19">
        <v>1</v>
      </c>
      <c r="T69" s="19">
        <f>Registro[[#This Row],[Mes 1]]+Registro[[#This Row],[Mes 2]]+Registro[[#This Row],[Mes 3]]</f>
        <v>1</v>
      </c>
      <c r="U69" s="19">
        <f>Registro[[#This Row],[Mes 4]]+Registro[[#This Row],[Mes 5]]+Registro[[#This Row],[Mes 6]]</f>
        <v>0</v>
      </c>
      <c r="V69" s="19">
        <f>Registro[[#This Row],[Mes 7]]+Registro[[#This Row],[Mes 8]]+Registro[[#This Row],[Mes 9]]</f>
        <v>0</v>
      </c>
      <c r="W69" s="20">
        <f>Registro[[#This Row],[Mes 10]]+Registro[[#This Row],[Mes 11]]+Registro[[#This Row],[Mes 12]]</f>
        <v>0</v>
      </c>
      <c r="X69" s="20">
        <f>SUM(Registro[[#This Row],[Trim I]],Registro[[#This Row],[Trim II]],Registro[[#This Row],[Trim III]],Registro[[#This Row],[Trim IV]])</f>
        <v>1</v>
      </c>
      <c r="Y69" s="22">
        <f>IFERROR((Registro[[#This Row],[Avance Total]]/Registro[[#This Row],[Meta]]),0)</f>
        <v>1.5600624024960999E-3</v>
      </c>
      <c r="Z69" s="22">
        <f>IFERROR((Registro[[#This Row],[Avance Total]]-Registro[[#This Row],[Línea Base 2025]])/Registro[[#This Row],[Línea Base 2025]],0)</f>
        <v>-0.9642857142857143</v>
      </c>
      <c r="AA69" s="20">
        <v>2026</v>
      </c>
    </row>
    <row r="70" spans="1:27" hidden="1">
      <c r="A70" s="14">
        <v>1006</v>
      </c>
      <c r="B70" s="15" t="s">
        <v>51</v>
      </c>
      <c r="C70" s="16">
        <v>114</v>
      </c>
      <c r="D70" s="16" t="s">
        <v>181</v>
      </c>
      <c r="E70" s="17" t="s">
        <v>180</v>
      </c>
      <c r="F70" s="24">
        <v>6</v>
      </c>
      <c r="G70" s="24">
        <v>22.2</v>
      </c>
      <c r="H70" s="19">
        <v>2</v>
      </c>
      <c r="I70" s="19">
        <v>0</v>
      </c>
      <c r="T70" s="19">
        <f>Registro[[#This Row],[Mes 1]]+Registro[[#This Row],[Mes 2]]+Registro[[#This Row],[Mes 3]]</f>
        <v>2</v>
      </c>
      <c r="U70" s="19">
        <f>Registro[[#This Row],[Mes 4]]+Registro[[#This Row],[Mes 5]]+Registro[[#This Row],[Mes 6]]</f>
        <v>0</v>
      </c>
      <c r="V70" s="19">
        <f>Registro[[#This Row],[Mes 7]]+Registro[[#This Row],[Mes 8]]+Registro[[#This Row],[Mes 9]]</f>
        <v>0</v>
      </c>
      <c r="W70" s="20">
        <f>Registro[[#This Row],[Mes 10]]+Registro[[#This Row],[Mes 11]]+Registro[[#This Row],[Mes 12]]</f>
        <v>0</v>
      </c>
      <c r="X70" s="20">
        <f>SUM(Registro[[#This Row],[Trim I]],Registro[[#This Row],[Trim II]],Registro[[#This Row],[Trim III]],Registro[[#This Row],[Trim IV]])</f>
        <v>2</v>
      </c>
      <c r="Y70" s="22">
        <f>IFERROR((Registro[[#This Row],[Avance Total]]/Registro[[#This Row],[Meta]]),0)</f>
        <v>9.00900900900901E-2</v>
      </c>
      <c r="Z70" s="22">
        <f>IFERROR((Registro[[#This Row],[Avance Total]]-Registro[[#This Row],[Línea Base 2025]])/Registro[[#This Row],[Línea Base 2025]],0)</f>
        <v>-0.66666666666666663</v>
      </c>
      <c r="AA70" s="20">
        <v>2026</v>
      </c>
    </row>
    <row r="71" spans="1:27" hidden="1">
      <c r="A71" s="14">
        <v>1006</v>
      </c>
      <c r="B71" s="15" t="s">
        <v>51</v>
      </c>
      <c r="C71" s="16">
        <v>115</v>
      </c>
      <c r="D71" s="16" t="s">
        <v>183</v>
      </c>
      <c r="E71" s="17" t="s">
        <v>182</v>
      </c>
      <c r="F71" s="24">
        <v>42</v>
      </c>
      <c r="G71" s="24">
        <v>28</v>
      </c>
      <c r="H71" s="19">
        <v>0</v>
      </c>
      <c r="I71" s="19">
        <v>18</v>
      </c>
      <c r="T71" s="19">
        <f>Registro[[#This Row],[Mes 1]]+Registro[[#This Row],[Mes 2]]+Registro[[#This Row],[Mes 3]]</f>
        <v>18</v>
      </c>
      <c r="U71" s="19">
        <f>Registro[[#This Row],[Mes 4]]+Registro[[#This Row],[Mes 5]]+Registro[[#This Row],[Mes 6]]</f>
        <v>0</v>
      </c>
      <c r="V71" s="19">
        <f>Registro[[#This Row],[Mes 7]]+Registro[[#This Row],[Mes 8]]+Registro[[#This Row],[Mes 9]]</f>
        <v>0</v>
      </c>
      <c r="W71" s="20">
        <f>Registro[[#This Row],[Mes 10]]+Registro[[#This Row],[Mes 11]]+Registro[[#This Row],[Mes 12]]</f>
        <v>0</v>
      </c>
      <c r="X71" s="20">
        <f>SUM(Registro[[#This Row],[Trim I]],Registro[[#This Row],[Trim II]],Registro[[#This Row],[Trim III]],Registro[[#This Row],[Trim IV]])</f>
        <v>18</v>
      </c>
      <c r="Y71" s="22">
        <f>IFERROR((Registro[[#This Row],[Avance Total]]/Registro[[#This Row],[Meta]]),0)</f>
        <v>0.6428571428571429</v>
      </c>
      <c r="Z71" s="22">
        <f>IFERROR((Registro[[#This Row],[Avance Total]]-Registro[[#This Row],[Línea Base 2025]])/Registro[[#This Row],[Línea Base 2025]],0)</f>
        <v>-0.5714285714285714</v>
      </c>
      <c r="AA71" s="20">
        <v>2026</v>
      </c>
    </row>
    <row r="72" spans="1:27">
      <c r="A72" s="14">
        <v>1006</v>
      </c>
      <c r="B72" s="15" t="s">
        <v>51</v>
      </c>
      <c r="C72" s="16">
        <v>116</v>
      </c>
      <c r="D72" s="16" t="s">
        <v>185</v>
      </c>
      <c r="E72" s="17" t="s">
        <v>184</v>
      </c>
      <c r="F72" s="24">
        <v>6</v>
      </c>
      <c r="G72" s="24">
        <v>17.940000000000001</v>
      </c>
      <c r="H72" s="19">
        <v>1</v>
      </c>
      <c r="I72" s="19">
        <v>0</v>
      </c>
      <c r="T72" s="19">
        <f>Registro[[#This Row],[Mes 1]]+Registro[[#This Row],[Mes 2]]+Registro[[#This Row],[Mes 3]]</f>
        <v>1</v>
      </c>
      <c r="U72" s="19">
        <f>Registro[[#This Row],[Mes 4]]+Registro[[#This Row],[Mes 5]]+Registro[[#This Row],[Mes 6]]</f>
        <v>0</v>
      </c>
      <c r="V72" s="19">
        <f>Registro[[#This Row],[Mes 7]]+Registro[[#This Row],[Mes 8]]+Registro[[#This Row],[Mes 9]]</f>
        <v>0</v>
      </c>
      <c r="W72" s="20">
        <f>Registro[[#This Row],[Mes 10]]+Registro[[#This Row],[Mes 11]]+Registro[[#This Row],[Mes 12]]</f>
        <v>0</v>
      </c>
      <c r="X72" s="20">
        <f>SUM(Registro[[#This Row],[Trim I]],Registro[[#This Row],[Trim II]],Registro[[#This Row],[Trim III]],Registro[[#This Row],[Trim IV]])</f>
        <v>1</v>
      </c>
      <c r="Y72" s="22">
        <f>IFERROR((Registro[[#This Row],[Avance Total]]/Registro[[#This Row],[Meta]]),0)</f>
        <v>5.5741360089186169E-2</v>
      </c>
      <c r="Z72" s="22">
        <f>IFERROR((Registro[[#This Row],[Avance Total]]-Registro[[#This Row],[Línea Base 2025]])/Registro[[#This Row],[Línea Base 2025]],0)</f>
        <v>-0.83333333333333337</v>
      </c>
      <c r="AA72" s="20">
        <v>2026</v>
      </c>
    </row>
    <row r="73" spans="1:27" hidden="1">
      <c r="A73" s="14">
        <v>1006</v>
      </c>
      <c r="B73" s="15" t="s">
        <v>51</v>
      </c>
      <c r="C73" s="16">
        <v>117</v>
      </c>
      <c r="D73" s="16" t="s">
        <v>187</v>
      </c>
      <c r="E73" s="17" t="s">
        <v>186</v>
      </c>
      <c r="F73" s="24">
        <v>4</v>
      </c>
      <c r="G73" s="24">
        <v>8.24</v>
      </c>
      <c r="H73" s="19">
        <v>0</v>
      </c>
      <c r="I73" s="19">
        <v>0</v>
      </c>
      <c r="T73" s="19">
        <f>Registro[[#This Row],[Mes 1]]+Registro[[#This Row],[Mes 2]]+Registro[[#This Row],[Mes 3]]</f>
        <v>0</v>
      </c>
      <c r="U73" s="19">
        <f>Registro[[#This Row],[Mes 4]]+Registro[[#This Row],[Mes 5]]+Registro[[#This Row],[Mes 6]]</f>
        <v>0</v>
      </c>
      <c r="V73" s="19">
        <f>Registro[[#This Row],[Mes 7]]+Registro[[#This Row],[Mes 8]]+Registro[[#This Row],[Mes 9]]</f>
        <v>0</v>
      </c>
      <c r="W73" s="20">
        <f>Registro[[#This Row],[Mes 10]]+Registro[[#This Row],[Mes 11]]+Registro[[#This Row],[Mes 12]]</f>
        <v>0</v>
      </c>
      <c r="X73" s="20">
        <f>SUM(Registro[[#This Row],[Trim I]],Registro[[#This Row],[Trim II]],Registro[[#This Row],[Trim III]],Registro[[#This Row],[Trim IV]])</f>
        <v>0</v>
      </c>
      <c r="Y73" s="22">
        <f>IFERROR((Registro[[#This Row],[Avance Total]]/Registro[[#This Row],[Meta]]),0)</f>
        <v>0</v>
      </c>
      <c r="Z73" s="22">
        <f>IFERROR((Registro[[#This Row],[Avance Total]]-Registro[[#This Row],[Línea Base 2025]])/Registro[[#This Row],[Línea Base 2025]],0)</f>
        <v>-1</v>
      </c>
      <c r="AA73" s="20">
        <v>2026</v>
      </c>
    </row>
    <row r="74" spans="1:27" hidden="1">
      <c r="A74" s="14">
        <v>1006</v>
      </c>
      <c r="B74" s="15" t="s">
        <v>51</v>
      </c>
      <c r="C74" s="16">
        <v>118</v>
      </c>
      <c r="D74" s="16" t="s">
        <v>188</v>
      </c>
      <c r="E74" s="17" t="s">
        <v>9</v>
      </c>
      <c r="F74" s="24">
        <v>0</v>
      </c>
      <c r="G74" s="24">
        <v>12</v>
      </c>
      <c r="H74" s="19">
        <v>0</v>
      </c>
      <c r="I74" s="19">
        <v>0</v>
      </c>
      <c r="T74" s="19">
        <f>Registro[[#This Row],[Mes 1]]+Registro[[#This Row],[Mes 2]]+Registro[[#This Row],[Mes 3]]</f>
        <v>0</v>
      </c>
      <c r="U74" s="19">
        <f>Registro[[#This Row],[Mes 4]]+Registro[[#This Row],[Mes 5]]+Registro[[#This Row],[Mes 6]]</f>
        <v>0</v>
      </c>
      <c r="V74" s="19">
        <f>Registro[[#This Row],[Mes 7]]+Registro[[#This Row],[Mes 8]]+Registro[[#This Row],[Mes 9]]</f>
        <v>0</v>
      </c>
      <c r="W74" s="20">
        <f>Registro[[#This Row],[Mes 10]]+Registro[[#This Row],[Mes 11]]+Registro[[#This Row],[Mes 12]]</f>
        <v>0</v>
      </c>
      <c r="X74" s="20">
        <f>SUM(Registro[[#This Row],[Trim I]],Registro[[#This Row],[Trim II]],Registro[[#This Row],[Trim III]],Registro[[#This Row],[Trim IV]])</f>
        <v>0</v>
      </c>
      <c r="Y74" s="22">
        <f>IFERROR((Registro[[#This Row],[Avance Total]]/Registro[[#This Row],[Meta]]),0)</f>
        <v>0</v>
      </c>
      <c r="Z74" s="22">
        <f>IFERROR((Registro[[#This Row],[Avance Total]]-Registro[[#This Row],[Línea Base 2025]])/Registro[[#This Row],[Línea Base 2025]],0)</f>
        <v>0</v>
      </c>
      <c r="AA74" s="20">
        <v>2026</v>
      </c>
    </row>
    <row r="75" spans="1:27" hidden="1">
      <c r="A75" s="14">
        <v>1006</v>
      </c>
      <c r="B75" s="15" t="s">
        <v>51</v>
      </c>
      <c r="C75" s="16">
        <v>119</v>
      </c>
      <c r="D75" s="16" t="s">
        <v>190</v>
      </c>
      <c r="E75" s="17" t="s">
        <v>189</v>
      </c>
      <c r="F75" s="24">
        <v>0</v>
      </c>
      <c r="G75" s="24">
        <v>14.352000000000002</v>
      </c>
      <c r="H75" s="19">
        <v>0</v>
      </c>
      <c r="I75" s="19">
        <v>0</v>
      </c>
      <c r="T75" s="19">
        <f>Registro[[#This Row],[Mes 1]]+Registro[[#This Row],[Mes 2]]+Registro[[#This Row],[Mes 3]]</f>
        <v>0</v>
      </c>
      <c r="U75" s="19">
        <f>Registro[[#This Row],[Mes 4]]+Registro[[#This Row],[Mes 5]]+Registro[[#This Row],[Mes 6]]</f>
        <v>0</v>
      </c>
      <c r="V75" s="19">
        <f>Registro[[#This Row],[Mes 7]]+Registro[[#This Row],[Mes 8]]+Registro[[#This Row],[Mes 9]]</f>
        <v>0</v>
      </c>
      <c r="W75" s="20">
        <f>Registro[[#This Row],[Mes 10]]+Registro[[#This Row],[Mes 11]]+Registro[[#This Row],[Mes 12]]</f>
        <v>0</v>
      </c>
      <c r="X75" s="20">
        <f>SUM(Registro[[#This Row],[Trim I]],Registro[[#This Row],[Trim II]],Registro[[#This Row],[Trim III]],Registro[[#This Row],[Trim IV]])</f>
        <v>0</v>
      </c>
      <c r="Y75" s="22">
        <f>IFERROR((Registro[[#This Row],[Avance Total]]/Registro[[#This Row],[Meta]]),0)</f>
        <v>0</v>
      </c>
      <c r="Z75" s="22">
        <f>IFERROR((Registro[[#This Row],[Avance Total]]-Registro[[#This Row],[Línea Base 2025]])/Registro[[#This Row],[Línea Base 2025]],0)</f>
        <v>0</v>
      </c>
      <c r="AA75" s="20">
        <v>2026</v>
      </c>
    </row>
    <row r="76" spans="1:27" hidden="1">
      <c r="A76" s="14">
        <v>1006</v>
      </c>
      <c r="B76" s="15" t="s">
        <v>51</v>
      </c>
      <c r="C76" s="16">
        <v>120</v>
      </c>
      <c r="D76" s="16" t="s">
        <v>192</v>
      </c>
      <c r="E76" s="17" t="s">
        <v>191</v>
      </c>
      <c r="F76" s="24">
        <v>18</v>
      </c>
      <c r="G76" s="24">
        <v>66</v>
      </c>
      <c r="H76" s="19">
        <v>0</v>
      </c>
      <c r="I76" s="19">
        <v>0</v>
      </c>
      <c r="T76" s="19">
        <f>Registro[[#This Row],[Mes 1]]+Registro[[#This Row],[Mes 2]]+Registro[[#This Row],[Mes 3]]</f>
        <v>0</v>
      </c>
      <c r="U76" s="19">
        <f>Registro[[#This Row],[Mes 4]]+Registro[[#This Row],[Mes 5]]+Registro[[#This Row],[Mes 6]]</f>
        <v>0</v>
      </c>
      <c r="V76" s="19">
        <f>Registro[[#This Row],[Mes 7]]+Registro[[#This Row],[Mes 8]]+Registro[[#This Row],[Mes 9]]</f>
        <v>0</v>
      </c>
      <c r="W76" s="20">
        <f>Registro[[#This Row],[Mes 10]]+Registro[[#This Row],[Mes 11]]+Registro[[#This Row],[Mes 12]]</f>
        <v>0</v>
      </c>
      <c r="X76" s="20">
        <f>SUM(Registro[[#This Row],[Trim I]],Registro[[#This Row],[Trim II]],Registro[[#This Row],[Trim III]],Registro[[#This Row],[Trim IV]])</f>
        <v>0</v>
      </c>
      <c r="Y76" s="22">
        <f>IFERROR((Registro[[#This Row],[Avance Total]]/Registro[[#This Row],[Meta]]),0)</f>
        <v>0</v>
      </c>
      <c r="Z76" s="22">
        <f>IFERROR((Registro[[#This Row],[Avance Total]]-Registro[[#This Row],[Línea Base 2025]])/Registro[[#This Row],[Línea Base 2025]],0)</f>
        <v>-1</v>
      </c>
      <c r="AA76" s="20">
        <v>2026</v>
      </c>
    </row>
    <row r="77" spans="1:27" hidden="1">
      <c r="A77" s="14">
        <v>1006</v>
      </c>
      <c r="B77" s="15" t="s">
        <v>51</v>
      </c>
      <c r="C77" s="16">
        <v>121</v>
      </c>
      <c r="D77" s="16" t="s">
        <v>194</v>
      </c>
      <c r="E77" s="17" t="s">
        <v>193</v>
      </c>
      <c r="F77" s="24">
        <v>8</v>
      </c>
      <c r="G77" s="24">
        <v>7</v>
      </c>
      <c r="H77" s="19">
        <v>0</v>
      </c>
      <c r="I77" s="19">
        <v>0</v>
      </c>
      <c r="T77" s="19">
        <f>Registro[[#This Row],[Mes 1]]+Registro[[#This Row],[Mes 2]]+Registro[[#This Row],[Mes 3]]</f>
        <v>0</v>
      </c>
      <c r="U77" s="19">
        <f>Registro[[#This Row],[Mes 4]]+Registro[[#This Row],[Mes 5]]+Registro[[#This Row],[Mes 6]]</f>
        <v>0</v>
      </c>
      <c r="V77" s="19">
        <f>Registro[[#This Row],[Mes 7]]+Registro[[#This Row],[Mes 8]]+Registro[[#This Row],[Mes 9]]</f>
        <v>0</v>
      </c>
      <c r="W77" s="20">
        <f>Registro[[#This Row],[Mes 10]]+Registro[[#This Row],[Mes 11]]+Registro[[#This Row],[Mes 12]]</f>
        <v>0</v>
      </c>
      <c r="X77" s="20">
        <f>SUM(Registro[[#This Row],[Trim I]],Registro[[#This Row],[Trim II]],Registro[[#This Row],[Trim III]],Registro[[#This Row],[Trim IV]])</f>
        <v>0</v>
      </c>
      <c r="Y77" s="22">
        <f>IFERROR((Registro[[#This Row],[Avance Total]]/Registro[[#This Row],[Meta]]),0)</f>
        <v>0</v>
      </c>
      <c r="Z77" s="22">
        <f>IFERROR((Registro[[#This Row],[Avance Total]]-Registro[[#This Row],[Línea Base 2025]])/Registro[[#This Row],[Línea Base 2025]],0)</f>
        <v>-1</v>
      </c>
      <c r="AA77" s="20">
        <v>2026</v>
      </c>
    </row>
    <row r="78" spans="1:27" hidden="1">
      <c r="A78" s="14">
        <v>1006</v>
      </c>
      <c r="B78" s="15" t="s">
        <v>51</v>
      </c>
      <c r="C78" s="16">
        <v>122</v>
      </c>
      <c r="D78" s="16" t="s">
        <v>196</v>
      </c>
      <c r="E78" s="17" t="s">
        <v>195</v>
      </c>
      <c r="F78" s="24">
        <v>9</v>
      </c>
      <c r="G78" s="24">
        <v>23</v>
      </c>
      <c r="H78" s="19">
        <v>0</v>
      </c>
      <c r="I78" s="19">
        <v>0</v>
      </c>
      <c r="T78" s="19">
        <f>Registro[[#This Row],[Mes 1]]+Registro[[#This Row],[Mes 2]]+Registro[[#This Row],[Mes 3]]</f>
        <v>0</v>
      </c>
      <c r="U78" s="19">
        <f>Registro[[#This Row],[Mes 4]]+Registro[[#This Row],[Mes 5]]+Registro[[#This Row],[Mes 6]]</f>
        <v>0</v>
      </c>
      <c r="V78" s="19">
        <f>Registro[[#This Row],[Mes 7]]+Registro[[#This Row],[Mes 8]]+Registro[[#This Row],[Mes 9]]</f>
        <v>0</v>
      </c>
      <c r="W78" s="20">
        <f>Registro[[#This Row],[Mes 10]]+Registro[[#This Row],[Mes 11]]+Registro[[#This Row],[Mes 12]]</f>
        <v>0</v>
      </c>
      <c r="X78" s="20">
        <f>SUM(Registro[[#This Row],[Trim I]],Registro[[#This Row],[Trim II]],Registro[[#This Row],[Trim III]],Registro[[#This Row],[Trim IV]])</f>
        <v>0</v>
      </c>
      <c r="Y78" s="22">
        <f>IFERROR((Registro[[#This Row],[Avance Total]]/Registro[[#This Row],[Meta]]),0)</f>
        <v>0</v>
      </c>
      <c r="Z78" s="22">
        <f>IFERROR((Registro[[#This Row],[Avance Total]]-Registro[[#This Row],[Línea Base 2025]])/Registro[[#This Row],[Línea Base 2025]],0)</f>
        <v>-1</v>
      </c>
      <c r="AA78" s="20">
        <v>2026</v>
      </c>
    </row>
    <row r="79" spans="1:27" hidden="1">
      <c r="A79" s="14">
        <v>1006</v>
      </c>
      <c r="B79" s="15" t="s">
        <v>51</v>
      </c>
      <c r="C79" s="16">
        <v>123</v>
      </c>
      <c r="D79" s="16" t="s">
        <v>198</v>
      </c>
      <c r="E79" s="17" t="s">
        <v>197</v>
      </c>
      <c r="F79" s="24">
        <v>0</v>
      </c>
      <c r="G79" s="24">
        <v>10</v>
      </c>
      <c r="H79" s="19">
        <v>0</v>
      </c>
      <c r="I79" s="19">
        <v>0</v>
      </c>
      <c r="T79" s="19">
        <f>Registro[[#This Row],[Mes 1]]+Registro[[#This Row],[Mes 2]]+Registro[[#This Row],[Mes 3]]</f>
        <v>0</v>
      </c>
      <c r="U79" s="19">
        <f>Registro[[#This Row],[Mes 4]]+Registro[[#This Row],[Mes 5]]+Registro[[#This Row],[Mes 6]]</f>
        <v>0</v>
      </c>
      <c r="V79" s="19">
        <f>Registro[[#This Row],[Mes 7]]+Registro[[#This Row],[Mes 8]]+Registro[[#This Row],[Mes 9]]</f>
        <v>0</v>
      </c>
      <c r="W79" s="20">
        <f>Registro[[#This Row],[Mes 10]]+Registro[[#This Row],[Mes 11]]+Registro[[#This Row],[Mes 12]]</f>
        <v>0</v>
      </c>
      <c r="X79" s="20">
        <f>SUM(Registro[[#This Row],[Trim I]],Registro[[#This Row],[Trim II]],Registro[[#This Row],[Trim III]],Registro[[#This Row],[Trim IV]])</f>
        <v>0</v>
      </c>
      <c r="Y79" s="22">
        <f>IFERROR((Registro[[#This Row],[Avance Total]]/Registro[[#This Row],[Meta]]),0)</f>
        <v>0</v>
      </c>
      <c r="Z79" s="22">
        <f>IFERROR((Registro[[#This Row],[Avance Total]]-Registro[[#This Row],[Línea Base 2025]])/Registro[[#This Row],[Línea Base 2025]],0)</f>
        <v>0</v>
      </c>
      <c r="AA79" s="20">
        <v>2026</v>
      </c>
    </row>
    <row r="80" spans="1:27" hidden="1">
      <c r="A80" s="14">
        <v>1007</v>
      </c>
      <c r="B80" s="15" t="s">
        <v>13</v>
      </c>
      <c r="C80" s="16">
        <v>111</v>
      </c>
      <c r="D80" s="16" t="s">
        <v>171</v>
      </c>
      <c r="E80" s="17" t="s">
        <v>172</v>
      </c>
      <c r="F80" s="24">
        <v>1</v>
      </c>
      <c r="G80" s="24">
        <v>136</v>
      </c>
      <c r="H80" s="19">
        <v>0</v>
      </c>
      <c r="I80" s="19">
        <v>2</v>
      </c>
      <c r="T80" s="20">
        <f>Registro[[#This Row],[Mes 1]]+Registro[[#This Row],[Mes 2]]+Registro[[#This Row],[Mes 3]]</f>
        <v>2</v>
      </c>
      <c r="U80" s="20">
        <f>Registro[[#This Row],[Mes 4]]+Registro[[#This Row],[Mes 5]]+Registro[[#This Row],[Mes 6]]</f>
        <v>0</v>
      </c>
      <c r="V80" s="20">
        <f>Registro[[#This Row],[Mes 7]]+Registro[[#This Row],[Mes 8]]+Registro[[#This Row],[Mes 9]]</f>
        <v>0</v>
      </c>
      <c r="W80" s="20">
        <f>Registro[[#This Row],[Mes 10]]+Registro[[#This Row],[Mes 11]]+Registro[[#This Row],[Mes 12]]</f>
        <v>0</v>
      </c>
      <c r="X80" s="20">
        <f>SUM(Registro[[#This Row],[Trim I]],Registro[[#This Row],[Trim II]],Registro[[#This Row],[Trim III]],Registro[[#This Row],[Trim IV]])</f>
        <v>2</v>
      </c>
      <c r="Y80" s="22">
        <f>IFERROR((Registro[[#This Row],[Avance Total]]/Registro[[#This Row],[Meta]]),0)</f>
        <v>1.4705882352941176E-2</v>
      </c>
      <c r="Z80" s="22">
        <f>IFERROR((Registro[[#This Row],[Avance Total]]-Registro[[#This Row],[Línea Base 2025]])/Registro[[#This Row],[Línea Base 2025]],0)</f>
        <v>1</v>
      </c>
      <c r="AA80" s="20"/>
    </row>
    <row r="81" spans="1:27" hidden="1">
      <c r="A81" s="14">
        <v>1007</v>
      </c>
      <c r="B81" s="15" t="s">
        <v>13</v>
      </c>
      <c r="C81" s="16">
        <v>112</v>
      </c>
      <c r="D81" s="16" t="s">
        <v>173</v>
      </c>
      <c r="E81" s="17" t="s">
        <v>7</v>
      </c>
      <c r="F81" s="24">
        <v>0</v>
      </c>
      <c r="G81" s="24">
        <v>1</v>
      </c>
      <c r="H81" s="19">
        <v>0</v>
      </c>
      <c r="I81" s="19">
        <v>0</v>
      </c>
      <c r="T81" s="20">
        <f>Registro[[#This Row],[Mes 1]]+Registro[[#This Row],[Mes 2]]+Registro[[#This Row],[Mes 3]]</f>
        <v>0</v>
      </c>
      <c r="U81" s="20">
        <f>Registro[[#This Row],[Mes 4]]+Registro[[#This Row],[Mes 5]]+Registro[[#This Row],[Mes 6]]</f>
        <v>0</v>
      </c>
      <c r="V81" s="20">
        <f>Registro[[#This Row],[Mes 7]]+Registro[[#This Row],[Mes 8]]+Registro[[#This Row],[Mes 9]]</f>
        <v>0</v>
      </c>
      <c r="W81" s="20">
        <f>Registro[[#This Row],[Mes 10]]+Registro[[#This Row],[Mes 11]]+Registro[[#This Row],[Mes 12]]</f>
        <v>0</v>
      </c>
      <c r="X81" s="20">
        <f>SUM(Registro[[#This Row],[Trim I]],Registro[[#This Row],[Trim II]],Registro[[#This Row],[Trim III]],Registro[[#This Row],[Trim IV]])</f>
        <v>0</v>
      </c>
      <c r="Y81" s="22">
        <f>IFERROR((Registro[[#This Row],[Avance Total]]/Registro[[#This Row],[Meta]]),0)</f>
        <v>0</v>
      </c>
      <c r="Z81" s="22">
        <f>IFERROR((Registro[[#This Row],[Avance Total]]-Registro[[#This Row],[Línea Base 2025]])/Registro[[#This Row],[Línea Base 2025]],0)</f>
        <v>0</v>
      </c>
      <c r="AA81" s="20"/>
    </row>
    <row r="82" spans="1:27" hidden="1">
      <c r="A82" s="14">
        <v>1007</v>
      </c>
      <c r="B82" s="15" t="s">
        <v>13</v>
      </c>
      <c r="C82" s="16">
        <v>113</v>
      </c>
      <c r="D82" s="16" t="s">
        <v>179</v>
      </c>
      <c r="E82" s="17" t="s">
        <v>178</v>
      </c>
      <c r="F82" s="24">
        <v>3</v>
      </c>
      <c r="G82" s="24">
        <v>99</v>
      </c>
      <c r="H82" s="19">
        <v>0</v>
      </c>
      <c r="I82" s="19">
        <v>0</v>
      </c>
      <c r="T82" s="20">
        <f>Registro[[#This Row],[Mes 1]]+Registro[[#This Row],[Mes 2]]+Registro[[#This Row],[Mes 3]]</f>
        <v>0</v>
      </c>
      <c r="U82" s="20">
        <f>Registro[[#This Row],[Mes 4]]+Registro[[#This Row],[Mes 5]]+Registro[[#This Row],[Mes 6]]</f>
        <v>0</v>
      </c>
      <c r="V82" s="20">
        <f>Registro[[#This Row],[Mes 7]]+Registro[[#This Row],[Mes 8]]+Registro[[#This Row],[Mes 9]]</f>
        <v>0</v>
      </c>
      <c r="W82" s="20">
        <f>Registro[[#This Row],[Mes 10]]+Registro[[#This Row],[Mes 11]]+Registro[[#This Row],[Mes 12]]</f>
        <v>0</v>
      </c>
      <c r="X82" s="20">
        <f>SUM(Registro[[#This Row],[Trim I]],Registro[[#This Row],[Trim II]],Registro[[#This Row],[Trim III]],Registro[[#This Row],[Trim IV]])</f>
        <v>0</v>
      </c>
      <c r="Y82" s="22">
        <f>IFERROR((Registro[[#This Row],[Avance Total]]/Registro[[#This Row],[Meta]]),0)</f>
        <v>0</v>
      </c>
      <c r="Z82" s="22">
        <f>IFERROR((Registro[[#This Row],[Avance Total]]-Registro[[#This Row],[Línea Base 2025]])/Registro[[#This Row],[Línea Base 2025]],0)</f>
        <v>-1</v>
      </c>
      <c r="AA82" s="20"/>
    </row>
    <row r="83" spans="1:27" hidden="1">
      <c r="A83" s="14">
        <v>1007</v>
      </c>
      <c r="B83" s="15" t="s">
        <v>13</v>
      </c>
      <c r="C83" s="16">
        <v>114</v>
      </c>
      <c r="D83" s="16" t="s">
        <v>181</v>
      </c>
      <c r="E83" s="17" t="s">
        <v>180</v>
      </c>
      <c r="F83" s="24">
        <v>0</v>
      </c>
      <c r="G83" s="24">
        <v>0</v>
      </c>
      <c r="H83" s="19">
        <v>1</v>
      </c>
      <c r="I83" s="19">
        <v>0</v>
      </c>
      <c r="T83" s="20">
        <f>Registro[[#This Row],[Mes 1]]+Registro[[#This Row],[Mes 2]]+Registro[[#This Row],[Mes 3]]</f>
        <v>1</v>
      </c>
      <c r="U83" s="20">
        <f>Registro[[#This Row],[Mes 4]]+Registro[[#This Row],[Mes 5]]+Registro[[#This Row],[Mes 6]]</f>
        <v>0</v>
      </c>
      <c r="V83" s="20">
        <f>Registro[[#This Row],[Mes 7]]+Registro[[#This Row],[Mes 8]]+Registro[[#This Row],[Mes 9]]</f>
        <v>0</v>
      </c>
      <c r="W83" s="20">
        <f>Registro[[#This Row],[Mes 10]]+Registro[[#This Row],[Mes 11]]+Registro[[#This Row],[Mes 12]]</f>
        <v>0</v>
      </c>
      <c r="X83" s="20">
        <f>SUM(Registro[[#This Row],[Trim I]],Registro[[#This Row],[Trim II]],Registro[[#This Row],[Trim III]],Registro[[#This Row],[Trim IV]])</f>
        <v>1</v>
      </c>
      <c r="Y83" s="22">
        <f>IFERROR((Registro[[#This Row],[Avance Total]]/Registro[[#This Row],[Meta]]),0)</f>
        <v>0</v>
      </c>
      <c r="Z83" s="22">
        <f>IFERROR((Registro[[#This Row],[Avance Total]]-Registro[[#This Row],[Línea Base 2025]])/Registro[[#This Row],[Línea Base 2025]],0)</f>
        <v>0</v>
      </c>
      <c r="AA83" s="20"/>
    </row>
    <row r="84" spans="1:27" hidden="1">
      <c r="A84" s="14">
        <v>1007</v>
      </c>
      <c r="B84" s="15" t="s">
        <v>13</v>
      </c>
      <c r="C84" s="16">
        <v>115</v>
      </c>
      <c r="D84" s="16" t="s">
        <v>183</v>
      </c>
      <c r="E84" s="17" t="s">
        <v>182</v>
      </c>
      <c r="F84" s="24">
        <v>0</v>
      </c>
      <c r="G84" s="24">
        <v>0</v>
      </c>
      <c r="H84" s="19">
        <v>0</v>
      </c>
      <c r="I84" s="19">
        <v>0</v>
      </c>
      <c r="T84" s="20">
        <f>Registro[[#This Row],[Mes 1]]+Registro[[#This Row],[Mes 2]]+Registro[[#This Row],[Mes 3]]</f>
        <v>0</v>
      </c>
      <c r="U84" s="20">
        <f>Registro[[#This Row],[Mes 4]]+Registro[[#This Row],[Mes 5]]+Registro[[#This Row],[Mes 6]]</f>
        <v>0</v>
      </c>
      <c r="V84" s="20">
        <f>Registro[[#This Row],[Mes 7]]+Registro[[#This Row],[Mes 8]]+Registro[[#This Row],[Mes 9]]</f>
        <v>0</v>
      </c>
      <c r="W84" s="20">
        <f>Registro[[#This Row],[Mes 10]]+Registro[[#This Row],[Mes 11]]+Registro[[#This Row],[Mes 12]]</f>
        <v>0</v>
      </c>
      <c r="X84" s="20">
        <f>SUM(Registro[[#This Row],[Trim I]],Registro[[#This Row],[Trim II]],Registro[[#This Row],[Trim III]],Registro[[#This Row],[Trim IV]])</f>
        <v>0</v>
      </c>
      <c r="Y84" s="22">
        <f>IFERROR((Registro[[#This Row],[Avance Total]]/Registro[[#This Row],[Meta]]),0)</f>
        <v>0</v>
      </c>
      <c r="Z84" s="22">
        <f>IFERROR((Registro[[#This Row],[Avance Total]]-Registro[[#This Row],[Línea Base 2025]])/Registro[[#This Row],[Línea Base 2025]],0)</f>
        <v>0</v>
      </c>
      <c r="AA84" s="20"/>
    </row>
    <row r="85" spans="1:27">
      <c r="A85" s="14">
        <v>1007</v>
      </c>
      <c r="B85" s="15" t="s">
        <v>13</v>
      </c>
      <c r="C85" s="16">
        <v>116</v>
      </c>
      <c r="D85" s="16" t="s">
        <v>185</v>
      </c>
      <c r="E85" s="17" t="s">
        <v>184</v>
      </c>
      <c r="F85" s="24">
        <v>0</v>
      </c>
      <c r="G85" s="24">
        <v>1.84</v>
      </c>
      <c r="H85" s="19">
        <v>0</v>
      </c>
      <c r="I85" s="19">
        <v>0</v>
      </c>
      <c r="T85" s="20">
        <f>Registro[[#This Row],[Mes 1]]+Registro[[#This Row],[Mes 2]]+Registro[[#This Row],[Mes 3]]</f>
        <v>0</v>
      </c>
      <c r="U85" s="20">
        <f>Registro[[#This Row],[Mes 4]]+Registro[[#This Row],[Mes 5]]+Registro[[#This Row],[Mes 6]]</f>
        <v>0</v>
      </c>
      <c r="V85" s="20">
        <f>Registro[[#This Row],[Mes 7]]+Registro[[#This Row],[Mes 8]]+Registro[[#This Row],[Mes 9]]</f>
        <v>0</v>
      </c>
      <c r="W85" s="20">
        <f>Registro[[#This Row],[Mes 10]]+Registro[[#This Row],[Mes 11]]+Registro[[#This Row],[Mes 12]]</f>
        <v>0</v>
      </c>
      <c r="X85" s="20">
        <f>SUM(Registro[[#This Row],[Trim I]],Registro[[#This Row],[Trim II]],Registro[[#This Row],[Trim III]],Registro[[#This Row],[Trim IV]])</f>
        <v>0</v>
      </c>
      <c r="Y85" s="22">
        <f>IFERROR((Registro[[#This Row],[Avance Total]]/Registro[[#This Row],[Meta]]),0)</f>
        <v>0</v>
      </c>
      <c r="Z85" s="22">
        <f>IFERROR((Registro[[#This Row],[Avance Total]]-Registro[[#This Row],[Línea Base 2025]])/Registro[[#This Row],[Línea Base 2025]],0)</f>
        <v>0</v>
      </c>
      <c r="AA85" s="20"/>
    </row>
    <row r="86" spans="1:27" hidden="1">
      <c r="A86" s="14">
        <v>1007</v>
      </c>
      <c r="B86" s="15" t="s">
        <v>13</v>
      </c>
      <c r="C86" s="16">
        <v>117</v>
      </c>
      <c r="D86" s="16" t="s">
        <v>187</v>
      </c>
      <c r="E86" s="17" t="s">
        <v>186</v>
      </c>
      <c r="F86" s="24">
        <v>0</v>
      </c>
      <c r="G86" s="24">
        <v>0</v>
      </c>
      <c r="H86" s="19">
        <v>0</v>
      </c>
      <c r="I86" s="19">
        <v>0</v>
      </c>
      <c r="T86" s="20">
        <f>Registro[[#This Row],[Mes 1]]+Registro[[#This Row],[Mes 2]]+Registro[[#This Row],[Mes 3]]</f>
        <v>0</v>
      </c>
      <c r="U86" s="20">
        <f>Registro[[#This Row],[Mes 4]]+Registro[[#This Row],[Mes 5]]+Registro[[#This Row],[Mes 6]]</f>
        <v>0</v>
      </c>
      <c r="V86" s="20">
        <f>Registro[[#This Row],[Mes 7]]+Registro[[#This Row],[Mes 8]]+Registro[[#This Row],[Mes 9]]</f>
        <v>0</v>
      </c>
      <c r="W86" s="20">
        <f>Registro[[#This Row],[Mes 10]]+Registro[[#This Row],[Mes 11]]+Registro[[#This Row],[Mes 12]]</f>
        <v>0</v>
      </c>
      <c r="X86" s="20">
        <f>SUM(Registro[[#This Row],[Trim I]],Registro[[#This Row],[Trim II]],Registro[[#This Row],[Trim III]],Registro[[#This Row],[Trim IV]])</f>
        <v>0</v>
      </c>
      <c r="Y86" s="22">
        <f>IFERROR((Registro[[#This Row],[Avance Total]]/Registro[[#This Row],[Meta]]),0)</f>
        <v>0</v>
      </c>
      <c r="Z86" s="22">
        <f>IFERROR((Registro[[#This Row],[Avance Total]]-Registro[[#This Row],[Línea Base 2025]])/Registro[[#This Row],[Línea Base 2025]],0)</f>
        <v>0</v>
      </c>
      <c r="AA86" s="20"/>
    </row>
    <row r="87" spans="1:27" hidden="1">
      <c r="A87" s="14">
        <v>1007</v>
      </c>
      <c r="B87" s="15" t="s">
        <v>13</v>
      </c>
      <c r="C87" s="16">
        <v>118</v>
      </c>
      <c r="D87" s="16" t="s">
        <v>188</v>
      </c>
      <c r="E87" s="17" t="s">
        <v>9</v>
      </c>
      <c r="F87" s="24">
        <v>0</v>
      </c>
      <c r="G87" s="24">
        <v>0</v>
      </c>
      <c r="H87" s="19">
        <v>0</v>
      </c>
      <c r="I87" s="19">
        <v>0</v>
      </c>
      <c r="T87" s="20">
        <f>Registro[[#This Row],[Mes 1]]+Registro[[#This Row],[Mes 2]]+Registro[[#This Row],[Mes 3]]</f>
        <v>0</v>
      </c>
      <c r="U87" s="20">
        <f>Registro[[#This Row],[Mes 4]]+Registro[[#This Row],[Mes 5]]+Registro[[#This Row],[Mes 6]]</f>
        <v>0</v>
      </c>
      <c r="V87" s="20">
        <f>Registro[[#This Row],[Mes 7]]+Registro[[#This Row],[Mes 8]]+Registro[[#This Row],[Mes 9]]</f>
        <v>0</v>
      </c>
      <c r="W87" s="20">
        <f>Registro[[#This Row],[Mes 10]]+Registro[[#This Row],[Mes 11]]+Registro[[#This Row],[Mes 12]]</f>
        <v>0</v>
      </c>
      <c r="X87" s="20">
        <f>SUM(Registro[[#This Row],[Trim I]],Registro[[#This Row],[Trim II]],Registro[[#This Row],[Trim III]],Registro[[#This Row],[Trim IV]])</f>
        <v>0</v>
      </c>
      <c r="Y87" s="22">
        <f>IFERROR((Registro[[#This Row],[Avance Total]]/Registro[[#This Row],[Meta]]),0)</f>
        <v>0</v>
      </c>
      <c r="Z87" s="22">
        <f>IFERROR((Registro[[#This Row],[Avance Total]]-Registro[[#This Row],[Línea Base 2025]])/Registro[[#This Row],[Línea Base 2025]],0)</f>
        <v>0</v>
      </c>
      <c r="AA87" s="20"/>
    </row>
    <row r="88" spans="1:27" hidden="1">
      <c r="A88" s="14">
        <v>1007</v>
      </c>
      <c r="B88" s="15" t="s">
        <v>13</v>
      </c>
      <c r="C88" s="16">
        <v>119</v>
      </c>
      <c r="D88" s="16" t="s">
        <v>190</v>
      </c>
      <c r="E88" s="17" t="s">
        <v>189</v>
      </c>
      <c r="F88" s="24">
        <v>0</v>
      </c>
      <c r="G88" s="24">
        <v>1.4720000000000002</v>
      </c>
      <c r="H88" s="19">
        <v>0</v>
      </c>
      <c r="I88" s="19">
        <v>0</v>
      </c>
      <c r="T88" s="20">
        <f>Registro[[#This Row],[Mes 1]]+Registro[[#This Row],[Mes 2]]+Registro[[#This Row],[Mes 3]]</f>
        <v>0</v>
      </c>
      <c r="U88" s="20">
        <f>Registro[[#This Row],[Mes 4]]+Registro[[#This Row],[Mes 5]]+Registro[[#This Row],[Mes 6]]</f>
        <v>0</v>
      </c>
      <c r="V88" s="20">
        <f>Registro[[#This Row],[Mes 7]]+Registro[[#This Row],[Mes 8]]+Registro[[#This Row],[Mes 9]]</f>
        <v>0</v>
      </c>
      <c r="W88" s="20">
        <f>Registro[[#This Row],[Mes 10]]+Registro[[#This Row],[Mes 11]]+Registro[[#This Row],[Mes 12]]</f>
        <v>0</v>
      </c>
      <c r="X88" s="20">
        <f>SUM(Registro[[#This Row],[Trim I]],Registro[[#This Row],[Trim II]],Registro[[#This Row],[Trim III]],Registro[[#This Row],[Trim IV]])</f>
        <v>0</v>
      </c>
      <c r="Y88" s="22">
        <f>IFERROR((Registro[[#This Row],[Avance Total]]/Registro[[#This Row],[Meta]]),0)</f>
        <v>0</v>
      </c>
      <c r="Z88" s="22">
        <f>IFERROR((Registro[[#This Row],[Avance Total]]-Registro[[#This Row],[Línea Base 2025]])/Registro[[#This Row],[Línea Base 2025]],0)</f>
        <v>0</v>
      </c>
      <c r="AA88" s="20"/>
    </row>
    <row r="89" spans="1:27" hidden="1">
      <c r="A89" s="14">
        <v>1007</v>
      </c>
      <c r="B89" s="15" t="s">
        <v>13</v>
      </c>
      <c r="C89" s="16">
        <v>120</v>
      </c>
      <c r="D89" s="16" t="s">
        <v>192</v>
      </c>
      <c r="E89" s="17" t="s">
        <v>191</v>
      </c>
      <c r="F89" s="24">
        <v>0</v>
      </c>
      <c r="G89" s="24">
        <v>0</v>
      </c>
      <c r="H89" s="19">
        <v>0</v>
      </c>
      <c r="I89" s="19">
        <v>0</v>
      </c>
      <c r="T89" s="20">
        <f>Registro[[#This Row],[Mes 1]]+Registro[[#This Row],[Mes 2]]+Registro[[#This Row],[Mes 3]]</f>
        <v>0</v>
      </c>
      <c r="U89" s="20">
        <f>Registro[[#This Row],[Mes 4]]+Registro[[#This Row],[Mes 5]]+Registro[[#This Row],[Mes 6]]</f>
        <v>0</v>
      </c>
      <c r="V89" s="20">
        <f>Registro[[#This Row],[Mes 7]]+Registro[[#This Row],[Mes 8]]+Registro[[#This Row],[Mes 9]]</f>
        <v>0</v>
      </c>
      <c r="W89" s="20">
        <f>Registro[[#This Row],[Mes 10]]+Registro[[#This Row],[Mes 11]]+Registro[[#This Row],[Mes 12]]</f>
        <v>0</v>
      </c>
      <c r="X89" s="20">
        <f>SUM(Registro[[#This Row],[Trim I]],Registro[[#This Row],[Trim II]],Registro[[#This Row],[Trim III]],Registro[[#This Row],[Trim IV]])</f>
        <v>0</v>
      </c>
      <c r="Y89" s="22">
        <f>IFERROR((Registro[[#This Row],[Avance Total]]/Registro[[#This Row],[Meta]]),0)</f>
        <v>0</v>
      </c>
      <c r="Z89" s="22">
        <f>IFERROR((Registro[[#This Row],[Avance Total]]-Registro[[#This Row],[Línea Base 2025]])/Registro[[#This Row],[Línea Base 2025]],0)</f>
        <v>0</v>
      </c>
      <c r="AA89" s="20"/>
    </row>
    <row r="90" spans="1:27" hidden="1">
      <c r="A90" s="14">
        <v>1007</v>
      </c>
      <c r="B90" s="15" t="s">
        <v>13</v>
      </c>
      <c r="C90" s="16">
        <v>121</v>
      </c>
      <c r="D90" s="16" t="s">
        <v>194</v>
      </c>
      <c r="E90" s="17" t="s">
        <v>193</v>
      </c>
      <c r="F90" s="24">
        <v>0</v>
      </c>
      <c r="G90" s="24">
        <v>0</v>
      </c>
      <c r="H90" s="19">
        <v>0</v>
      </c>
      <c r="I90" s="19">
        <v>0</v>
      </c>
      <c r="T90" s="20">
        <f>Registro[[#This Row],[Mes 1]]+Registro[[#This Row],[Mes 2]]+Registro[[#This Row],[Mes 3]]</f>
        <v>0</v>
      </c>
      <c r="U90" s="20">
        <f>Registro[[#This Row],[Mes 4]]+Registro[[#This Row],[Mes 5]]+Registro[[#This Row],[Mes 6]]</f>
        <v>0</v>
      </c>
      <c r="V90" s="20">
        <f>Registro[[#This Row],[Mes 7]]+Registro[[#This Row],[Mes 8]]+Registro[[#This Row],[Mes 9]]</f>
        <v>0</v>
      </c>
      <c r="W90" s="20">
        <f>Registro[[#This Row],[Mes 10]]+Registro[[#This Row],[Mes 11]]+Registro[[#This Row],[Mes 12]]</f>
        <v>0</v>
      </c>
      <c r="X90" s="20">
        <f>SUM(Registro[[#This Row],[Trim I]],Registro[[#This Row],[Trim II]],Registro[[#This Row],[Trim III]],Registro[[#This Row],[Trim IV]])</f>
        <v>0</v>
      </c>
      <c r="Y90" s="22">
        <f>IFERROR((Registro[[#This Row],[Avance Total]]/Registro[[#This Row],[Meta]]),0)</f>
        <v>0</v>
      </c>
      <c r="Z90" s="22">
        <f>IFERROR((Registro[[#This Row],[Avance Total]]-Registro[[#This Row],[Línea Base 2025]])/Registro[[#This Row],[Línea Base 2025]],0)</f>
        <v>0</v>
      </c>
      <c r="AA90" s="20"/>
    </row>
    <row r="91" spans="1:27" hidden="1">
      <c r="A91" s="14">
        <v>1007</v>
      </c>
      <c r="B91" s="15" t="s">
        <v>13</v>
      </c>
      <c r="C91" s="16">
        <v>122</v>
      </c>
      <c r="D91" s="16" t="s">
        <v>196</v>
      </c>
      <c r="E91" s="17" t="s">
        <v>195</v>
      </c>
      <c r="F91" s="24">
        <v>0</v>
      </c>
      <c r="G91" s="24">
        <v>0</v>
      </c>
      <c r="H91" s="19">
        <v>0</v>
      </c>
      <c r="I91" s="19">
        <v>0</v>
      </c>
      <c r="T91" s="20">
        <f>Registro[[#This Row],[Mes 1]]+Registro[[#This Row],[Mes 2]]+Registro[[#This Row],[Mes 3]]</f>
        <v>0</v>
      </c>
      <c r="U91" s="20">
        <f>Registro[[#This Row],[Mes 4]]+Registro[[#This Row],[Mes 5]]+Registro[[#This Row],[Mes 6]]</f>
        <v>0</v>
      </c>
      <c r="V91" s="20">
        <f>Registro[[#This Row],[Mes 7]]+Registro[[#This Row],[Mes 8]]+Registro[[#This Row],[Mes 9]]</f>
        <v>0</v>
      </c>
      <c r="W91" s="20">
        <f>Registro[[#This Row],[Mes 10]]+Registro[[#This Row],[Mes 11]]+Registro[[#This Row],[Mes 12]]</f>
        <v>0</v>
      </c>
      <c r="X91" s="20">
        <f>SUM(Registro[[#This Row],[Trim I]],Registro[[#This Row],[Trim II]],Registro[[#This Row],[Trim III]],Registro[[#This Row],[Trim IV]])</f>
        <v>0</v>
      </c>
      <c r="Y91" s="22">
        <f>IFERROR((Registro[[#This Row],[Avance Total]]/Registro[[#This Row],[Meta]]),0)</f>
        <v>0</v>
      </c>
      <c r="Z91" s="22">
        <f>IFERROR((Registro[[#This Row],[Avance Total]]-Registro[[#This Row],[Línea Base 2025]])/Registro[[#This Row],[Línea Base 2025]],0)</f>
        <v>0</v>
      </c>
      <c r="AA91" s="20"/>
    </row>
    <row r="92" spans="1:27" hidden="1">
      <c r="A92" s="14">
        <v>1007</v>
      </c>
      <c r="B92" s="15" t="s">
        <v>13</v>
      </c>
      <c r="C92" s="16">
        <v>123</v>
      </c>
      <c r="D92" s="16" t="s">
        <v>198</v>
      </c>
      <c r="E92" s="17" t="s">
        <v>197</v>
      </c>
      <c r="F92" s="24">
        <v>0</v>
      </c>
      <c r="G92" s="24">
        <v>0</v>
      </c>
      <c r="H92" s="19">
        <v>0</v>
      </c>
      <c r="I92" s="19">
        <v>0</v>
      </c>
      <c r="T92" s="20">
        <f>Registro[[#This Row],[Mes 1]]+Registro[[#This Row],[Mes 2]]+Registro[[#This Row],[Mes 3]]</f>
        <v>0</v>
      </c>
      <c r="U92" s="20">
        <f>Registro[[#This Row],[Mes 4]]+Registro[[#This Row],[Mes 5]]+Registro[[#This Row],[Mes 6]]</f>
        <v>0</v>
      </c>
      <c r="V92" s="20">
        <f>Registro[[#This Row],[Mes 7]]+Registro[[#This Row],[Mes 8]]+Registro[[#This Row],[Mes 9]]</f>
        <v>0</v>
      </c>
      <c r="W92" s="20">
        <f>Registro[[#This Row],[Mes 10]]+Registro[[#This Row],[Mes 11]]+Registro[[#This Row],[Mes 12]]</f>
        <v>0</v>
      </c>
      <c r="X92" s="20">
        <f>SUM(Registro[[#This Row],[Trim I]],Registro[[#This Row],[Trim II]],Registro[[#This Row],[Trim III]],Registro[[#This Row],[Trim IV]])</f>
        <v>0</v>
      </c>
      <c r="Y92" s="22">
        <f>IFERROR((Registro[[#This Row],[Avance Total]]/Registro[[#This Row],[Meta]]),0)</f>
        <v>0</v>
      </c>
      <c r="Z92" s="22">
        <f>IFERROR((Registro[[#This Row],[Avance Total]]-Registro[[#This Row],[Línea Base 2025]])/Registro[[#This Row],[Línea Base 2025]],0)</f>
        <v>0</v>
      </c>
      <c r="AA92" s="20"/>
    </row>
    <row r="93" spans="1:27" hidden="1">
      <c r="A93" s="14">
        <v>1008</v>
      </c>
      <c r="B93" s="15" t="s">
        <v>52</v>
      </c>
      <c r="C93" s="16">
        <v>111</v>
      </c>
      <c r="D93" s="16" t="s">
        <v>171</v>
      </c>
      <c r="E93" s="17" t="s">
        <v>172</v>
      </c>
      <c r="F93" s="24">
        <v>56</v>
      </c>
      <c r="G93" s="24">
        <v>708</v>
      </c>
      <c r="H93" s="19">
        <v>6</v>
      </c>
      <c r="I93" s="19">
        <v>12</v>
      </c>
      <c r="T93" s="19">
        <f>Registro[[#This Row],[Mes 1]]+Registro[[#This Row],[Mes 2]]+Registro[[#This Row],[Mes 3]]</f>
        <v>18</v>
      </c>
      <c r="U93" s="19">
        <f>Registro[[#This Row],[Mes 4]]+Registro[[#This Row],[Mes 5]]+Registro[[#This Row],[Mes 6]]</f>
        <v>0</v>
      </c>
      <c r="V93" s="19">
        <f>Registro[[#This Row],[Mes 7]]+Registro[[#This Row],[Mes 8]]+Registro[[#This Row],[Mes 9]]</f>
        <v>0</v>
      </c>
      <c r="W93" s="20">
        <f>Registro[[#This Row],[Mes 10]]+Registro[[#This Row],[Mes 11]]+Registro[[#This Row],[Mes 12]]</f>
        <v>0</v>
      </c>
      <c r="X93" s="20">
        <f>SUM(Registro[[#This Row],[Trim I]],Registro[[#This Row],[Trim II]],Registro[[#This Row],[Trim III]],Registro[[#This Row],[Trim IV]])</f>
        <v>18</v>
      </c>
      <c r="Y93" s="22">
        <f>IFERROR((Registro[[#This Row],[Avance Total]]/Registro[[#This Row],[Meta]]),0)</f>
        <v>2.5423728813559324E-2</v>
      </c>
      <c r="Z93" s="22">
        <f>IFERROR((Registro[[#This Row],[Avance Total]]-Registro[[#This Row],[Línea Base 2025]])/Registro[[#This Row],[Línea Base 2025]],0)</f>
        <v>-0.6785714285714286</v>
      </c>
      <c r="AA93" s="20">
        <v>2026</v>
      </c>
    </row>
    <row r="94" spans="1:27" hidden="1">
      <c r="A94" s="14">
        <v>1008</v>
      </c>
      <c r="B94" s="15" t="s">
        <v>52</v>
      </c>
      <c r="C94" s="16">
        <v>112</v>
      </c>
      <c r="D94" s="16" t="s">
        <v>173</v>
      </c>
      <c r="E94" s="17" t="s">
        <v>7</v>
      </c>
      <c r="F94" s="24">
        <v>27</v>
      </c>
      <c r="G94" s="24">
        <v>60</v>
      </c>
      <c r="H94" s="19">
        <v>0</v>
      </c>
      <c r="I94" s="19">
        <v>0</v>
      </c>
      <c r="T94" s="19">
        <f>Registro[[#This Row],[Mes 1]]+Registro[[#This Row],[Mes 2]]+Registro[[#This Row],[Mes 3]]</f>
        <v>0</v>
      </c>
      <c r="U94" s="19">
        <f>Registro[[#This Row],[Mes 4]]+Registro[[#This Row],[Mes 5]]+Registro[[#This Row],[Mes 6]]</f>
        <v>0</v>
      </c>
      <c r="V94" s="19">
        <f>Registro[[#This Row],[Mes 7]]+Registro[[#This Row],[Mes 8]]+Registro[[#This Row],[Mes 9]]</f>
        <v>0</v>
      </c>
      <c r="W94" s="20">
        <f>Registro[[#This Row],[Mes 10]]+Registro[[#This Row],[Mes 11]]+Registro[[#This Row],[Mes 12]]</f>
        <v>0</v>
      </c>
      <c r="X94" s="20">
        <f>SUM(Registro[[#This Row],[Trim I]],Registro[[#This Row],[Trim II]],Registro[[#This Row],[Trim III]],Registro[[#This Row],[Trim IV]])</f>
        <v>0</v>
      </c>
      <c r="Y94" s="22">
        <f>IFERROR((Registro[[#This Row],[Avance Total]]/Registro[[#This Row],[Meta]]),0)</f>
        <v>0</v>
      </c>
      <c r="Z94" s="22">
        <f>IFERROR((Registro[[#This Row],[Avance Total]]-Registro[[#This Row],[Línea Base 2025]])/Registro[[#This Row],[Línea Base 2025]],0)</f>
        <v>-1</v>
      </c>
      <c r="AA94" s="20">
        <v>2026</v>
      </c>
    </row>
    <row r="95" spans="1:27" hidden="1">
      <c r="A95" s="14">
        <v>1008</v>
      </c>
      <c r="B95" s="15" t="s">
        <v>52</v>
      </c>
      <c r="C95" s="16">
        <v>113</v>
      </c>
      <c r="D95" s="16" t="s">
        <v>179</v>
      </c>
      <c r="E95" s="17" t="s">
        <v>178</v>
      </c>
      <c r="F95" s="24">
        <v>61</v>
      </c>
      <c r="G95" s="24">
        <v>652</v>
      </c>
      <c r="H95" s="19">
        <v>0</v>
      </c>
      <c r="I95" s="19">
        <v>2</v>
      </c>
      <c r="T95" s="19">
        <f>Registro[[#This Row],[Mes 1]]+Registro[[#This Row],[Mes 2]]+Registro[[#This Row],[Mes 3]]</f>
        <v>2</v>
      </c>
      <c r="U95" s="19">
        <f>Registro[[#This Row],[Mes 4]]+Registro[[#This Row],[Mes 5]]+Registro[[#This Row],[Mes 6]]</f>
        <v>0</v>
      </c>
      <c r="V95" s="19">
        <f>Registro[[#This Row],[Mes 7]]+Registro[[#This Row],[Mes 8]]+Registro[[#This Row],[Mes 9]]</f>
        <v>0</v>
      </c>
      <c r="W95" s="20">
        <f>Registro[[#This Row],[Mes 10]]+Registro[[#This Row],[Mes 11]]+Registro[[#This Row],[Mes 12]]</f>
        <v>0</v>
      </c>
      <c r="X95" s="20">
        <f>SUM(Registro[[#This Row],[Trim I]],Registro[[#This Row],[Trim II]],Registro[[#This Row],[Trim III]],Registro[[#This Row],[Trim IV]])</f>
        <v>2</v>
      </c>
      <c r="Y95" s="22">
        <f>IFERROR((Registro[[#This Row],[Avance Total]]/Registro[[#This Row],[Meta]]),0)</f>
        <v>3.0674846625766872E-3</v>
      </c>
      <c r="Z95" s="22">
        <f>IFERROR((Registro[[#This Row],[Avance Total]]-Registro[[#This Row],[Línea Base 2025]])/Registro[[#This Row],[Línea Base 2025]],0)</f>
        <v>-0.96721311475409832</v>
      </c>
      <c r="AA95" s="20">
        <v>2026</v>
      </c>
    </row>
    <row r="96" spans="1:27" hidden="1">
      <c r="A96" s="14">
        <v>1008</v>
      </c>
      <c r="B96" s="15" t="s">
        <v>52</v>
      </c>
      <c r="C96" s="16">
        <v>114</v>
      </c>
      <c r="D96" s="16" t="s">
        <v>181</v>
      </c>
      <c r="E96" s="17" t="s">
        <v>180</v>
      </c>
      <c r="F96" s="24">
        <v>0</v>
      </c>
      <c r="G96" s="24">
        <v>40.949999999999996</v>
      </c>
      <c r="H96" s="19">
        <v>0</v>
      </c>
      <c r="I96" s="19">
        <v>1</v>
      </c>
      <c r="T96" s="19">
        <f>Registro[[#This Row],[Mes 1]]+Registro[[#This Row],[Mes 2]]+Registro[[#This Row],[Mes 3]]</f>
        <v>1</v>
      </c>
      <c r="U96" s="19">
        <f>Registro[[#This Row],[Mes 4]]+Registro[[#This Row],[Mes 5]]+Registro[[#This Row],[Mes 6]]</f>
        <v>0</v>
      </c>
      <c r="V96" s="19">
        <f>Registro[[#This Row],[Mes 7]]+Registro[[#This Row],[Mes 8]]+Registro[[#This Row],[Mes 9]]</f>
        <v>0</v>
      </c>
      <c r="W96" s="20">
        <f>Registro[[#This Row],[Mes 10]]+Registro[[#This Row],[Mes 11]]+Registro[[#This Row],[Mes 12]]</f>
        <v>0</v>
      </c>
      <c r="X96" s="20">
        <f>SUM(Registro[[#This Row],[Trim I]],Registro[[#This Row],[Trim II]],Registro[[#This Row],[Trim III]],Registro[[#This Row],[Trim IV]])</f>
        <v>1</v>
      </c>
      <c r="Y96" s="22">
        <f>IFERROR((Registro[[#This Row],[Avance Total]]/Registro[[#This Row],[Meta]]),0)</f>
        <v>2.4420024420024423E-2</v>
      </c>
      <c r="Z96" s="22">
        <f>IFERROR((Registro[[#This Row],[Avance Total]]-Registro[[#This Row],[Línea Base 2025]])/Registro[[#This Row],[Línea Base 2025]],0)</f>
        <v>0</v>
      </c>
      <c r="AA96" s="20">
        <v>2026</v>
      </c>
    </row>
    <row r="97" spans="1:27" hidden="1">
      <c r="A97" s="14">
        <v>1008</v>
      </c>
      <c r="B97" s="15" t="s">
        <v>52</v>
      </c>
      <c r="C97" s="16">
        <v>115</v>
      </c>
      <c r="D97" s="16" t="s">
        <v>183</v>
      </c>
      <c r="E97" s="17" t="s">
        <v>182</v>
      </c>
      <c r="F97" s="24">
        <v>16</v>
      </c>
      <c r="G97" s="24">
        <v>36.854999999999997</v>
      </c>
      <c r="H97" s="19">
        <v>1</v>
      </c>
      <c r="I97" s="19">
        <v>0</v>
      </c>
      <c r="T97" s="19">
        <f>Registro[[#This Row],[Mes 1]]+Registro[[#This Row],[Mes 2]]+Registro[[#This Row],[Mes 3]]</f>
        <v>1</v>
      </c>
      <c r="U97" s="19">
        <f>Registro[[#This Row],[Mes 4]]+Registro[[#This Row],[Mes 5]]+Registro[[#This Row],[Mes 6]]</f>
        <v>0</v>
      </c>
      <c r="V97" s="19">
        <f>Registro[[#This Row],[Mes 7]]+Registro[[#This Row],[Mes 8]]+Registro[[#This Row],[Mes 9]]</f>
        <v>0</v>
      </c>
      <c r="W97" s="20">
        <f>Registro[[#This Row],[Mes 10]]+Registro[[#This Row],[Mes 11]]+Registro[[#This Row],[Mes 12]]</f>
        <v>0</v>
      </c>
      <c r="X97" s="20">
        <f>SUM(Registro[[#This Row],[Trim I]],Registro[[#This Row],[Trim II]],Registro[[#This Row],[Trim III]],Registro[[#This Row],[Trim IV]])</f>
        <v>1</v>
      </c>
      <c r="Y97" s="22">
        <f>IFERROR((Registro[[#This Row],[Avance Total]]/Registro[[#This Row],[Meta]]),0)</f>
        <v>2.7133360466693804E-2</v>
      </c>
      <c r="Z97" s="22">
        <f>IFERROR((Registro[[#This Row],[Avance Total]]-Registro[[#This Row],[Línea Base 2025]])/Registro[[#This Row],[Línea Base 2025]],0)</f>
        <v>-0.9375</v>
      </c>
      <c r="AA97" s="20">
        <v>2026</v>
      </c>
    </row>
    <row r="98" spans="1:27">
      <c r="A98" s="14">
        <v>1008</v>
      </c>
      <c r="B98" s="15" t="s">
        <v>52</v>
      </c>
      <c r="C98" s="16">
        <v>116</v>
      </c>
      <c r="D98" s="16" t="s">
        <v>185</v>
      </c>
      <c r="E98" s="17" t="s">
        <v>184</v>
      </c>
      <c r="F98" s="24">
        <v>3</v>
      </c>
      <c r="G98" s="24">
        <v>11.040000000000001</v>
      </c>
      <c r="H98" s="19">
        <v>0</v>
      </c>
      <c r="I98" s="19">
        <v>0</v>
      </c>
      <c r="T98" s="19">
        <f>Registro[[#This Row],[Mes 1]]+Registro[[#This Row],[Mes 2]]+Registro[[#This Row],[Mes 3]]</f>
        <v>0</v>
      </c>
      <c r="U98" s="19">
        <f>Registro[[#This Row],[Mes 4]]+Registro[[#This Row],[Mes 5]]+Registro[[#This Row],[Mes 6]]</f>
        <v>0</v>
      </c>
      <c r="V98" s="19">
        <f>Registro[[#This Row],[Mes 7]]+Registro[[#This Row],[Mes 8]]+Registro[[#This Row],[Mes 9]]</f>
        <v>0</v>
      </c>
      <c r="W98" s="20">
        <f>Registro[[#This Row],[Mes 10]]+Registro[[#This Row],[Mes 11]]+Registro[[#This Row],[Mes 12]]</f>
        <v>0</v>
      </c>
      <c r="X98" s="20">
        <f>SUM(Registro[[#This Row],[Trim I]],Registro[[#This Row],[Trim II]],Registro[[#This Row],[Trim III]],Registro[[#This Row],[Trim IV]])</f>
        <v>0</v>
      </c>
      <c r="Y98" s="22">
        <f>IFERROR((Registro[[#This Row],[Avance Total]]/Registro[[#This Row],[Meta]]),0)</f>
        <v>0</v>
      </c>
      <c r="Z98" s="22">
        <f>IFERROR((Registro[[#This Row],[Avance Total]]-Registro[[#This Row],[Línea Base 2025]])/Registro[[#This Row],[Línea Base 2025]],0)</f>
        <v>-1</v>
      </c>
      <c r="AA98" s="20">
        <v>2026</v>
      </c>
    </row>
    <row r="99" spans="1:27" hidden="1">
      <c r="A99" s="14">
        <v>1008</v>
      </c>
      <c r="B99" s="15" t="s">
        <v>52</v>
      </c>
      <c r="C99" s="16">
        <v>117</v>
      </c>
      <c r="D99" s="16" t="s">
        <v>187</v>
      </c>
      <c r="E99" s="17" t="s">
        <v>186</v>
      </c>
      <c r="F99" s="24">
        <v>2</v>
      </c>
      <c r="G99" s="24">
        <v>8.1199999999999992</v>
      </c>
      <c r="H99" s="19">
        <v>1</v>
      </c>
      <c r="I99" s="19">
        <v>0</v>
      </c>
      <c r="T99" s="19">
        <f>Registro[[#This Row],[Mes 1]]+Registro[[#This Row],[Mes 2]]+Registro[[#This Row],[Mes 3]]</f>
        <v>1</v>
      </c>
      <c r="U99" s="19">
        <f>Registro[[#This Row],[Mes 4]]+Registro[[#This Row],[Mes 5]]+Registro[[#This Row],[Mes 6]]</f>
        <v>0</v>
      </c>
      <c r="V99" s="19">
        <f>Registro[[#This Row],[Mes 7]]+Registro[[#This Row],[Mes 8]]+Registro[[#This Row],[Mes 9]]</f>
        <v>0</v>
      </c>
      <c r="W99" s="20">
        <f>Registro[[#This Row],[Mes 10]]+Registro[[#This Row],[Mes 11]]+Registro[[#This Row],[Mes 12]]</f>
        <v>0</v>
      </c>
      <c r="X99" s="20">
        <f>SUM(Registro[[#This Row],[Trim I]],Registro[[#This Row],[Trim II]],Registro[[#This Row],[Trim III]],Registro[[#This Row],[Trim IV]])</f>
        <v>1</v>
      </c>
      <c r="Y99" s="22">
        <f>IFERROR((Registro[[#This Row],[Avance Total]]/Registro[[#This Row],[Meta]]),0)</f>
        <v>0.12315270935960593</v>
      </c>
      <c r="Z99" s="22">
        <f>IFERROR((Registro[[#This Row],[Avance Total]]-Registro[[#This Row],[Línea Base 2025]])/Registro[[#This Row],[Línea Base 2025]],0)</f>
        <v>-0.5</v>
      </c>
      <c r="AA99" s="20">
        <v>2026</v>
      </c>
    </row>
    <row r="100" spans="1:27" hidden="1">
      <c r="A100" s="14">
        <v>1008</v>
      </c>
      <c r="B100" s="15" t="s">
        <v>52</v>
      </c>
      <c r="C100" s="16">
        <v>118</v>
      </c>
      <c r="D100" s="16" t="s">
        <v>188</v>
      </c>
      <c r="E100" s="17" t="s">
        <v>9</v>
      </c>
      <c r="F100" s="24">
        <v>0</v>
      </c>
      <c r="G100" s="24">
        <v>6</v>
      </c>
      <c r="H100" s="19">
        <v>0</v>
      </c>
      <c r="I100" s="19">
        <v>0</v>
      </c>
      <c r="T100" s="19">
        <f>Registro[[#This Row],[Mes 1]]+Registro[[#This Row],[Mes 2]]+Registro[[#This Row],[Mes 3]]</f>
        <v>0</v>
      </c>
      <c r="U100" s="19">
        <f>Registro[[#This Row],[Mes 4]]+Registro[[#This Row],[Mes 5]]+Registro[[#This Row],[Mes 6]]</f>
        <v>0</v>
      </c>
      <c r="V100" s="19">
        <f>Registro[[#This Row],[Mes 7]]+Registro[[#This Row],[Mes 8]]+Registro[[#This Row],[Mes 9]]</f>
        <v>0</v>
      </c>
      <c r="W100" s="20">
        <f>Registro[[#This Row],[Mes 10]]+Registro[[#This Row],[Mes 11]]+Registro[[#This Row],[Mes 12]]</f>
        <v>0</v>
      </c>
      <c r="X100" s="20">
        <f>SUM(Registro[[#This Row],[Trim I]],Registro[[#This Row],[Trim II]],Registro[[#This Row],[Trim III]],Registro[[#This Row],[Trim IV]])</f>
        <v>0</v>
      </c>
      <c r="Y100" s="22">
        <f>IFERROR((Registro[[#This Row],[Avance Total]]/Registro[[#This Row],[Meta]]),0)</f>
        <v>0</v>
      </c>
      <c r="Z100" s="22">
        <f>IFERROR((Registro[[#This Row],[Avance Total]]-Registro[[#This Row],[Línea Base 2025]])/Registro[[#This Row],[Línea Base 2025]],0)</f>
        <v>0</v>
      </c>
      <c r="AA100" s="20">
        <v>2026</v>
      </c>
    </row>
    <row r="101" spans="1:27" hidden="1">
      <c r="A101" s="14">
        <v>1008</v>
      </c>
      <c r="B101" s="15" t="s">
        <v>52</v>
      </c>
      <c r="C101" s="16">
        <v>119</v>
      </c>
      <c r="D101" s="16" t="s">
        <v>190</v>
      </c>
      <c r="E101" s="17" t="s">
        <v>189</v>
      </c>
      <c r="F101" s="24">
        <v>0</v>
      </c>
      <c r="G101" s="24">
        <v>8.8320000000000007</v>
      </c>
      <c r="H101" s="19">
        <v>0</v>
      </c>
      <c r="I101" s="19">
        <v>0</v>
      </c>
      <c r="T101" s="19">
        <f>Registro[[#This Row],[Mes 1]]+Registro[[#This Row],[Mes 2]]+Registro[[#This Row],[Mes 3]]</f>
        <v>0</v>
      </c>
      <c r="U101" s="19">
        <f>Registro[[#This Row],[Mes 4]]+Registro[[#This Row],[Mes 5]]+Registro[[#This Row],[Mes 6]]</f>
        <v>0</v>
      </c>
      <c r="V101" s="19">
        <f>Registro[[#This Row],[Mes 7]]+Registro[[#This Row],[Mes 8]]+Registro[[#This Row],[Mes 9]]</f>
        <v>0</v>
      </c>
      <c r="W101" s="20">
        <f>Registro[[#This Row],[Mes 10]]+Registro[[#This Row],[Mes 11]]+Registro[[#This Row],[Mes 12]]</f>
        <v>0</v>
      </c>
      <c r="X101" s="20">
        <f>SUM(Registro[[#This Row],[Trim I]],Registro[[#This Row],[Trim II]],Registro[[#This Row],[Trim III]],Registro[[#This Row],[Trim IV]])</f>
        <v>0</v>
      </c>
      <c r="Y101" s="22">
        <f>IFERROR((Registro[[#This Row],[Avance Total]]/Registro[[#This Row],[Meta]]),0)</f>
        <v>0</v>
      </c>
      <c r="Z101" s="22">
        <f>IFERROR((Registro[[#This Row],[Avance Total]]-Registro[[#This Row],[Línea Base 2025]])/Registro[[#This Row],[Línea Base 2025]],0)</f>
        <v>0</v>
      </c>
      <c r="AA101" s="20">
        <v>2026</v>
      </c>
    </row>
    <row r="102" spans="1:27" hidden="1">
      <c r="A102" s="14">
        <v>1008</v>
      </c>
      <c r="B102" s="15" t="s">
        <v>52</v>
      </c>
      <c r="C102" s="16">
        <v>120</v>
      </c>
      <c r="D102" s="16" t="s">
        <v>192</v>
      </c>
      <c r="E102" s="17" t="s">
        <v>191</v>
      </c>
      <c r="F102" s="24">
        <v>47</v>
      </c>
      <c r="G102" s="24">
        <v>60</v>
      </c>
      <c r="H102" s="19">
        <v>0</v>
      </c>
      <c r="I102" s="19">
        <v>16</v>
      </c>
      <c r="T102" s="19">
        <f>Registro[[#This Row],[Mes 1]]+Registro[[#This Row],[Mes 2]]+Registro[[#This Row],[Mes 3]]</f>
        <v>16</v>
      </c>
      <c r="U102" s="19">
        <f>Registro[[#This Row],[Mes 4]]+Registro[[#This Row],[Mes 5]]+Registro[[#This Row],[Mes 6]]</f>
        <v>0</v>
      </c>
      <c r="V102" s="19">
        <f>Registro[[#This Row],[Mes 7]]+Registro[[#This Row],[Mes 8]]+Registro[[#This Row],[Mes 9]]</f>
        <v>0</v>
      </c>
      <c r="W102" s="20">
        <f>Registro[[#This Row],[Mes 10]]+Registro[[#This Row],[Mes 11]]+Registro[[#This Row],[Mes 12]]</f>
        <v>0</v>
      </c>
      <c r="X102" s="20">
        <f>SUM(Registro[[#This Row],[Trim I]],Registro[[#This Row],[Trim II]],Registro[[#This Row],[Trim III]],Registro[[#This Row],[Trim IV]])</f>
        <v>16</v>
      </c>
      <c r="Y102" s="22">
        <f>IFERROR((Registro[[#This Row],[Avance Total]]/Registro[[#This Row],[Meta]]),0)</f>
        <v>0.26666666666666666</v>
      </c>
      <c r="Z102" s="22">
        <f>IFERROR((Registro[[#This Row],[Avance Total]]-Registro[[#This Row],[Línea Base 2025]])/Registro[[#This Row],[Línea Base 2025]],0)</f>
        <v>-0.65957446808510634</v>
      </c>
      <c r="AA102" s="20">
        <v>2026</v>
      </c>
    </row>
    <row r="103" spans="1:27" hidden="1">
      <c r="A103" s="14">
        <v>1008</v>
      </c>
      <c r="B103" s="15" t="s">
        <v>52</v>
      </c>
      <c r="C103" s="16">
        <v>121</v>
      </c>
      <c r="D103" s="16" t="s">
        <v>194</v>
      </c>
      <c r="E103" s="17" t="s">
        <v>193</v>
      </c>
      <c r="F103" s="24">
        <v>6</v>
      </c>
      <c r="G103" s="24">
        <v>8</v>
      </c>
      <c r="H103" s="19">
        <v>0</v>
      </c>
      <c r="I103" s="19">
        <v>0</v>
      </c>
      <c r="T103" s="19">
        <f>Registro[[#This Row],[Mes 1]]+Registro[[#This Row],[Mes 2]]+Registro[[#This Row],[Mes 3]]</f>
        <v>0</v>
      </c>
      <c r="U103" s="19">
        <f>Registro[[#This Row],[Mes 4]]+Registro[[#This Row],[Mes 5]]+Registro[[#This Row],[Mes 6]]</f>
        <v>0</v>
      </c>
      <c r="V103" s="19">
        <f>Registro[[#This Row],[Mes 7]]+Registro[[#This Row],[Mes 8]]+Registro[[#This Row],[Mes 9]]</f>
        <v>0</v>
      </c>
      <c r="W103" s="20">
        <f>Registro[[#This Row],[Mes 10]]+Registro[[#This Row],[Mes 11]]+Registro[[#This Row],[Mes 12]]</f>
        <v>0</v>
      </c>
      <c r="X103" s="20">
        <f>SUM(Registro[[#This Row],[Trim I]],Registro[[#This Row],[Trim II]],Registro[[#This Row],[Trim III]],Registro[[#This Row],[Trim IV]])</f>
        <v>0</v>
      </c>
      <c r="Y103" s="22">
        <f>IFERROR((Registro[[#This Row],[Avance Total]]/Registro[[#This Row],[Meta]]),0)</f>
        <v>0</v>
      </c>
      <c r="Z103" s="22">
        <f>IFERROR((Registro[[#This Row],[Avance Total]]-Registro[[#This Row],[Línea Base 2025]])/Registro[[#This Row],[Línea Base 2025]],0)</f>
        <v>-1</v>
      </c>
      <c r="AA103" s="20">
        <v>2026</v>
      </c>
    </row>
    <row r="104" spans="1:27" hidden="1">
      <c r="A104" s="14">
        <v>1008</v>
      </c>
      <c r="B104" s="15" t="s">
        <v>52</v>
      </c>
      <c r="C104" s="16">
        <v>122</v>
      </c>
      <c r="D104" s="16" t="s">
        <v>196</v>
      </c>
      <c r="E104" s="17" t="s">
        <v>195</v>
      </c>
      <c r="F104" s="24">
        <v>5</v>
      </c>
      <c r="G104" s="24">
        <v>10</v>
      </c>
      <c r="H104" s="19">
        <v>0</v>
      </c>
      <c r="I104" s="19">
        <v>0</v>
      </c>
      <c r="T104" s="19">
        <f>Registro[[#This Row],[Mes 1]]+Registro[[#This Row],[Mes 2]]+Registro[[#This Row],[Mes 3]]</f>
        <v>0</v>
      </c>
      <c r="U104" s="19">
        <f>Registro[[#This Row],[Mes 4]]+Registro[[#This Row],[Mes 5]]+Registro[[#This Row],[Mes 6]]</f>
        <v>0</v>
      </c>
      <c r="V104" s="19">
        <f>Registro[[#This Row],[Mes 7]]+Registro[[#This Row],[Mes 8]]+Registro[[#This Row],[Mes 9]]</f>
        <v>0</v>
      </c>
      <c r="W104" s="20">
        <f>Registro[[#This Row],[Mes 10]]+Registro[[#This Row],[Mes 11]]+Registro[[#This Row],[Mes 12]]</f>
        <v>0</v>
      </c>
      <c r="X104" s="20">
        <f>SUM(Registro[[#This Row],[Trim I]],Registro[[#This Row],[Trim II]],Registro[[#This Row],[Trim III]],Registro[[#This Row],[Trim IV]])</f>
        <v>0</v>
      </c>
      <c r="Y104" s="22">
        <f>IFERROR((Registro[[#This Row],[Avance Total]]/Registro[[#This Row],[Meta]]),0)</f>
        <v>0</v>
      </c>
      <c r="Z104" s="22">
        <f>IFERROR((Registro[[#This Row],[Avance Total]]-Registro[[#This Row],[Línea Base 2025]])/Registro[[#This Row],[Línea Base 2025]],0)</f>
        <v>-1</v>
      </c>
      <c r="AA104" s="20">
        <v>2026</v>
      </c>
    </row>
    <row r="105" spans="1:27" hidden="1">
      <c r="A105" s="14">
        <v>1008</v>
      </c>
      <c r="B105" s="15" t="s">
        <v>52</v>
      </c>
      <c r="C105" s="16">
        <v>123</v>
      </c>
      <c r="D105" s="16" t="s">
        <v>198</v>
      </c>
      <c r="E105" s="17" t="s">
        <v>197</v>
      </c>
      <c r="F105" s="24">
        <v>0</v>
      </c>
      <c r="G105" s="24">
        <v>4</v>
      </c>
      <c r="H105" s="19">
        <v>0</v>
      </c>
      <c r="I105" s="19">
        <v>0</v>
      </c>
      <c r="T105" s="19">
        <f>Registro[[#This Row],[Mes 1]]+Registro[[#This Row],[Mes 2]]+Registro[[#This Row],[Mes 3]]</f>
        <v>0</v>
      </c>
      <c r="U105" s="19">
        <f>Registro[[#This Row],[Mes 4]]+Registro[[#This Row],[Mes 5]]+Registro[[#This Row],[Mes 6]]</f>
        <v>0</v>
      </c>
      <c r="V105" s="19">
        <f>Registro[[#This Row],[Mes 7]]+Registro[[#This Row],[Mes 8]]+Registro[[#This Row],[Mes 9]]</f>
        <v>0</v>
      </c>
      <c r="W105" s="20">
        <f>Registro[[#This Row],[Mes 10]]+Registro[[#This Row],[Mes 11]]+Registro[[#This Row],[Mes 12]]</f>
        <v>0</v>
      </c>
      <c r="X105" s="20">
        <f>SUM(Registro[[#This Row],[Trim I]],Registro[[#This Row],[Trim II]],Registro[[#This Row],[Trim III]],Registro[[#This Row],[Trim IV]])</f>
        <v>0</v>
      </c>
      <c r="Y105" s="22">
        <f>IFERROR((Registro[[#This Row],[Avance Total]]/Registro[[#This Row],[Meta]]),0)</f>
        <v>0</v>
      </c>
      <c r="Z105" s="22">
        <f>IFERROR((Registro[[#This Row],[Avance Total]]-Registro[[#This Row],[Línea Base 2025]])/Registro[[#This Row],[Línea Base 2025]],0)</f>
        <v>0</v>
      </c>
      <c r="AA105" s="20">
        <v>2026</v>
      </c>
    </row>
    <row r="106" spans="1:27" hidden="1">
      <c r="A106" s="14">
        <v>1009</v>
      </c>
      <c r="B106" s="15" t="s">
        <v>53</v>
      </c>
      <c r="C106" s="16">
        <v>111</v>
      </c>
      <c r="D106" s="16" t="s">
        <v>171</v>
      </c>
      <c r="E106" s="17" t="s">
        <v>172</v>
      </c>
      <c r="F106" s="24">
        <v>6</v>
      </c>
      <c r="G106" s="24">
        <v>31</v>
      </c>
      <c r="H106" s="19">
        <v>6</v>
      </c>
      <c r="I106" s="19">
        <v>10</v>
      </c>
      <c r="T106" s="19">
        <f>Registro[[#This Row],[Mes 1]]+Registro[[#This Row],[Mes 2]]+Registro[[#This Row],[Mes 3]]</f>
        <v>16</v>
      </c>
      <c r="U106" s="19">
        <f>Registro[[#This Row],[Mes 4]]+Registro[[#This Row],[Mes 5]]+Registro[[#This Row],[Mes 6]]</f>
        <v>0</v>
      </c>
      <c r="V106" s="19">
        <f>Registro[[#This Row],[Mes 7]]+Registro[[#This Row],[Mes 8]]+Registro[[#This Row],[Mes 9]]</f>
        <v>0</v>
      </c>
      <c r="W106" s="20">
        <f>Registro[[#This Row],[Mes 10]]+Registro[[#This Row],[Mes 11]]+Registro[[#This Row],[Mes 12]]</f>
        <v>0</v>
      </c>
      <c r="X106" s="20">
        <f>SUM(Registro[[#This Row],[Trim I]],Registro[[#This Row],[Trim II]],Registro[[#This Row],[Trim III]],Registro[[#This Row],[Trim IV]])</f>
        <v>16</v>
      </c>
      <c r="Y106" s="22">
        <f>IFERROR((Registro[[#This Row],[Avance Total]]/Registro[[#This Row],[Meta]]),0)</f>
        <v>0.5161290322580645</v>
      </c>
      <c r="Z106" s="22">
        <f>IFERROR((Registro[[#This Row],[Avance Total]]-Registro[[#This Row],[Línea Base 2025]])/Registro[[#This Row],[Línea Base 2025]],0)</f>
        <v>1.6666666666666667</v>
      </c>
      <c r="AA106" s="20">
        <v>2026</v>
      </c>
    </row>
    <row r="107" spans="1:27" hidden="1">
      <c r="A107" s="14">
        <v>1009</v>
      </c>
      <c r="B107" s="15" t="s">
        <v>53</v>
      </c>
      <c r="C107" s="16">
        <v>112</v>
      </c>
      <c r="D107" s="16" t="s">
        <v>173</v>
      </c>
      <c r="E107" s="17" t="s">
        <v>7</v>
      </c>
      <c r="F107" s="24">
        <v>1</v>
      </c>
      <c r="G107" s="24">
        <v>9</v>
      </c>
      <c r="H107" s="19">
        <v>0</v>
      </c>
      <c r="I107" s="19">
        <v>0</v>
      </c>
      <c r="T107" s="19">
        <f>Registro[[#This Row],[Mes 1]]+Registro[[#This Row],[Mes 2]]+Registro[[#This Row],[Mes 3]]</f>
        <v>0</v>
      </c>
      <c r="U107" s="19">
        <f>Registro[[#This Row],[Mes 4]]+Registro[[#This Row],[Mes 5]]+Registro[[#This Row],[Mes 6]]</f>
        <v>0</v>
      </c>
      <c r="V107" s="19">
        <f>Registro[[#This Row],[Mes 7]]+Registro[[#This Row],[Mes 8]]+Registro[[#This Row],[Mes 9]]</f>
        <v>0</v>
      </c>
      <c r="W107" s="20">
        <f>Registro[[#This Row],[Mes 10]]+Registro[[#This Row],[Mes 11]]+Registro[[#This Row],[Mes 12]]</f>
        <v>0</v>
      </c>
      <c r="X107" s="20">
        <f>SUM(Registro[[#This Row],[Trim I]],Registro[[#This Row],[Trim II]],Registro[[#This Row],[Trim III]],Registro[[#This Row],[Trim IV]])</f>
        <v>0</v>
      </c>
      <c r="Y107" s="22">
        <f>IFERROR((Registro[[#This Row],[Avance Total]]/Registro[[#This Row],[Meta]]),0)</f>
        <v>0</v>
      </c>
      <c r="Z107" s="22">
        <f>IFERROR((Registro[[#This Row],[Avance Total]]-Registro[[#This Row],[Línea Base 2025]])/Registro[[#This Row],[Línea Base 2025]],0)</f>
        <v>-1</v>
      </c>
      <c r="AA107" s="20">
        <v>2026</v>
      </c>
    </row>
    <row r="108" spans="1:27" hidden="1">
      <c r="A108" s="14">
        <v>1009</v>
      </c>
      <c r="B108" s="15" t="s">
        <v>53</v>
      </c>
      <c r="C108" s="16">
        <v>113</v>
      </c>
      <c r="D108" s="16" t="s">
        <v>179</v>
      </c>
      <c r="E108" s="17" t="s">
        <v>178</v>
      </c>
      <c r="F108" s="24">
        <v>2</v>
      </c>
      <c r="G108" s="24">
        <v>37</v>
      </c>
      <c r="H108" s="19">
        <v>0</v>
      </c>
      <c r="I108" s="19">
        <v>2</v>
      </c>
      <c r="T108" s="19">
        <f>Registro[[#This Row],[Mes 1]]+Registro[[#This Row],[Mes 2]]+Registro[[#This Row],[Mes 3]]</f>
        <v>2</v>
      </c>
      <c r="U108" s="19">
        <f>Registro[[#This Row],[Mes 4]]+Registro[[#This Row],[Mes 5]]+Registro[[#This Row],[Mes 6]]</f>
        <v>0</v>
      </c>
      <c r="V108" s="19">
        <f>Registro[[#This Row],[Mes 7]]+Registro[[#This Row],[Mes 8]]+Registro[[#This Row],[Mes 9]]</f>
        <v>0</v>
      </c>
      <c r="W108" s="20">
        <f>Registro[[#This Row],[Mes 10]]+Registro[[#This Row],[Mes 11]]+Registro[[#This Row],[Mes 12]]</f>
        <v>0</v>
      </c>
      <c r="X108" s="20">
        <f>SUM(Registro[[#This Row],[Trim I]],Registro[[#This Row],[Trim II]],Registro[[#This Row],[Trim III]],Registro[[#This Row],[Trim IV]])</f>
        <v>2</v>
      </c>
      <c r="Y108" s="22">
        <f>IFERROR((Registro[[#This Row],[Avance Total]]/Registro[[#This Row],[Meta]]),0)</f>
        <v>5.4054054054054057E-2</v>
      </c>
      <c r="Z108" s="22">
        <f>IFERROR((Registro[[#This Row],[Avance Total]]-Registro[[#This Row],[Línea Base 2025]])/Registro[[#This Row],[Línea Base 2025]],0)</f>
        <v>0</v>
      </c>
      <c r="AA108" s="20">
        <v>2026</v>
      </c>
    </row>
    <row r="109" spans="1:27" hidden="1">
      <c r="A109" s="14">
        <v>1009</v>
      </c>
      <c r="B109" s="15" t="s">
        <v>53</v>
      </c>
      <c r="C109" s="16">
        <v>114</v>
      </c>
      <c r="D109" s="16" t="s">
        <v>181</v>
      </c>
      <c r="E109" s="17" t="s">
        <v>180</v>
      </c>
      <c r="F109" s="24">
        <v>0</v>
      </c>
      <c r="G109" s="24">
        <v>2.1</v>
      </c>
      <c r="H109" s="19">
        <v>0</v>
      </c>
      <c r="I109" s="19">
        <v>1</v>
      </c>
      <c r="T109" s="19">
        <f>Registro[[#This Row],[Mes 1]]+Registro[[#This Row],[Mes 2]]+Registro[[#This Row],[Mes 3]]</f>
        <v>1</v>
      </c>
      <c r="U109" s="19">
        <f>Registro[[#This Row],[Mes 4]]+Registro[[#This Row],[Mes 5]]+Registro[[#This Row],[Mes 6]]</f>
        <v>0</v>
      </c>
      <c r="V109" s="19">
        <f>Registro[[#This Row],[Mes 7]]+Registro[[#This Row],[Mes 8]]+Registro[[#This Row],[Mes 9]]</f>
        <v>0</v>
      </c>
      <c r="W109" s="20">
        <f>Registro[[#This Row],[Mes 10]]+Registro[[#This Row],[Mes 11]]+Registro[[#This Row],[Mes 12]]</f>
        <v>0</v>
      </c>
      <c r="X109" s="20">
        <f>SUM(Registro[[#This Row],[Trim I]],Registro[[#This Row],[Trim II]],Registro[[#This Row],[Trim III]],Registro[[#This Row],[Trim IV]])</f>
        <v>1</v>
      </c>
      <c r="Y109" s="22">
        <f>IFERROR((Registro[[#This Row],[Avance Total]]/Registro[[#This Row],[Meta]]),0)</f>
        <v>0.47619047619047616</v>
      </c>
      <c r="Z109" s="22">
        <f>IFERROR((Registro[[#This Row],[Avance Total]]-Registro[[#This Row],[Línea Base 2025]])/Registro[[#This Row],[Línea Base 2025]],0)</f>
        <v>0</v>
      </c>
      <c r="AA109" s="20">
        <v>2026</v>
      </c>
    </row>
    <row r="110" spans="1:27" hidden="1">
      <c r="A110" s="14">
        <v>1009</v>
      </c>
      <c r="B110" s="15" t="s">
        <v>53</v>
      </c>
      <c r="C110" s="16">
        <v>115</v>
      </c>
      <c r="D110" s="16" t="s">
        <v>183</v>
      </c>
      <c r="E110" s="17" t="s">
        <v>182</v>
      </c>
      <c r="F110" s="24">
        <v>0</v>
      </c>
      <c r="G110" s="24">
        <v>1.8900000000000001</v>
      </c>
      <c r="H110" s="19">
        <v>1</v>
      </c>
      <c r="I110" s="19">
        <v>0</v>
      </c>
      <c r="T110" s="19">
        <f>Registro[[#This Row],[Mes 1]]+Registro[[#This Row],[Mes 2]]+Registro[[#This Row],[Mes 3]]</f>
        <v>1</v>
      </c>
      <c r="U110" s="19">
        <f>Registro[[#This Row],[Mes 4]]+Registro[[#This Row],[Mes 5]]+Registro[[#This Row],[Mes 6]]</f>
        <v>0</v>
      </c>
      <c r="V110" s="19">
        <f>Registro[[#This Row],[Mes 7]]+Registro[[#This Row],[Mes 8]]+Registro[[#This Row],[Mes 9]]</f>
        <v>0</v>
      </c>
      <c r="W110" s="20">
        <f>Registro[[#This Row],[Mes 10]]+Registro[[#This Row],[Mes 11]]+Registro[[#This Row],[Mes 12]]</f>
        <v>0</v>
      </c>
      <c r="X110" s="20">
        <f>SUM(Registro[[#This Row],[Trim I]],Registro[[#This Row],[Trim II]],Registro[[#This Row],[Trim III]],Registro[[#This Row],[Trim IV]])</f>
        <v>1</v>
      </c>
      <c r="Y110" s="22">
        <f>IFERROR((Registro[[#This Row],[Avance Total]]/Registro[[#This Row],[Meta]]),0)</f>
        <v>0.52910052910052907</v>
      </c>
      <c r="Z110" s="22">
        <f>IFERROR((Registro[[#This Row],[Avance Total]]-Registro[[#This Row],[Línea Base 2025]])/Registro[[#This Row],[Línea Base 2025]],0)</f>
        <v>0</v>
      </c>
      <c r="AA110" s="20">
        <v>2026</v>
      </c>
    </row>
    <row r="111" spans="1:27">
      <c r="A111" s="14">
        <v>1009</v>
      </c>
      <c r="B111" s="15" t="s">
        <v>53</v>
      </c>
      <c r="C111" s="16">
        <v>116</v>
      </c>
      <c r="D111" s="16" t="s">
        <v>185</v>
      </c>
      <c r="E111" s="17" t="s">
        <v>184</v>
      </c>
      <c r="F111" s="24">
        <v>0</v>
      </c>
      <c r="G111" s="24">
        <v>0.92</v>
      </c>
      <c r="H111" s="19">
        <v>0</v>
      </c>
      <c r="I111" s="19">
        <v>0</v>
      </c>
      <c r="T111" s="19">
        <f>Registro[[#This Row],[Mes 1]]+Registro[[#This Row],[Mes 2]]+Registro[[#This Row],[Mes 3]]</f>
        <v>0</v>
      </c>
      <c r="U111" s="19">
        <f>Registro[[#This Row],[Mes 4]]+Registro[[#This Row],[Mes 5]]+Registro[[#This Row],[Mes 6]]</f>
        <v>0</v>
      </c>
      <c r="V111" s="19">
        <f>Registro[[#This Row],[Mes 7]]+Registro[[#This Row],[Mes 8]]+Registro[[#This Row],[Mes 9]]</f>
        <v>0</v>
      </c>
      <c r="W111" s="20">
        <f>Registro[[#This Row],[Mes 10]]+Registro[[#This Row],[Mes 11]]+Registro[[#This Row],[Mes 12]]</f>
        <v>0</v>
      </c>
      <c r="X111" s="20">
        <f>SUM(Registro[[#This Row],[Trim I]],Registro[[#This Row],[Trim II]],Registro[[#This Row],[Trim III]],Registro[[#This Row],[Trim IV]])</f>
        <v>0</v>
      </c>
      <c r="Y111" s="22">
        <f>IFERROR((Registro[[#This Row],[Avance Total]]/Registro[[#This Row],[Meta]]),0)</f>
        <v>0</v>
      </c>
      <c r="Z111" s="22">
        <f>IFERROR((Registro[[#This Row],[Avance Total]]-Registro[[#This Row],[Línea Base 2025]])/Registro[[#This Row],[Línea Base 2025]],0)</f>
        <v>0</v>
      </c>
      <c r="AA111" s="20">
        <v>2026</v>
      </c>
    </row>
    <row r="112" spans="1:27" hidden="1">
      <c r="A112" s="14">
        <v>1009</v>
      </c>
      <c r="B112" s="15" t="s">
        <v>53</v>
      </c>
      <c r="C112" s="16">
        <v>117</v>
      </c>
      <c r="D112" s="16" t="s">
        <v>187</v>
      </c>
      <c r="E112" s="17" t="s">
        <v>186</v>
      </c>
      <c r="F112" s="24">
        <v>0</v>
      </c>
      <c r="G112" s="24">
        <v>1.04</v>
      </c>
      <c r="H112" s="19">
        <v>0</v>
      </c>
      <c r="I112" s="19">
        <v>0</v>
      </c>
      <c r="T112" s="19">
        <f>Registro[[#This Row],[Mes 1]]+Registro[[#This Row],[Mes 2]]+Registro[[#This Row],[Mes 3]]</f>
        <v>0</v>
      </c>
      <c r="U112" s="19">
        <f>Registro[[#This Row],[Mes 4]]+Registro[[#This Row],[Mes 5]]+Registro[[#This Row],[Mes 6]]</f>
        <v>0</v>
      </c>
      <c r="V112" s="19">
        <f>Registro[[#This Row],[Mes 7]]+Registro[[#This Row],[Mes 8]]+Registro[[#This Row],[Mes 9]]</f>
        <v>0</v>
      </c>
      <c r="W112" s="20">
        <f>Registro[[#This Row],[Mes 10]]+Registro[[#This Row],[Mes 11]]+Registro[[#This Row],[Mes 12]]</f>
        <v>0</v>
      </c>
      <c r="X112" s="20">
        <f>SUM(Registro[[#This Row],[Trim I]],Registro[[#This Row],[Trim II]],Registro[[#This Row],[Trim III]],Registro[[#This Row],[Trim IV]])</f>
        <v>0</v>
      </c>
      <c r="Y112" s="22">
        <f>IFERROR((Registro[[#This Row],[Avance Total]]/Registro[[#This Row],[Meta]]),0)</f>
        <v>0</v>
      </c>
      <c r="Z112" s="22">
        <f>IFERROR((Registro[[#This Row],[Avance Total]]-Registro[[#This Row],[Línea Base 2025]])/Registro[[#This Row],[Línea Base 2025]],0)</f>
        <v>0</v>
      </c>
      <c r="AA112" s="20">
        <v>2026</v>
      </c>
    </row>
    <row r="113" spans="1:27" hidden="1">
      <c r="A113" s="14">
        <v>1009</v>
      </c>
      <c r="B113" s="15" t="s">
        <v>53</v>
      </c>
      <c r="C113" s="16">
        <v>118</v>
      </c>
      <c r="D113" s="16" t="s">
        <v>188</v>
      </c>
      <c r="E113" s="17" t="s">
        <v>9</v>
      </c>
      <c r="F113" s="24">
        <v>0</v>
      </c>
      <c r="G113" s="24">
        <v>2</v>
      </c>
      <c r="H113" s="19">
        <v>0</v>
      </c>
      <c r="I113" s="19">
        <v>0</v>
      </c>
      <c r="T113" s="19">
        <f>Registro[[#This Row],[Mes 1]]+Registro[[#This Row],[Mes 2]]+Registro[[#This Row],[Mes 3]]</f>
        <v>0</v>
      </c>
      <c r="U113" s="19">
        <f>Registro[[#This Row],[Mes 4]]+Registro[[#This Row],[Mes 5]]+Registro[[#This Row],[Mes 6]]</f>
        <v>0</v>
      </c>
      <c r="V113" s="19">
        <f>Registro[[#This Row],[Mes 7]]+Registro[[#This Row],[Mes 8]]+Registro[[#This Row],[Mes 9]]</f>
        <v>0</v>
      </c>
      <c r="W113" s="20">
        <f>Registro[[#This Row],[Mes 10]]+Registro[[#This Row],[Mes 11]]+Registro[[#This Row],[Mes 12]]</f>
        <v>0</v>
      </c>
      <c r="X113" s="20">
        <f>SUM(Registro[[#This Row],[Trim I]],Registro[[#This Row],[Trim II]],Registro[[#This Row],[Trim III]],Registro[[#This Row],[Trim IV]])</f>
        <v>0</v>
      </c>
      <c r="Y113" s="22">
        <f>IFERROR((Registro[[#This Row],[Avance Total]]/Registro[[#This Row],[Meta]]),0)</f>
        <v>0</v>
      </c>
      <c r="Z113" s="22">
        <f>IFERROR((Registro[[#This Row],[Avance Total]]-Registro[[#This Row],[Línea Base 2025]])/Registro[[#This Row],[Línea Base 2025]],0)</f>
        <v>0</v>
      </c>
      <c r="AA113" s="20">
        <v>2026</v>
      </c>
    </row>
    <row r="114" spans="1:27" hidden="1">
      <c r="A114" s="14">
        <v>1009</v>
      </c>
      <c r="B114" s="15" t="s">
        <v>53</v>
      </c>
      <c r="C114" s="16">
        <v>119</v>
      </c>
      <c r="D114" s="16" t="s">
        <v>190</v>
      </c>
      <c r="E114" s="17" t="s">
        <v>189</v>
      </c>
      <c r="F114" s="24">
        <v>0</v>
      </c>
      <c r="G114" s="24">
        <v>0.7360000000000001</v>
      </c>
      <c r="H114" s="19">
        <v>0</v>
      </c>
      <c r="I114" s="19">
        <v>0</v>
      </c>
      <c r="T114" s="19">
        <f>Registro[[#This Row],[Mes 1]]+Registro[[#This Row],[Mes 2]]+Registro[[#This Row],[Mes 3]]</f>
        <v>0</v>
      </c>
      <c r="U114" s="19">
        <f>Registro[[#This Row],[Mes 4]]+Registro[[#This Row],[Mes 5]]+Registro[[#This Row],[Mes 6]]</f>
        <v>0</v>
      </c>
      <c r="V114" s="19">
        <f>Registro[[#This Row],[Mes 7]]+Registro[[#This Row],[Mes 8]]+Registro[[#This Row],[Mes 9]]</f>
        <v>0</v>
      </c>
      <c r="W114" s="20">
        <f>Registro[[#This Row],[Mes 10]]+Registro[[#This Row],[Mes 11]]+Registro[[#This Row],[Mes 12]]</f>
        <v>0</v>
      </c>
      <c r="X114" s="20">
        <f>SUM(Registro[[#This Row],[Trim I]],Registro[[#This Row],[Trim II]],Registro[[#This Row],[Trim III]],Registro[[#This Row],[Trim IV]])</f>
        <v>0</v>
      </c>
      <c r="Y114" s="22">
        <f>IFERROR((Registro[[#This Row],[Avance Total]]/Registro[[#This Row],[Meta]]),0)</f>
        <v>0</v>
      </c>
      <c r="Z114" s="22">
        <f>IFERROR((Registro[[#This Row],[Avance Total]]-Registro[[#This Row],[Línea Base 2025]])/Registro[[#This Row],[Línea Base 2025]],0)</f>
        <v>0</v>
      </c>
      <c r="AA114" s="20">
        <v>2026</v>
      </c>
    </row>
    <row r="115" spans="1:27" hidden="1">
      <c r="A115" s="14">
        <v>1009</v>
      </c>
      <c r="B115" s="15" t="s">
        <v>53</v>
      </c>
      <c r="C115" s="16">
        <v>120</v>
      </c>
      <c r="D115" s="16" t="s">
        <v>192</v>
      </c>
      <c r="E115" s="17" t="s">
        <v>191</v>
      </c>
      <c r="F115" s="24">
        <v>2</v>
      </c>
      <c r="G115" s="24">
        <v>6</v>
      </c>
      <c r="H115" s="19">
        <v>0</v>
      </c>
      <c r="I115" s="19">
        <v>0</v>
      </c>
      <c r="T115" s="19">
        <f>Registro[[#This Row],[Mes 1]]+Registro[[#This Row],[Mes 2]]+Registro[[#This Row],[Mes 3]]</f>
        <v>0</v>
      </c>
      <c r="U115" s="19">
        <f>Registro[[#This Row],[Mes 4]]+Registro[[#This Row],[Mes 5]]+Registro[[#This Row],[Mes 6]]</f>
        <v>0</v>
      </c>
      <c r="V115" s="19">
        <f>Registro[[#This Row],[Mes 7]]+Registro[[#This Row],[Mes 8]]+Registro[[#This Row],[Mes 9]]</f>
        <v>0</v>
      </c>
      <c r="W115" s="20">
        <f>Registro[[#This Row],[Mes 10]]+Registro[[#This Row],[Mes 11]]+Registro[[#This Row],[Mes 12]]</f>
        <v>0</v>
      </c>
      <c r="X115" s="20">
        <f>SUM(Registro[[#This Row],[Trim I]],Registro[[#This Row],[Trim II]],Registro[[#This Row],[Trim III]],Registro[[#This Row],[Trim IV]])</f>
        <v>0</v>
      </c>
      <c r="Y115" s="22">
        <f>IFERROR((Registro[[#This Row],[Avance Total]]/Registro[[#This Row],[Meta]]),0)</f>
        <v>0</v>
      </c>
      <c r="Z115" s="22">
        <f>IFERROR((Registro[[#This Row],[Avance Total]]-Registro[[#This Row],[Línea Base 2025]])/Registro[[#This Row],[Línea Base 2025]],0)</f>
        <v>-1</v>
      </c>
      <c r="AA115" s="20">
        <v>2026</v>
      </c>
    </row>
    <row r="116" spans="1:27" hidden="1">
      <c r="A116" s="14">
        <v>1009</v>
      </c>
      <c r="B116" s="15" t="s">
        <v>53</v>
      </c>
      <c r="C116" s="16">
        <v>121</v>
      </c>
      <c r="D116" s="16" t="s">
        <v>194</v>
      </c>
      <c r="E116" s="17" t="s">
        <v>193</v>
      </c>
      <c r="F116" s="24">
        <v>0</v>
      </c>
      <c r="G116" s="24">
        <v>4</v>
      </c>
      <c r="H116" s="19">
        <v>0</v>
      </c>
      <c r="I116" s="19">
        <v>0</v>
      </c>
      <c r="T116" s="19">
        <f>Registro[[#This Row],[Mes 1]]+Registro[[#This Row],[Mes 2]]+Registro[[#This Row],[Mes 3]]</f>
        <v>0</v>
      </c>
      <c r="U116" s="19">
        <f>Registro[[#This Row],[Mes 4]]+Registro[[#This Row],[Mes 5]]+Registro[[#This Row],[Mes 6]]</f>
        <v>0</v>
      </c>
      <c r="V116" s="19">
        <f>Registro[[#This Row],[Mes 7]]+Registro[[#This Row],[Mes 8]]+Registro[[#This Row],[Mes 9]]</f>
        <v>0</v>
      </c>
      <c r="W116" s="20">
        <f>Registro[[#This Row],[Mes 10]]+Registro[[#This Row],[Mes 11]]+Registro[[#This Row],[Mes 12]]</f>
        <v>0</v>
      </c>
      <c r="X116" s="20">
        <f>SUM(Registro[[#This Row],[Trim I]],Registro[[#This Row],[Trim II]],Registro[[#This Row],[Trim III]],Registro[[#This Row],[Trim IV]])</f>
        <v>0</v>
      </c>
      <c r="Y116" s="22">
        <f>IFERROR((Registro[[#This Row],[Avance Total]]/Registro[[#This Row],[Meta]]),0)</f>
        <v>0</v>
      </c>
      <c r="Z116" s="22">
        <f>IFERROR((Registro[[#This Row],[Avance Total]]-Registro[[#This Row],[Línea Base 2025]])/Registro[[#This Row],[Línea Base 2025]],0)</f>
        <v>0</v>
      </c>
      <c r="AA116" s="20">
        <v>2026</v>
      </c>
    </row>
    <row r="117" spans="1:27" hidden="1">
      <c r="A117" s="14">
        <v>1009</v>
      </c>
      <c r="B117" s="15" t="s">
        <v>53</v>
      </c>
      <c r="C117" s="16">
        <v>122</v>
      </c>
      <c r="D117" s="16" t="s">
        <v>196</v>
      </c>
      <c r="E117" s="17" t="s">
        <v>195</v>
      </c>
      <c r="F117" s="24">
        <v>0</v>
      </c>
      <c r="G117" s="24">
        <v>2</v>
      </c>
      <c r="H117" s="19">
        <v>0</v>
      </c>
      <c r="I117" s="19">
        <v>0</v>
      </c>
      <c r="T117" s="19">
        <f>Registro[[#This Row],[Mes 1]]+Registro[[#This Row],[Mes 2]]+Registro[[#This Row],[Mes 3]]</f>
        <v>0</v>
      </c>
      <c r="U117" s="19">
        <f>Registro[[#This Row],[Mes 4]]+Registro[[#This Row],[Mes 5]]+Registro[[#This Row],[Mes 6]]</f>
        <v>0</v>
      </c>
      <c r="V117" s="19">
        <f>Registro[[#This Row],[Mes 7]]+Registro[[#This Row],[Mes 8]]+Registro[[#This Row],[Mes 9]]</f>
        <v>0</v>
      </c>
      <c r="W117" s="20">
        <f>Registro[[#This Row],[Mes 10]]+Registro[[#This Row],[Mes 11]]+Registro[[#This Row],[Mes 12]]</f>
        <v>0</v>
      </c>
      <c r="X117" s="20">
        <f>SUM(Registro[[#This Row],[Trim I]],Registro[[#This Row],[Trim II]],Registro[[#This Row],[Trim III]],Registro[[#This Row],[Trim IV]])</f>
        <v>0</v>
      </c>
      <c r="Y117" s="22">
        <f>IFERROR((Registro[[#This Row],[Avance Total]]/Registro[[#This Row],[Meta]]),0)</f>
        <v>0</v>
      </c>
      <c r="Z117" s="22">
        <f>IFERROR((Registro[[#This Row],[Avance Total]]-Registro[[#This Row],[Línea Base 2025]])/Registro[[#This Row],[Línea Base 2025]],0)</f>
        <v>0</v>
      </c>
      <c r="AA117" s="20">
        <v>2026</v>
      </c>
    </row>
    <row r="118" spans="1:27" hidden="1">
      <c r="A118" s="14">
        <v>1009</v>
      </c>
      <c r="B118" s="15" t="s">
        <v>53</v>
      </c>
      <c r="C118" s="16">
        <v>123</v>
      </c>
      <c r="D118" s="16" t="s">
        <v>198</v>
      </c>
      <c r="E118" s="17" t="s">
        <v>197</v>
      </c>
      <c r="F118" s="24">
        <v>0</v>
      </c>
      <c r="G118" s="24">
        <v>1</v>
      </c>
      <c r="H118" s="19">
        <v>0</v>
      </c>
      <c r="I118" s="19">
        <v>0</v>
      </c>
      <c r="T118" s="19">
        <f>Registro[[#This Row],[Mes 1]]+Registro[[#This Row],[Mes 2]]+Registro[[#This Row],[Mes 3]]</f>
        <v>0</v>
      </c>
      <c r="U118" s="19">
        <f>Registro[[#This Row],[Mes 4]]+Registro[[#This Row],[Mes 5]]+Registro[[#This Row],[Mes 6]]</f>
        <v>0</v>
      </c>
      <c r="V118" s="19">
        <f>Registro[[#This Row],[Mes 7]]+Registro[[#This Row],[Mes 8]]+Registro[[#This Row],[Mes 9]]</f>
        <v>0</v>
      </c>
      <c r="W118" s="20">
        <f>Registro[[#This Row],[Mes 10]]+Registro[[#This Row],[Mes 11]]+Registro[[#This Row],[Mes 12]]</f>
        <v>0</v>
      </c>
      <c r="X118" s="20">
        <f>SUM(Registro[[#This Row],[Trim I]],Registro[[#This Row],[Trim II]],Registro[[#This Row],[Trim III]],Registro[[#This Row],[Trim IV]])</f>
        <v>0</v>
      </c>
      <c r="Y118" s="22">
        <f>IFERROR((Registro[[#This Row],[Avance Total]]/Registro[[#This Row],[Meta]]),0)</f>
        <v>0</v>
      </c>
      <c r="Z118" s="22">
        <f>IFERROR((Registro[[#This Row],[Avance Total]]-Registro[[#This Row],[Línea Base 2025]])/Registro[[#This Row],[Línea Base 2025]],0)</f>
        <v>0</v>
      </c>
      <c r="AA118" s="20">
        <v>2026</v>
      </c>
    </row>
    <row r="119" spans="1:27" hidden="1">
      <c r="A119" s="14">
        <v>1010</v>
      </c>
      <c r="B119" s="15" t="s">
        <v>54</v>
      </c>
      <c r="C119" s="16">
        <v>111</v>
      </c>
      <c r="D119" s="16" t="s">
        <v>171</v>
      </c>
      <c r="E119" s="17" t="s">
        <v>172</v>
      </c>
      <c r="F119" s="24">
        <v>5</v>
      </c>
      <c r="G119" s="24">
        <v>23</v>
      </c>
      <c r="H119" s="19">
        <v>0</v>
      </c>
      <c r="I119" s="19">
        <v>1</v>
      </c>
      <c r="T119" s="19">
        <f>Registro[[#This Row],[Mes 1]]+Registro[[#This Row],[Mes 2]]+Registro[[#This Row],[Mes 3]]</f>
        <v>1</v>
      </c>
      <c r="U119" s="19">
        <f>Registro[[#This Row],[Mes 4]]+Registro[[#This Row],[Mes 5]]+Registro[[#This Row],[Mes 6]]</f>
        <v>0</v>
      </c>
      <c r="V119" s="19">
        <f>Registro[[#This Row],[Mes 7]]+Registro[[#This Row],[Mes 8]]+Registro[[#This Row],[Mes 9]]</f>
        <v>0</v>
      </c>
      <c r="W119" s="20">
        <f>Registro[[#This Row],[Mes 10]]+Registro[[#This Row],[Mes 11]]+Registro[[#This Row],[Mes 12]]</f>
        <v>0</v>
      </c>
      <c r="X119" s="20">
        <f>SUM(Registro[[#This Row],[Trim I]],Registro[[#This Row],[Trim II]],Registro[[#This Row],[Trim III]],Registro[[#This Row],[Trim IV]])</f>
        <v>1</v>
      </c>
      <c r="Y119" s="22">
        <f>IFERROR((Registro[[#This Row],[Avance Total]]/Registro[[#This Row],[Meta]]),0)</f>
        <v>4.3478260869565216E-2</v>
      </c>
      <c r="Z119" s="22">
        <f>IFERROR((Registro[[#This Row],[Avance Total]]-Registro[[#This Row],[Línea Base 2025]])/Registro[[#This Row],[Línea Base 2025]],0)</f>
        <v>-0.8</v>
      </c>
      <c r="AA119" s="20">
        <v>2026</v>
      </c>
    </row>
    <row r="120" spans="1:27" hidden="1">
      <c r="A120" s="14">
        <v>1010</v>
      </c>
      <c r="B120" s="15" t="s">
        <v>54</v>
      </c>
      <c r="C120" s="16">
        <v>112</v>
      </c>
      <c r="D120" s="16" t="s">
        <v>173</v>
      </c>
      <c r="E120" s="17" t="s">
        <v>7</v>
      </c>
      <c r="F120" s="24">
        <v>0</v>
      </c>
      <c r="G120" s="24">
        <v>4</v>
      </c>
      <c r="H120" s="19">
        <v>0</v>
      </c>
      <c r="I120" s="19">
        <v>0</v>
      </c>
      <c r="T120" s="19">
        <f>Registro[[#This Row],[Mes 1]]+Registro[[#This Row],[Mes 2]]+Registro[[#This Row],[Mes 3]]</f>
        <v>0</v>
      </c>
      <c r="U120" s="19">
        <f>Registro[[#This Row],[Mes 4]]+Registro[[#This Row],[Mes 5]]+Registro[[#This Row],[Mes 6]]</f>
        <v>0</v>
      </c>
      <c r="V120" s="19">
        <f>Registro[[#This Row],[Mes 7]]+Registro[[#This Row],[Mes 8]]+Registro[[#This Row],[Mes 9]]</f>
        <v>0</v>
      </c>
      <c r="W120" s="20">
        <f>Registro[[#This Row],[Mes 10]]+Registro[[#This Row],[Mes 11]]+Registro[[#This Row],[Mes 12]]</f>
        <v>0</v>
      </c>
      <c r="X120" s="20">
        <f>SUM(Registro[[#This Row],[Trim I]],Registro[[#This Row],[Trim II]],Registro[[#This Row],[Trim III]],Registro[[#This Row],[Trim IV]])</f>
        <v>0</v>
      </c>
      <c r="Y120" s="22">
        <f>IFERROR((Registro[[#This Row],[Avance Total]]/Registro[[#This Row],[Meta]]),0)</f>
        <v>0</v>
      </c>
      <c r="Z120" s="22">
        <f>IFERROR((Registro[[#This Row],[Avance Total]]-Registro[[#This Row],[Línea Base 2025]])/Registro[[#This Row],[Línea Base 2025]],0)</f>
        <v>0</v>
      </c>
      <c r="AA120" s="20">
        <v>2026</v>
      </c>
    </row>
    <row r="121" spans="1:27" hidden="1">
      <c r="A121" s="14">
        <v>1010</v>
      </c>
      <c r="B121" s="15" t="s">
        <v>54</v>
      </c>
      <c r="C121" s="16">
        <v>113</v>
      </c>
      <c r="D121" s="16" t="s">
        <v>179</v>
      </c>
      <c r="E121" s="17" t="s">
        <v>178</v>
      </c>
      <c r="F121" s="24">
        <v>5</v>
      </c>
      <c r="G121" s="24">
        <v>31</v>
      </c>
      <c r="H121" s="19">
        <v>0</v>
      </c>
      <c r="I121" s="19">
        <v>0</v>
      </c>
      <c r="T121" s="19">
        <f>Registro[[#This Row],[Mes 1]]+Registro[[#This Row],[Mes 2]]+Registro[[#This Row],[Mes 3]]</f>
        <v>0</v>
      </c>
      <c r="U121" s="19">
        <f>Registro[[#This Row],[Mes 4]]+Registro[[#This Row],[Mes 5]]+Registro[[#This Row],[Mes 6]]</f>
        <v>0</v>
      </c>
      <c r="V121" s="19">
        <f>Registro[[#This Row],[Mes 7]]+Registro[[#This Row],[Mes 8]]+Registro[[#This Row],[Mes 9]]</f>
        <v>0</v>
      </c>
      <c r="W121" s="20">
        <f>Registro[[#This Row],[Mes 10]]+Registro[[#This Row],[Mes 11]]+Registro[[#This Row],[Mes 12]]</f>
        <v>0</v>
      </c>
      <c r="X121" s="20">
        <f>SUM(Registro[[#This Row],[Trim I]],Registro[[#This Row],[Trim II]],Registro[[#This Row],[Trim III]],Registro[[#This Row],[Trim IV]])</f>
        <v>0</v>
      </c>
      <c r="Y121" s="22">
        <f>IFERROR((Registro[[#This Row],[Avance Total]]/Registro[[#This Row],[Meta]]),0)</f>
        <v>0</v>
      </c>
      <c r="Z121" s="22">
        <f>IFERROR((Registro[[#This Row],[Avance Total]]-Registro[[#This Row],[Línea Base 2025]])/Registro[[#This Row],[Línea Base 2025]],0)</f>
        <v>-1</v>
      </c>
      <c r="AA121" s="20">
        <v>2026</v>
      </c>
    </row>
    <row r="122" spans="1:27" hidden="1">
      <c r="A122" s="14">
        <v>1010</v>
      </c>
      <c r="B122" s="15" t="s">
        <v>54</v>
      </c>
      <c r="C122" s="16">
        <v>114</v>
      </c>
      <c r="D122" s="16" t="s">
        <v>181</v>
      </c>
      <c r="E122" s="17" t="s">
        <v>180</v>
      </c>
      <c r="F122" s="24">
        <v>0</v>
      </c>
      <c r="G122" s="24">
        <v>1.2</v>
      </c>
      <c r="H122" s="19">
        <v>0</v>
      </c>
      <c r="I122" s="19">
        <v>0</v>
      </c>
      <c r="T122" s="19">
        <f>Registro[[#This Row],[Mes 1]]+Registro[[#This Row],[Mes 2]]+Registro[[#This Row],[Mes 3]]</f>
        <v>0</v>
      </c>
      <c r="U122" s="19">
        <f>Registro[[#This Row],[Mes 4]]+Registro[[#This Row],[Mes 5]]+Registro[[#This Row],[Mes 6]]</f>
        <v>0</v>
      </c>
      <c r="V122" s="19">
        <f>Registro[[#This Row],[Mes 7]]+Registro[[#This Row],[Mes 8]]+Registro[[#This Row],[Mes 9]]</f>
        <v>0</v>
      </c>
      <c r="W122" s="20">
        <f>Registro[[#This Row],[Mes 10]]+Registro[[#This Row],[Mes 11]]+Registro[[#This Row],[Mes 12]]</f>
        <v>0</v>
      </c>
      <c r="X122" s="20">
        <f>SUM(Registro[[#This Row],[Trim I]],Registro[[#This Row],[Trim II]],Registro[[#This Row],[Trim III]],Registro[[#This Row],[Trim IV]])</f>
        <v>0</v>
      </c>
      <c r="Y122" s="22">
        <f>IFERROR((Registro[[#This Row],[Avance Total]]/Registro[[#This Row],[Meta]]),0)</f>
        <v>0</v>
      </c>
      <c r="Z122" s="22">
        <f>IFERROR((Registro[[#This Row],[Avance Total]]-Registro[[#This Row],[Línea Base 2025]])/Registro[[#This Row],[Línea Base 2025]],0)</f>
        <v>0</v>
      </c>
      <c r="AA122" s="20">
        <v>2026</v>
      </c>
    </row>
    <row r="123" spans="1:27" hidden="1">
      <c r="A123" s="14">
        <v>1010</v>
      </c>
      <c r="B123" s="15" t="s">
        <v>54</v>
      </c>
      <c r="C123" s="16">
        <v>115</v>
      </c>
      <c r="D123" s="16" t="s">
        <v>183</v>
      </c>
      <c r="E123" s="17" t="s">
        <v>182</v>
      </c>
      <c r="F123" s="24">
        <v>0</v>
      </c>
      <c r="G123" s="24">
        <v>1.08</v>
      </c>
      <c r="H123" s="19">
        <v>0</v>
      </c>
      <c r="I123" s="19">
        <v>0</v>
      </c>
      <c r="T123" s="19">
        <f>Registro[[#This Row],[Mes 1]]+Registro[[#This Row],[Mes 2]]+Registro[[#This Row],[Mes 3]]</f>
        <v>0</v>
      </c>
      <c r="U123" s="19">
        <f>Registro[[#This Row],[Mes 4]]+Registro[[#This Row],[Mes 5]]+Registro[[#This Row],[Mes 6]]</f>
        <v>0</v>
      </c>
      <c r="V123" s="19">
        <f>Registro[[#This Row],[Mes 7]]+Registro[[#This Row],[Mes 8]]+Registro[[#This Row],[Mes 9]]</f>
        <v>0</v>
      </c>
      <c r="W123" s="20">
        <f>Registro[[#This Row],[Mes 10]]+Registro[[#This Row],[Mes 11]]+Registro[[#This Row],[Mes 12]]</f>
        <v>0</v>
      </c>
      <c r="X123" s="20">
        <f>SUM(Registro[[#This Row],[Trim I]],Registro[[#This Row],[Trim II]],Registro[[#This Row],[Trim III]],Registro[[#This Row],[Trim IV]])</f>
        <v>0</v>
      </c>
      <c r="Y123" s="22">
        <f>IFERROR((Registro[[#This Row],[Avance Total]]/Registro[[#This Row],[Meta]]),0)</f>
        <v>0</v>
      </c>
      <c r="Z123" s="22">
        <f>IFERROR((Registro[[#This Row],[Avance Total]]-Registro[[#This Row],[Línea Base 2025]])/Registro[[#This Row],[Línea Base 2025]],0)</f>
        <v>0</v>
      </c>
      <c r="AA123" s="20">
        <v>2026</v>
      </c>
    </row>
    <row r="124" spans="1:27">
      <c r="A124" s="14">
        <v>1010</v>
      </c>
      <c r="B124" s="15" t="s">
        <v>54</v>
      </c>
      <c r="C124" s="16">
        <v>116</v>
      </c>
      <c r="D124" s="16" t="s">
        <v>185</v>
      </c>
      <c r="E124" s="17" t="s">
        <v>184</v>
      </c>
      <c r="F124" s="24">
        <v>0</v>
      </c>
      <c r="G124" s="24">
        <v>1.3800000000000001</v>
      </c>
      <c r="H124" s="19">
        <v>0</v>
      </c>
      <c r="I124" s="19">
        <v>0</v>
      </c>
      <c r="T124" s="19">
        <f>Registro[[#This Row],[Mes 1]]+Registro[[#This Row],[Mes 2]]+Registro[[#This Row],[Mes 3]]</f>
        <v>0</v>
      </c>
      <c r="U124" s="19">
        <f>Registro[[#This Row],[Mes 4]]+Registro[[#This Row],[Mes 5]]+Registro[[#This Row],[Mes 6]]</f>
        <v>0</v>
      </c>
      <c r="V124" s="19">
        <f>Registro[[#This Row],[Mes 7]]+Registro[[#This Row],[Mes 8]]+Registro[[#This Row],[Mes 9]]</f>
        <v>0</v>
      </c>
      <c r="W124" s="20">
        <f>Registro[[#This Row],[Mes 10]]+Registro[[#This Row],[Mes 11]]+Registro[[#This Row],[Mes 12]]</f>
        <v>0</v>
      </c>
      <c r="X124" s="20">
        <f>SUM(Registro[[#This Row],[Trim I]],Registro[[#This Row],[Trim II]],Registro[[#This Row],[Trim III]],Registro[[#This Row],[Trim IV]])</f>
        <v>0</v>
      </c>
      <c r="Y124" s="22">
        <f>IFERROR((Registro[[#This Row],[Avance Total]]/Registro[[#This Row],[Meta]]),0)</f>
        <v>0</v>
      </c>
      <c r="Z124" s="22">
        <f>IFERROR((Registro[[#This Row],[Avance Total]]-Registro[[#This Row],[Línea Base 2025]])/Registro[[#This Row],[Línea Base 2025]],0)</f>
        <v>0</v>
      </c>
      <c r="AA124" s="20">
        <v>2026</v>
      </c>
    </row>
    <row r="125" spans="1:27" hidden="1">
      <c r="A125" s="14">
        <v>1010</v>
      </c>
      <c r="B125" s="15" t="s">
        <v>54</v>
      </c>
      <c r="C125" s="16">
        <v>117</v>
      </c>
      <c r="D125" s="16" t="s">
        <v>187</v>
      </c>
      <c r="E125" s="17" t="s">
        <v>186</v>
      </c>
      <c r="F125" s="24">
        <v>0</v>
      </c>
      <c r="G125" s="24">
        <v>1.1599999999999999</v>
      </c>
      <c r="H125" s="19">
        <v>0</v>
      </c>
      <c r="I125" s="19">
        <v>0</v>
      </c>
      <c r="T125" s="19">
        <f>Registro[[#This Row],[Mes 1]]+Registro[[#This Row],[Mes 2]]+Registro[[#This Row],[Mes 3]]</f>
        <v>0</v>
      </c>
      <c r="U125" s="19">
        <f>Registro[[#This Row],[Mes 4]]+Registro[[#This Row],[Mes 5]]+Registro[[#This Row],[Mes 6]]</f>
        <v>0</v>
      </c>
      <c r="V125" s="19">
        <f>Registro[[#This Row],[Mes 7]]+Registro[[#This Row],[Mes 8]]+Registro[[#This Row],[Mes 9]]</f>
        <v>0</v>
      </c>
      <c r="W125" s="20">
        <f>Registro[[#This Row],[Mes 10]]+Registro[[#This Row],[Mes 11]]+Registro[[#This Row],[Mes 12]]</f>
        <v>0</v>
      </c>
      <c r="X125" s="20">
        <f>SUM(Registro[[#This Row],[Trim I]],Registro[[#This Row],[Trim II]],Registro[[#This Row],[Trim III]],Registro[[#This Row],[Trim IV]])</f>
        <v>0</v>
      </c>
      <c r="Y125" s="22">
        <f>IFERROR((Registro[[#This Row],[Avance Total]]/Registro[[#This Row],[Meta]]),0)</f>
        <v>0</v>
      </c>
      <c r="Z125" s="22">
        <f>IFERROR((Registro[[#This Row],[Avance Total]]-Registro[[#This Row],[Línea Base 2025]])/Registro[[#This Row],[Línea Base 2025]],0)</f>
        <v>0</v>
      </c>
      <c r="AA125" s="20">
        <v>2026</v>
      </c>
    </row>
    <row r="126" spans="1:27" hidden="1">
      <c r="A126" s="14">
        <v>1010</v>
      </c>
      <c r="B126" s="15" t="s">
        <v>54</v>
      </c>
      <c r="C126" s="16">
        <v>118</v>
      </c>
      <c r="D126" s="16" t="s">
        <v>188</v>
      </c>
      <c r="E126" s="17" t="s">
        <v>9</v>
      </c>
      <c r="F126" s="24">
        <v>0</v>
      </c>
      <c r="G126" s="24">
        <v>8</v>
      </c>
      <c r="H126" s="19">
        <v>0</v>
      </c>
      <c r="I126" s="19">
        <v>0</v>
      </c>
      <c r="T126" s="19">
        <f>Registro[[#This Row],[Mes 1]]+Registro[[#This Row],[Mes 2]]+Registro[[#This Row],[Mes 3]]</f>
        <v>0</v>
      </c>
      <c r="U126" s="19">
        <f>Registro[[#This Row],[Mes 4]]+Registro[[#This Row],[Mes 5]]+Registro[[#This Row],[Mes 6]]</f>
        <v>0</v>
      </c>
      <c r="V126" s="19">
        <f>Registro[[#This Row],[Mes 7]]+Registro[[#This Row],[Mes 8]]+Registro[[#This Row],[Mes 9]]</f>
        <v>0</v>
      </c>
      <c r="W126" s="20">
        <f>Registro[[#This Row],[Mes 10]]+Registro[[#This Row],[Mes 11]]+Registro[[#This Row],[Mes 12]]</f>
        <v>0</v>
      </c>
      <c r="X126" s="20">
        <f>SUM(Registro[[#This Row],[Trim I]],Registro[[#This Row],[Trim II]],Registro[[#This Row],[Trim III]],Registro[[#This Row],[Trim IV]])</f>
        <v>0</v>
      </c>
      <c r="Y126" s="22">
        <f>IFERROR((Registro[[#This Row],[Avance Total]]/Registro[[#This Row],[Meta]]),0)</f>
        <v>0</v>
      </c>
      <c r="Z126" s="22">
        <f>IFERROR((Registro[[#This Row],[Avance Total]]-Registro[[#This Row],[Línea Base 2025]])/Registro[[#This Row],[Línea Base 2025]],0)</f>
        <v>0</v>
      </c>
      <c r="AA126" s="20">
        <v>2026</v>
      </c>
    </row>
    <row r="127" spans="1:27" hidden="1">
      <c r="A127" s="14">
        <v>1010</v>
      </c>
      <c r="B127" s="15" t="s">
        <v>54</v>
      </c>
      <c r="C127" s="16">
        <v>119</v>
      </c>
      <c r="D127" s="16" t="s">
        <v>190</v>
      </c>
      <c r="E127" s="17" t="s">
        <v>189</v>
      </c>
      <c r="F127" s="24">
        <v>0</v>
      </c>
      <c r="G127" s="24">
        <v>1.1040000000000001</v>
      </c>
      <c r="H127" s="19">
        <v>0</v>
      </c>
      <c r="I127" s="19">
        <v>0</v>
      </c>
      <c r="T127" s="19">
        <f>Registro[[#This Row],[Mes 1]]+Registro[[#This Row],[Mes 2]]+Registro[[#This Row],[Mes 3]]</f>
        <v>0</v>
      </c>
      <c r="U127" s="19">
        <f>Registro[[#This Row],[Mes 4]]+Registro[[#This Row],[Mes 5]]+Registro[[#This Row],[Mes 6]]</f>
        <v>0</v>
      </c>
      <c r="V127" s="19">
        <f>Registro[[#This Row],[Mes 7]]+Registro[[#This Row],[Mes 8]]+Registro[[#This Row],[Mes 9]]</f>
        <v>0</v>
      </c>
      <c r="W127" s="20">
        <f>Registro[[#This Row],[Mes 10]]+Registro[[#This Row],[Mes 11]]+Registro[[#This Row],[Mes 12]]</f>
        <v>0</v>
      </c>
      <c r="X127" s="20">
        <f>SUM(Registro[[#This Row],[Trim I]],Registro[[#This Row],[Trim II]],Registro[[#This Row],[Trim III]],Registro[[#This Row],[Trim IV]])</f>
        <v>0</v>
      </c>
      <c r="Y127" s="22">
        <f>IFERROR((Registro[[#This Row],[Avance Total]]/Registro[[#This Row],[Meta]]),0)</f>
        <v>0</v>
      </c>
      <c r="Z127" s="22">
        <f>IFERROR((Registro[[#This Row],[Avance Total]]-Registro[[#This Row],[Línea Base 2025]])/Registro[[#This Row],[Línea Base 2025]],0)</f>
        <v>0</v>
      </c>
      <c r="AA127" s="20">
        <v>2026</v>
      </c>
    </row>
    <row r="128" spans="1:27" hidden="1">
      <c r="A128" s="14">
        <v>1010</v>
      </c>
      <c r="B128" s="15" t="s">
        <v>54</v>
      </c>
      <c r="C128" s="16">
        <v>120</v>
      </c>
      <c r="D128" s="16" t="s">
        <v>192</v>
      </c>
      <c r="E128" s="17" t="s">
        <v>191</v>
      </c>
      <c r="F128" s="24">
        <v>0</v>
      </c>
      <c r="G128" s="24">
        <v>5</v>
      </c>
      <c r="H128" s="19">
        <v>0</v>
      </c>
      <c r="I128" s="19">
        <v>0</v>
      </c>
      <c r="T128" s="19">
        <f>Registro[[#This Row],[Mes 1]]+Registro[[#This Row],[Mes 2]]+Registro[[#This Row],[Mes 3]]</f>
        <v>0</v>
      </c>
      <c r="U128" s="19">
        <f>Registro[[#This Row],[Mes 4]]+Registro[[#This Row],[Mes 5]]+Registro[[#This Row],[Mes 6]]</f>
        <v>0</v>
      </c>
      <c r="V128" s="19">
        <f>Registro[[#This Row],[Mes 7]]+Registro[[#This Row],[Mes 8]]+Registro[[#This Row],[Mes 9]]</f>
        <v>0</v>
      </c>
      <c r="W128" s="20">
        <f>Registro[[#This Row],[Mes 10]]+Registro[[#This Row],[Mes 11]]+Registro[[#This Row],[Mes 12]]</f>
        <v>0</v>
      </c>
      <c r="X128" s="20">
        <f>SUM(Registro[[#This Row],[Trim I]],Registro[[#This Row],[Trim II]],Registro[[#This Row],[Trim III]],Registro[[#This Row],[Trim IV]])</f>
        <v>0</v>
      </c>
      <c r="Y128" s="22">
        <f>IFERROR((Registro[[#This Row],[Avance Total]]/Registro[[#This Row],[Meta]]),0)</f>
        <v>0</v>
      </c>
      <c r="Z128" s="22">
        <f>IFERROR((Registro[[#This Row],[Avance Total]]-Registro[[#This Row],[Línea Base 2025]])/Registro[[#This Row],[Línea Base 2025]],0)</f>
        <v>0</v>
      </c>
      <c r="AA128" s="20">
        <v>2026</v>
      </c>
    </row>
    <row r="129" spans="1:27" hidden="1">
      <c r="A129" s="14">
        <v>1010</v>
      </c>
      <c r="B129" s="15" t="s">
        <v>54</v>
      </c>
      <c r="C129" s="16">
        <v>121</v>
      </c>
      <c r="D129" s="16" t="s">
        <v>194</v>
      </c>
      <c r="E129" s="17" t="s">
        <v>193</v>
      </c>
      <c r="F129" s="24">
        <v>0</v>
      </c>
      <c r="G129" s="24">
        <v>0</v>
      </c>
      <c r="H129" s="19">
        <v>0</v>
      </c>
      <c r="I129" s="19">
        <v>0</v>
      </c>
      <c r="T129" s="19">
        <f>Registro[[#This Row],[Mes 1]]+Registro[[#This Row],[Mes 2]]+Registro[[#This Row],[Mes 3]]</f>
        <v>0</v>
      </c>
      <c r="U129" s="19">
        <f>Registro[[#This Row],[Mes 4]]+Registro[[#This Row],[Mes 5]]+Registro[[#This Row],[Mes 6]]</f>
        <v>0</v>
      </c>
      <c r="V129" s="19">
        <f>Registro[[#This Row],[Mes 7]]+Registro[[#This Row],[Mes 8]]+Registro[[#This Row],[Mes 9]]</f>
        <v>0</v>
      </c>
      <c r="W129" s="20">
        <f>Registro[[#This Row],[Mes 10]]+Registro[[#This Row],[Mes 11]]+Registro[[#This Row],[Mes 12]]</f>
        <v>0</v>
      </c>
      <c r="X129" s="20">
        <f>SUM(Registro[[#This Row],[Trim I]],Registro[[#This Row],[Trim II]],Registro[[#This Row],[Trim III]],Registro[[#This Row],[Trim IV]])</f>
        <v>0</v>
      </c>
      <c r="Y129" s="22">
        <f>IFERROR((Registro[[#This Row],[Avance Total]]/Registro[[#This Row],[Meta]]),0)</f>
        <v>0</v>
      </c>
      <c r="Z129" s="22">
        <f>IFERROR((Registro[[#This Row],[Avance Total]]-Registro[[#This Row],[Línea Base 2025]])/Registro[[#This Row],[Línea Base 2025]],0)</f>
        <v>0</v>
      </c>
      <c r="AA129" s="20">
        <v>2026</v>
      </c>
    </row>
    <row r="130" spans="1:27" hidden="1">
      <c r="A130" s="14">
        <v>1010</v>
      </c>
      <c r="B130" s="15" t="s">
        <v>54</v>
      </c>
      <c r="C130" s="16">
        <v>122</v>
      </c>
      <c r="D130" s="16" t="s">
        <v>196</v>
      </c>
      <c r="E130" s="17" t="s">
        <v>195</v>
      </c>
      <c r="F130" s="24">
        <v>0</v>
      </c>
      <c r="G130" s="24">
        <v>2</v>
      </c>
      <c r="H130" s="19">
        <v>0</v>
      </c>
      <c r="I130" s="19">
        <v>0</v>
      </c>
      <c r="T130" s="19">
        <f>Registro[[#This Row],[Mes 1]]+Registro[[#This Row],[Mes 2]]+Registro[[#This Row],[Mes 3]]</f>
        <v>0</v>
      </c>
      <c r="U130" s="19">
        <f>Registro[[#This Row],[Mes 4]]+Registro[[#This Row],[Mes 5]]+Registro[[#This Row],[Mes 6]]</f>
        <v>0</v>
      </c>
      <c r="V130" s="19">
        <f>Registro[[#This Row],[Mes 7]]+Registro[[#This Row],[Mes 8]]+Registro[[#This Row],[Mes 9]]</f>
        <v>0</v>
      </c>
      <c r="W130" s="20">
        <f>Registro[[#This Row],[Mes 10]]+Registro[[#This Row],[Mes 11]]+Registro[[#This Row],[Mes 12]]</f>
        <v>0</v>
      </c>
      <c r="X130" s="20">
        <f>SUM(Registro[[#This Row],[Trim I]],Registro[[#This Row],[Trim II]],Registro[[#This Row],[Trim III]],Registro[[#This Row],[Trim IV]])</f>
        <v>0</v>
      </c>
      <c r="Y130" s="22">
        <f>IFERROR((Registro[[#This Row],[Avance Total]]/Registro[[#This Row],[Meta]]),0)</f>
        <v>0</v>
      </c>
      <c r="Z130" s="22">
        <f>IFERROR((Registro[[#This Row],[Avance Total]]-Registro[[#This Row],[Línea Base 2025]])/Registro[[#This Row],[Línea Base 2025]],0)</f>
        <v>0</v>
      </c>
      <c r="AA130" s="20">
        <v>2026</v>
      </c>
    </row>
    <row r="131" spans="1:27" hidden="1">
      <c r="A131" s="14">
        <v>1010</v>
      </c>
      <c r="B131" s="15" t="s">
        <v>54</v>
      </c>
      <c r="C131" s="16">
        <v>123</v>
      </c>
      <c r="D131" s="16" t="s">
        <v>198</v>
      </c>
      <c r="E131" s="17" t="s">
        <v>197</v>
      </c>
      <c r="F131" s="24">
        <v>0</v>
      </c>
      <c r="G131" s="24">
        <v>1</v>
      </c>
      <c r="H131" s="19">
        <v>0</v>
      </c>
      <c r="I131" s="19">
        <v>0</v>
      </c>
      <c r="T131" s="19">
        <f>Registro[[#This Row],[Mes 1]]+Registro[[#This Row],[Mes 2]]+Registro[[#This Row],[Mes 3]]</f>
        <v>0</v>
      </c>
      <c r="U131" s="19">
        <f>Registro[[#This Row],[Mes 4]]+Registro[[#This Row],[Mes 5]]+Registro[[#This Row],[Mes 6]]</f>
        <v>0</v>
      </c>
      <c r="V131" s="19">
        <f>Registro[[#This Row],[Mes 7]]+Registro[[#This Row],[Mes 8]]+Registro[[#This Row],[Mes 9]]</f>
        <v>0</v>
      </c>
      <c r="W131" s="20">
        <f>Registro[[#This Row],[Mes 10]]+Registro[[#This Row],[Mes 11]]+Registro[[#This Row],[Mes 12]]</f>
        <v>0</v>
      </c>
      <c r="X131" s="20">
        <f>SUM(Registro[[#This Row],[Trim I]],Registro[[#This Row],[Trim II]],Registro[[#This Row],[Trim III]],Registro[[#This Row],[Trim IV]])</f>
        <v>0</v>
      </c>
      <c r="Y131" s="22">
        <f>IFERROR((Registro[[#This Row],[Avance Total]]/Registro[[#This Row],[Meta]]),0)</f>
        <v>0</v>
      </c>
      <c r="Z131" s="22">
        <f>IFERROR((Registro[[#This Row],[Avance Total]]-Registro[[#This Row],[Línea Base 2025]])/Registro[[#This Row],[Línea Base 2025]],0)</f>
        <v>0</v>
      </c>
      <c r="AA131" s="20">
        <v>2026</v>
      </c>
    </row>
    <row r="132" spans="1:27" hidden="1">
      <c r="A132" s="14">
        <v>1011</v>
      </c>
      <c r="B132" s="15" t="s">
        <v>55</v>
      </c>
      <c r="C132" s="16">
        <v>111</v>
      </c>
      <c r="D132" s="16" t="s">
        <v>171</v>
      </c>
      <c r="E132" s="17" t="s">
        <v>172</v>
      </c>
      <c r="F132" s="24">
        <v>13</v>
      </c>
      <c r="G132" s="24">
        <v>245</v>
      </c>
      <c r="H132" s="19">
        <v>0</v>
      </c>
      <c r="I132" s="19">
        <v>1</v>
      </c>
      <c r="T132" s="19">
        <f>Registro[[#This Row],[Mes 1]]+Registro[[#This Row],[Mes 2]]+Registro[[#This Row],[Mes 3]]</f>
        <v>1</v>
      </c>
      <c r="U132" s="19">
        <f>Registro[[#This Row],[Mes 4]]+Registro[[#This Row],[Mes 5]]+Registro[[#This Row],[Mes 6]]</f>
        <v>0</v>
      </c>
      <c r="V132" s="19">
        <f>Registro[[#This Row],[Mes 7]]+Registro[[#This Row],[Mes 8]]+Registro[[#This Row],[Mes 9]]</f>
        <v>0</v>
      </c>
      <c r="W132" s="20">
        <f>Registro[[#This Row],[Mes 10]]+Registro[[#This Row],[Mes 11]]+Registro[[#This Row],[Mes 12]]</f>
        <v>0</v>
      </c>
      <c r="X132" s="20">
        <f>SUM(Registro[[#This Row],[Trim I]],Registro[[#This Row],[Trim II]],Registro[[#This Row],[Trim III]],Registro[[#This Row],[Trim IV]])</f>
        <v>1</v>
      </c>
      <c r="Y132" s="22">
        <f>IFERROR((Registro[[#This Row],[Avance Total]]/Registro[[#This Row],[Meta]]),0)</f>
        <v>4.0816326530612249E-3</v>
      </c>
      <c r="Z132" s="22">
        <f>IFERROR((Registro[[#This Row],[Avance Total]]-Registro[[#This Row],[Línea Base 2025]])/Registro[[#This Row],[Línea Base 2025]],0)</f>
        <v>-0.92307692307692313</v>
      </c>
      <c r="AA132" s="20">
        <v>2026</v>
      </c>
    </row>
    <row r="133" spans="1:27" hidden="1">
      <c r="A133" s="14">
        <v>1011</v>
      </c>
      <c r="B133" s="15" t="s">
        <v>55</v>
      </c>
      <c r="C133" s="16">
        <v>112</v>
      </c>
      <c r="D133" s="16" t="s">
        <v>173</v>
      </c>
      <c r="E133" s="17" t="s">
        <v>7</v>
      </c>
      <c r="F133" s="24">
        <v>4</v>
      </c>
      <c r="G133" s="24">
        <v>28</v>
      </c>
      <c r="H133" s="19">
        <v>0</v>
      </c>
      <c r="I133" s="19">
        <v>0</v>
      </c>
      <c r="T133" s="19">
        <f>Registro[[#This Row],[Mes 1]]+Registro[[#This Row],[Mes 2]]+Registro[[#This Row],[Mes 3]]</f>
        <v>0</v>
      </c>
      <c r="U133" s="19">
        <f>Registro[[#This Row],[Mes 4]]+Registro[[#This Row],[Mes 5]]+Registro[[#This Row],[Mes 6]]</f>
        <v>0</v>
      </c>
      <c r="V133" s="19">
        <f>Registro[[#This Row],[Mes 7]]+Registro[[#This Row],[Mes 8]]+Registro[[#This Row],[Mes 9]]</f>
        <v>0</v>
      </c>
      <c r="W133" s="20">
        <f>Registro[[#This Row],[Mes 10]]+Registro[[#This Row],[Mes 11]]+Registro[[#This Row],[Mes 12]]</f>
        <v>0</v>
      </c>
      <c r="X133" s="20">
        <f>SUM(Registro[[#This Row],[Trim I]],Registro[[#This Row],[Trim II]],Registro[[#This Row],[Trim III]],Registro[[#This Row],[Trim IV]])</f>
        <v>0</v>
      </c>
      <c r="Y133" s="22">
        <f>IFERROR((Registro[[#This Row],[Avance Total]]/Registro[[#This Row],[Meta]]),0)</f>
        <v>0</v>
      </c>
      <c r="Z133" s="22">
        <f>IFERROR((Registro[[#This Row],[Avance Total]]-Registro[[#This Row],[Línea Base 2025]])/Registro[[#This Row],[Línea Base 2025]],0)</f>
        <v>-1</v>
      </c>
      <c r="AA133" s="20">
        <v>2026</v>
      </c>
    </row>
    <row r="134" spans="1:27" hidden="1">
      <c r="A134" s="14">
        <v>1011</v>
      </c>
      <c r="B134" s="15" t="s">
        <v>55</v>
      </c>
      <c r="C134" s="16">
        <v>113</v>
      </c>
      <c r="D134" s="16" t="s">
        <v>179</v>
      </c>
      <c r="E134" s="17" t="s">
        <v>178</v>
      </c>
      <c r="F134" s="24">
        <v>15</v>
      </c>
      <c r="G134" s="24">
        <v>289</v>
      </c>
      <c r="H134" s="19">
        <v>0</v>
      </c>
      <c r="I134" s="19">
        <v>0</v>
      </c>
      <c r="T134" s="19">
        <f>Registro[[#This Row],[Mes 1]]+Registro[[#This Row],[Mes 2]]+Registro[[#This Row],[Mes 3]]</f>
        <v>0</v>
      </c>
      <c r="U134" s="19">
        <f>Registro[[#This Row],[Mes 4]]+Registro[[#This Row],[Mes 5]]+Registro[[#This Row],[Mes 6]]</f>
        <v>0</v>
      </c>
      <c r="V134" s="19">
        <f>Registro[[#This Row],[Mes 7]]+Registro[[#This Row],[Mes 8]]+Registro[[#This Row],[Mes 9]]</f>
        <v>0</v>
      </c>
      <c r="W134" s="20">
        <f>Registro[[#This Row],[Mes 10]]+Registro[[#This Row],[Mes 11]]+Registro[[#This Row],[Mes 12]]</f>
        <v>0</v>
      </c>
      <c r="X134" s="20">
        <f>SUM(Registro[[#This Row],[Trim I]],Registro[[#This Row],[Trim II]],Registro[[#This Row],[Trim III]],Registro[[#This Row],[Trim IV]])</f>
        <v>0</v>
      </c>
      <c r="Y134" s="22">
        <f>IFERROR((Registro[[#This Row],[Avance Total]]/Registro[[#This Row],[Meta]]),0)</f>
        <v>0</v>
      </c>
      <c r="Z134" s="22">
        <f>IFERROR((Registro[[#This Row],[Avance Total]]-Registro[[#This Row],[Línea Base 2025]])/Registro[[#This Row],[Línea Base 2025]],0)</f>
        <v>-1</v>
      </c>
      <c r="AA134" s="20">
        <v>2026</v>
      </c>
    </row>
    <row r="135" spans="1:27" hidden="1">
      <c r="A135" s="14">
        <v>1011</v>
      </c>
      <c r="B135" s="15" t="s">
        <v>55</v>
      </c>
      <c r="C135" s="16">
        <v>114</v>
      </c>
      <c r="D135" s="16" t="s">
        <v>181</v>
      </c>
      <c r="E135" s="17" t="s">
        <v>180</v>
      </c>
      <c r="F135" s="24">
        <v>0</v>
      </c>
      <c r="G135" s="24">
        <v>9.4499999999999993</v>
      </c>
      <c r="H135" s="19">
        <v>0</v>
      </c>
      <c r="I135" s="19">
        <v>0</v>
      </c>
      <c r="T135" s="19">
        <f>Registro[[#This Row],[Mes 1]]+Registro[[#This Row],[Mes 2]]+Registro[[#This Row],[Mes 3]]</f>
        <v>0</v>
      </c>
      <c r="U135" s="19">
        <f>Registro[[#This Row],[Mes 4]]+Registro[[#This Row],[Mes 5]]+Registro[[#This Row],[Mes 6]]</f>
        <v>0</v>
      </c>
      <c r="V135" s="19">
        <f>Registro[[#This Row],[Mes 7]]+Registro[[#This Row],[Mes 8]]+Registro[[#This Row],[Mes 9]]</f>
        <v>0</v>
      </c>
      <c r="W135" s="20">
        <f>Registro[[#This Row],[Mes 10]]+Registro[[#This Row],[Mes 11]]+Registro[[#This Row],[Mes 12]]</f>
        <v>0</v>
      </c>
      <c r="X135" s="20">
        <f>SUM(Registro[[#This Row],[Trim I]],Registro[[#This Row],[Trim II]],Registro[[#This Row],[Trim III]],Registro[[#This Row],[Trim IV]])</f>
        <v>0</v>
      </c>
      <c r="Y135" s="22">
        <f>IFERROR((Registro[[#This Row],[Avance Total]]/Registro[[#This Row],[Meta]]),0)</f>
        <v>0</v>
      </c>
      <c r="Z135" s="22">
        <f>IFERROR((Registro[[#This Row],[Avance Total]]-Registro[[#This Row],[Línea Base 2025]])/Registro[[#This Row],[Línea Base 2025]],0)</f>
        <v>0</v>
      </c>
      <c r="AA135" s="20">
        <v>2026</v>
      </c>
    </row>
    <row r="136" spans="1:27" hidden="1">
      <c r="A136" s="14">
        <v>1011</v>
      </c>
      <c r="B136" s="15" t="s">
        <v>55</v>
      </c>
      <c r="C136" s="16">
        <v>115</v>
      </c>
      <c r="D136" s="16" t="s">
        <v>183</v>
      </c>
      <c r="E136" s="17" t="s">
        <v>182</v>
      </c>
      <c r="F136" s="24">
        <v>0</v>
      </c>
      <c r="G136" s="24">
        <v>8.504999999999999</v>
      </c>
      <c r="H136" s="19">
        <v>0</v>
      </c>
      <c r="I136" s="19">
        <v>0</v>
      </c>
      <c r="T136" s="19">
        <f>Registro[[#This Row],[Mes 1]]+Registro[[#This Row],[Mes 2]]+Registro[[#This Row],[Mes 3]]</f>
        <v>0</v>
      </c>
      <c r="U136" s="19">
        <f>Registro[[#This Row],[Mes 4]]+Registro[[#This Row],[Mes 5]]+Registro[[#This Row],[Mes 6]]</f>
        <v>0</v>
      </c>
      <c r="V136" s="19">
        <f>Registro[[#This Row],[Mes 7]]+Registro[[#This Row],[Mes 8]]+Registro[[#This Row],[Mes 9]]</f>
        <v>0</v>
      </c>
      <c r="W136" s="20">
        <f>Registro[[#This Row],[Mes 10]]+Registro[[#This Row],[Mes 11]]+Registro[[#This Row],[Mes 12]]</f>
        <v>0</v>
      </c>
      <c r="X136" s="20">
        <f>SUM(Registro[[#This Row],[Trim I]],Registro[[#This Row],[Trim II]],Registro[[#This Row],[Trim III]],Registro[[#This Row],[Trim IV]])</f>
        <v>0</v>
      </c>
      <c r="Y136" s="22">
        <f>IFERROR((Registro[[#This Row],[Avance Total]]/Registro[[#This Row],[Meta]]),0)</f>
        <v>0</v>
      </c>
      <c r="Z136" s="22">
        <f>IFERROR((Registro[[#This Row],[Avance Total]]-Registro[[#This Row],[Línea Base 2025]])/Registro[[#This Row],[Línea Base 2025]],0)</f>
        <v>0</v>
      </c>
      <c r="AA136" s="20">
        <v>2026</v>
      </c>
    </row>
    <row r="137" spans="1:27">
      <c r="A137" s="14">
        <v>1011</v>
      </c>
      <c r="B137" s="15" t="s">
        <v>55</v>
      </c>
      <c r="C137" s="16">
        <v>116</v>
      </c>
      <c r="D137" s="16" t="s">
        <v>185</v>
      </c>
      <c r="E137" s="17" t="s">
        <v>184</v>
      </c>
      <c r="F137" s="24">
        <v>0</v>
      </c>
      <c r="G137" s="24">
        <v>2.7600000000000002</v>
      </c>
      <c r="H137" s="19">
        <v>0</v>
      </c>
      <c r="I137" s="19">
        <v>0</v>
      </c>
      <c r="T137" s="19">
        <f>Registro[[#This Row],[Mes 1]]+Registro[[#This Row],[Mes 2]]+Registro[[#This Row],[Mes 3]]</f>
        <v>0</v>
      </c>
      <c r="U137" s="19">
        <f>Registro[[#This Row],[Mes 4]]+Registro[[#This Row],[Mes 5]]+Registro[[#This Row],[Mes 6]]</f>
        <v>0</v>
      </c>
      <c r="V137" s="19">
        <f>Registro[[#This Row],[Mes 7]]+Registro[[#This Row],[Mes 8]]+Registro[[#This Row],[Mes 9]]</f>
        <v>0</v>
      </c>
      <c r="W137" s="20">
        <f>Registro[[#This Row],[Mes 10]]+Registro[[#This Row],[Mes 11]]+Registro[[#This Row],[Mes 12]]</f>
        <v>0</v>
      </c>
      <c r="X137" s="20">
        <f>SUM(Registro[[#This Row],[Trim I]],Registro[[#This Row],[Trim II]],Registro[[#This Row],[Trim III]],Registro[[#This Row],[Trim IV]])</f>
        <v>0</v>
      </c>
      <c r="Y137" s="22">
        <f>IFERROR((Registro[[#This Row],[Avance Total]]/Registro[[#This Row],[Meta]]),0)</f>
        <v>0</v>
      </c>
      <c r="Z137" s="22">
        <f>IFERROR((Registro[[#This Row],[Avance Total]]-Registro[[#This Row],[Línea Base 2025]])/Registro[[#This Row],[Línea Base 2025]],0)</f>
        <v>0</v>
      </c>
      <c r="AA137" s="20">
        <v>2026</v>
      </c>
    </row>
    <row r="138" spans="1:27" hidden="1">
      <c r="A138" s="14">
        <v>1011</v>
      </c>
      <c r="B138" s="15" t="s">
        <v>55</v>
      </c>
      <c r="C138" s="16">
        <v>117</v>
      </c>
      <c r="D138" s="16" t="s">
        <v>187</v>
      </c>
      <c r="E138" s="17" t="s">
        <v>186</v>
      </c>
      <c r="F138" s="24">
        <v>1</v>
      </c>
      <c r="G138" s="24">
        <v>2.06</v>
      </c>
      <c r="H138" s="19">
        <v>0</v>
      </c>
      <c r="I138" s="19">
        <v>0</v>
      </c>
      <c r="T138" s="19">
        <f>Registro[[#This Row],[Mes 1]]+Registro[[#This Row],[Mes 2]]+Registro[[#This Row],[Mes 3]]</f>
        <v>0</v>
      </c>
      <c r="U138" s="19">
        <f>Registro[[#This Row],[Mes 4]]+Registro[[#This Row],[Mes 5]]+Registro[[#This Row],[Mes 6]]</f>
        <v>0</v>
      </c>
      <c r="V138" s="19">
        <f>Registro[[#This Row],[Mes 7]]+Registro[[#This Row],[Mes 8]]+Registro[[#This Row],[Mes 9]]</f>
        <v>0</v>
      </c>
      <c r="W138" s="20">
        <f>Registro[[#This Row],[Mes 10]]+Registro[[#This Row],[Mes 11]]+Registro[[#This Row],[Mes 12]]</f>
        <v>0</v>
      </c>
      <c r="X138" s="20">
        <f>SUM(Registro[[#This Row],[Trim I]],Registro[[#This Row],[Trim II]],Registro[[#This Row],[Trim III]],Registro[[#This Row],[Trim IV]])</f>
        <v>0</v>
      </c>
      <c r="Y138" s="22">
        <f>IFERROR((Registro[[#This Row],[Avance Total]]/Registro[[#This Row],[Meta]]),0)</f>
        <v>0</v>
      </c>
      <c r="Z138" s="22">
        <f>IFERROR((Registro[[#This Row],[Avance Total]]-Registro[[#This Row],[Línea Base 2025]])/Registro[[#This Row],[Línea Base 2025]],0)</f>
        <v>-1</v>
      </c>
      <c r="AA138" s="20">
        <v>2026</v>
      </c>
    </row>
    <row r="139" spans="1:27" hidden="1">
      <c r="A139" s="14">
        <v>1011</v>
      </c>
      <c r="B139" s="15" t="s">
        <v>55</v>
      </c>
      <c r="C139" s="16">
        <v>118</v>
      </c>
      <c r="D139" s="16" t="s">
        <v>188</v>
      </c>
      <c r="E139" s="17" t="s">
        <v>9</v>
      </c>
      <c r="F139" s="24">
        <v>0</v>
      </c>
      <c r="G139" s="24">
        <v>3</v>
      </c>
      <c r="H139" s="19">
        <v>0</v>
      </c>
      <c r="I139" s="19">
        <v>0</v>
      </c>
      <c r="T139" s="19">
        <f>Registro[[#This Row],[Mes 1]]+Registro[[#This Row],[Mes 2]]+Registro[[#This Row],[Mes 3]]</f>
        <v>0</v>
      </c>
      <c r="U139" s="19">
        <f>Registro[[#This Row],[Mes 4]]+Registro[[#This Row],[Mes 5]]+Registro[[#This Row],[Mes 6]]</f>
        <v>0</v>
      </c>
      <c r="V139" s="19">
        <f>Registro[[#This Row],[Mes 7]]+Registro[[#This Row],[Mes 8]]+Registro[[#This Row],[Mes 9]]</f>
        <v>0</v>
      </c>
      <c r="W139" s="20">
        <f>Registro[[#This Row],[Mes 10]]+Registro[[#This Row],[Mes 11]]+Registro[[#This Row],[Mes 12]]</f>
        <v>0</v>
      </c>
      <c r="X139" s="20">
        <f>SUM(Registro[[#This Row],[Trim I]],Registro[[#This Row],[Trim II]],Registro[[#This Row],[Trim III]],Registro[[#This Row],[Trim IV]])</f>
        <v>0</v>
      </c>
      <c r="Y139" s="22">
        <f>IFERROR((Registro[[#This Row],[Avance Total]]/Registro[[#This Row],[Meta]]),0)</f>
        <v>0</v>
      </c>
      <c r="Z139" s="22">
        <f>IFERROR((Registro[[#This Row],[Avance Total]]-Registro[[#This Row],[Línea Base 2025]])/Registro[[#This Row],[Línea Base 2025]],0)</f>
        <v>0</v>
      </c>
      <c r="AA139" s="20">
        <v>2026</v>
      </c>
    </row>
    <row r="140" spans="1:27" hidden="1">
      <c r="A140" s="14">
        <v>1011</v>
      </c>
      <c r="B140" s="15" t="s">
        <v>55</v>
      </c>
      <c r="C140" s="16">
        <v>119</v>
      </c>
      <c r="D140" s="16" t="s">
        <v>190</v>
      </c>
      <c r="E140" s="17" t="s">
        <v>189</v>
      </c>
      <c r="F140" s="24">
        <v>0</v>
      </c>
      <c r="G140" s="24">
        <v>2.2080000000000002</v>
      </c>
      <c r="H140" s="19">
        <v>0</v>
      </c>
      <c r="I140" s="19">
        <v>0</v>
      </c>
      <c r="T140" s="19">
        <f>Registro[[#This Row],[Mes 1]]+Registro[[#This Row],[Mes 2]]+Registro[[#This Row],[Mes 3]]</f>
        <v>0</v>
      </c>
      <c r="U140" s="19">
        <f>Registro[[#This Row],[Mes 4]]+Registro[[#This Row],[Mes 5]]+Registro[[#This Row],[Mes 6]]</f>
        <v>0</v>
      </c>
      <c r="V140" s="19">
        <f>Registro[[#This Row],[Mes 7]]+Registro[[#This Row],[Mes 8]]+Registro[[#This Row],[Mes 9]]</f>
        <v>0</v>
      </c>
      <c r="W140" s="20">
        <f>Registro[[#This Row],[Mes 10]]+Registro[[#This Row],[Mes 11]]+Registro[[#This Row],[Mes 12]]</f>
        <v>0</v>
      </c>
      <c r="X140" s="20">
        <f>SUM(Registro[[#This Row],[Trim I]],Registro[[#This Row],[Trim II]],Registro[[#This Row],[Trim III]],Registro[[#This Row],[Trim IV]])</f>
        <v>0</v>
      </c>
      <c r="Y140" s="22">
        <f>IFERROR((Registro[[#This Row],[Avance Total]]/Registro[[#This Row],[Meta]]),0)</f>
        <v>0</v>
      </c>
      <c r="Z140" s="22">
        <f>IFERROR((Registro[[#This Row],[Avance Total]]-Registro[[#This Row],[Línea Base 2025]])/Registro[[#This Row],[Línea Base 2025]],0)</f>
        <v>0</v>
      </c>
      <c r="AA140" s="20">
        <v>2026</v>
      </c>
    </row>
    <row r="141" spans="1:27" hidden="1">
      <c r="A141" s="14">
        <v>1011</v>
      </c>
      <c r="B141" s="15" t="s">
        <v>55</v>
      </c>
      <c r="C141" s="16">
        <v>120</v>
      </c>
      <c r="D141" s="16" t="s">
        <v>192</v>
      </c>
      <c r="E141" s="17" t="s">
        <v>191</v>
      </c>
      <c r="F141" s="24">
        <v>9</v>
      </c>
      <c r="G141" s="24">
        <v>15</v>
      </c>
      <c r="H141" s="19">
        <v>0</v>
      </c>
      <c r="I141" s="19">
        <v>0</v>
      </c>
      <c r="T141" s="19">
        <f>Registro[[#This Row],[Mes 1]]+Registro[[#This Row],[Mes 2]]+Registro[[#This Row],[Mes 3]]</f>
        <v>0</v>
      </c>
      <c r="U141" s="19">
        <f>Registro[[#This Row],[Mes 4]]+Registro[[#This Row],[Mes 5]]+Registro[[#This Row],[Mes 6]]</f>
        <v>0</v>
      </c>
      <c r="V141" s="19">
        <f>Registro[[#This Row],[Mes 7]]+Registro[[#This Row],[Mes 8]]+Registro[[#This Row],[Mes 9]]</f>
        <v>0</v>
      </c>
      <c r="W141" s="20">
        <f>Registro[[#This Row],[Mes 10]]+Registro[[#This Row],[Mes 11]]+Registro[[#This Row],[Mes 12]]</f>
        <v>0</v>
      </c>
      <c r="X141" s="20">
        <f>SUM(Registro[[#This Row],[Trim I]],Registro[[#This Row],[Trim II]],Registro[[#This Row],[Trim III]],Registro[[#This Row],[Trim IV]])</f>
        <v>0</v>
      </c>
      <c r="Y141" s="22">
        <f>IFERROR((Registro[[#This Row],[Avance Total]]/Registro[[#This Row],[Meta]]),0)</f>
        <v>0</v>
      </c>
      <c r="Z141" s="22">
        <f>IFERROR((Registro[[#This Row],[Avance Total]]-Registro[[#This Row],[Línea Base 2025]])/Registro[[#This Row],[Línea Base 2025]],0)</f>
        <v>-1</v>
      </c>
      <c r="AA141" s="20">
        <v>2026</v>
      </c>
    </row>
    <row r="142" spans="1:27" hidden="1">
      <c r="A142" s="14">
        <v>1011</v>
      </c>
      <c r="B142" s="15" t="s">
        <v>55</v>
      </c>
      <c r="C142" s="16">
        <v>121</v>
      </c>
      <c r="D142" s="16" t="s">
        <v>194</v>
      </c>
      <c r="E142" s="17" t="s">
        <v>193</v>
      </c>
      <c r="F142" s="24">
        <v>1</v>
      </c>
      <c r="G142" s="24">
        <v>4</v>
      </c>
      <c r="H142" s="19">
        <v>0</v>
      </c>
      <c r="I142" s="19">
        <v>0</v>
      </c>
      <c r="T142" s="19">
        <f>Registro[[#This Row],[Mes 1]]+Registro[[#This Row],[Mes 2]]+Registro[[#This Row],[Mes 3]]</f>
        <v>0</v>
      </c>
      <c r="U142" s="19">
        <f>Registro[[#This Row],[Mes 4]]+Registro[[#This Row],[Mes 5]]+Registro[[#This Row],[Mes 6]]</f>
        <v>0</v>
      </c>
      <c r="V142" s="19">
        <f>Registro[[#This Row],[Mes 7]]+Registro[[#This Row],[Mes 8]]+Registro[[#This Row],[Mes 9]]</f>
        <v>0</v>
      </c>
      <c r="W142" s="20">
        <f>Registro[[#This Row],[Mes 10]]+Registro[[#This Row],[Mes 11]]+Registro[[#This Row],[Mes 12]]</f>
        <v>0</v>
      </c>
      <c r="X142" s="20">
        <f>SUM(Registro[[#This Row],[Trim I]],Registro[[#This Row],[Trim II]],Registro[[#This Row],[Trim III]],Registro[[#This Row],[Trim IV]])</f>
        <v>0</v>
      </c>
      <c r="Y142" s="22">
        <f>IFERROR((Registro[[#This Row],[Avance Total]]/Registro[[#This Row],[Meta]]),0)</f>
        <v>0</v>
      </c>
      <c r="Z142" s="22">
        <f>IFERROR((Registro[[#This Row],[Avance Total]]-Registro[[#This Row],[Línea Base 2025]])/Registro[[#This Row],[Línea Base 2025]],0)</f>
        <v>-1</v>
      </c>
      <c r="AA142" s="20">
        <v>2026</v>
      </c>
    </row>
    <row r="143" spans="1:27" hidden="1">
      <c r="A143" s="14">
        <v>1011</v>
      </c>
      <c r="B143" s="15" t="s">
        <v>55</v>
      </c>
      <c r="C143" s="16">
        <v>122</v>
      </c>
      <c r="D143" s="16" t="s">
        <v>196</v>
      </c>
      <c r="E143" s="17" t="s">
        <v>195</v>
      </c>
      <c r="F143" s="24">
        <v>4</v>
      </c>
      <c r="G143" s="24">
        <v>4</v>
      </c>
      <c r="H143" s="19">
        <v>0</v>
      </c>
      <c r="I143" s="19">
        <v>0</v>
      </c>
      <c r="T143" s="19">
        <f>Registro[[#This Row],[Mes 1]]+Registro[[#This Row],[Mes 2]]+Registro[[#This Row],[Mes 3]]</f>
        <v>0</v>
      </c>
      <c r="U143" s="19">
        <f>Registro[[#This Row],[Mes 4]]+Registro[[#This Row],[Mes 5]]+Registro[[#This Row],[Mes 6]]</f>
        <v>0</v>
      </c>
      <c r="V143" s="19">
        <f>Registro[[#This Row],[Mes 7]]+Registro[[#This Row],[Mes 8]]+Registro[[#This Row],[Mes 9]]</f>
        <v>0</v>
      </c>
      <c r="W143" s="20">
        <f>Registro[[#This Row],[Mes 10]]+Registro[[#This Row],[Mes 11]]+Registro[[#This Row],[Mes 12]]</f>
        <v>0</v>
      </c>
      <c r="X143" s="20">
        <f>SUM(Registro[[#This Row],[Trim I]],Registro[[#This Row],[Trim II]],Registro[[#This Row],[Trim III]],Registro[[#This Row],[Trim IV]])</f>
        <v>0</v>
      </c>
      <c r="Y143" s="22">
        <f>IFERROR((Registro[[#This Row],[Avance Total]]/Registro[[#This Row],[Meta]]),0)</f>
        <v>0</v>
      </c>
      <c r="Z143" s="22">
        <f>IFERROR((Registro[[#This Row],[Avance Total]]-Registro[[#This Row],[Línea Base 2025]])/Registro[[#This Row],[Línea Base 2025]],0)</f>
        <v>-1</v>
      </c>
      <c r="AA143" s="20">
        <v>2026</v>
      </c>
    </row>
    <row r="144" spans="1:27" hidden="1">
      <c r="A144" s="14">
        <v>1011</v>
      </c>
      <c r="B144" s="15" t="s">
        <v>55</v>
      </c>
      <c r="C144" s="16">
        <v>123</v>
      </c>
      <c r="D144" s="16" t="s">
        <v>198</v>
      </c>
      <c r="E144" s="17" t="s">
        <v>197</v>
      </c>
      <c r="F144" s="24">
        <v>0</v>
      </c>
      <c r="G144" s="24">
        <v>2</v>
      </c>
      <c r="H144" s="19">
        <v>0</v>
      </c>
      <c r="I144" s="19">
        <v>0</v>
      </c>
      <c r="T144" s="19">
        <f>Registro[[#This Row],[Mes 1]]+Registro[[#This Row],[Mes 2]]+Registro[[#This Row],[Mes 3]]</f>
        <v>0</v>
      </c>
      <c r="U144" s="19">
        <f>Registro[[#This Row],[Mes 4]]+Registro[[#This Row],[Mes 5]]+Registro[[#This Row],[Mes 6]]</f>
        <v>0</v>
      </c>
      <c r="V144" s="19">
        <f>Registro[[#This Row],[Mes 7]]+Registro[[#This Row],[Mes 8]]+Registro[[#This Row],[Mes 9]]</f>
        <v>0</v>
      </c>
      <c r="W144" s="20">
        <f>Registro[[#This Row],[Mes 10]]+Registro[[#This Row],[Mes 11]]+Registro[[#This Row],[Mes 12]]</f>
        <v>0</v>
      </c>
      <c r="X144" s="20">
        <f>SUM(Registro[[#This Row],[Trim I]],Registro[[#This Row],[Trim II]],Registro[[#This Row],[Trim III]],Registro[[#This Row],[Trim IV]])</f>
        <v>0</v>
      </c>
      <c r="Y144" s="22">
        <f>IFERROR((Registro[[#This Row],[Avance Total]]/Registro[[#This Row],[Meta]]),0)</f>
        <v>0</v>
      </c>
      <c r="Z144" s="22">
        <f>IFERROR((Registro[[#This Row],[Avance Total]]-Registro[[#This Row],[Línea Base 2025]])/Registro[[#This Row],[Línea Base 2025]],0)</f>
        <v>0</v>
      </c>
      <c r="AA144" s="20">
        <v>2026</v>
      </c>
    </row>
    <row r="145" spans="1:27" hidden="1">
      <c r="A145" s="14">
        <v>1012</v>
      </c>
      <c r="B145" s="15" t="s">
        <v>13</v>
      </c>
      <c r="C145" s="16">
        <v>111</v>
      </c>
      <c r="D145" s="16" t="s">
        <v>171</v>
      </c>
      <c r="E145" s="17" t="s">
        <v>172</v>
      </c>
      <c r="F145" s="24">
        <v>1</v>
      </c>
      <c r="G145" s="24">
        <v>124</v>
      </c>
      <c r="H145" s="19">
        <v>6</v>
      </c>
      <c r="I145" s="19">
        <v>5</v>
      </c>
      <c r="T145" s="20">
        <f>Registro[[#This Row],[Mes 1]]+Registro[[#This Row],[Mes 2]]+Registro[[#This Row],[Mes 3]]</f>
        <v>11</v>
      </c>
      <c r="U145" s="20">
        <f>Registro[[#This Row],[Mes 4]]+Registro[[#This Row],[Mes 5]]+Registro[[#This Row],[Mes 6]]</f>
        <v>0</v>
      </c>
      <c r="V145" s="20">
        <f>Registro[[#This Row],[Mes 7]]+Registro[[#This Row],[Mes 8]]+Registro[[#This Row],[Mes 9]]</f>
        <v>0</v>
      </c>
      <c r="W145" s="20">
        <f>Registro[[#This Row],[Mes 10]]+Registro[[#This Row],[Mes 11]]+Registro[[#This Row],[Mes 12]]</f>
        <v>0</v>
      </c>
      <c r="X145" s="20">
        <f>SUM(Registro[[#This Row],[Trim I]],Registro[[#This Row],[Trim II]],Registro[[#This Row],[Trim III]],Registro[[#This Row],[Trim IV]])</f>
        <v>11</v>
      </c>
      <c r="Y145" s="22">
        <f>IFERROR((Registro[[#This Row],[Avance Total]]/Registro[[#This Row],[Meta]]),0)</f>
        <v>8.8709677419354843E-2</v>
      </c>
      <c r="Z145" s="22">
        <f>IFERROR((Registro[[#This Row],[Avance Total]]-Registro[[#This Row],[Línea Base 2025]])/Registro[[#This Row],[Línea Base 2025]],0)</f>
        <v>10</v>
      </c>
      <c r="AA145" s="20"/>
    </row>
    <row r="146" spans="1:27" hidden="1">
      <c r="A146" s="14">
        <v>1012</v>
      </c>
      <c r="B146" s="15" t="s">
        <v>13</v>
      </c>
      <c r="C146" s="16">
        <v>112</v>
      </c>
      <c r="D146" s="16" t="s">
        <v>173</v>
      </c>
      <c r="E146" s="17" t="s">
        <v>7</v>
      </c>
      <c r="F146" s="24">
        <v>0</v>
      </c>
      <c r="G146" s="24">
        <v>2</v>
      </c>
      <c r="H146" s="19">
        <v>0</v>
      </c>
      <c r="I146" s="19">
        <v>0</v>
      </c>
      <c r="T146" s="20">
        <f>Registro[[#This Row],[Mes 1]]+Registro[[#This Row],[Mes 2]]+Registro[[#This Row],[Mes 3]]</f>
        <v>0</v>
      </c>
      <c r="U146" s="20">
        <f>Registro[[#This Row],[Mes 4]]+Registro[[#This Row],[Mes 5]]+Registro[[#This Row],[Mes 6]]</f>
        <v>0</v>
      </c>
      <c r="V146" s="20">
        <f>Registro[[#This Row],[Mes 7]]+Registro[[#This Row],[Mes 8]]+Registro[[#This Row],[Mes 9]]</f>
        <v>0</v>
      </c>
      <c r="W146" s="20">
        <f>Registro[[#This Row],[Mes 10]]+Registro[[#This Row],[Mes 11]]+Registro[[#This Row],[Mes 12]]</f>
        <v>0</v>
      </c>
      <c r="X146" s="20">
        <f>SUM(Registro[[#This Row],[Trim I]],Registro[[#This Row],[Trim II]],Registro[[#This Row],[Trim III]],Registro[[#This Row],[Trim IV]])</f>
        <v>0</v>
      </c>
      <c r="Y146" s="22">
        <f>IFERROR((Registro[[#This Row],[Avance Total]]/Registro[[#This Row],[Meta]]),0)</f>
        <v>0</v>
      </c>
      <c r="Z146" s="22">
        <f>IFERROR((Registro[[#This Row],[Avance Total]]-Registro[[#This Row],[Línea Base 2025]])/Registro[[#This Row],[Línea Base 2025]],0)</f>
        <v>0</v>
      </c>
      <c r="AA146" s="20"/>
    </row>
    <row r="147" spans="1:27" hidden="1">
      <c r="A147" s="14">
        <v>1012</v>
      </c>
      <c r="B147" s="15" t="s">
        <v>13</v>
      </c>
      <c r="C147" s="16">
        <v>113</v>
      </c>
      <c r="D147" s="16" t="s">
        <v>179</v>
      </c>
      <c r="E147" s="17" t="s">
        <v>178</v>
      </c>
      <c r="F147" s="24">
        <v>3</v>
      </c>
      <c r="G147" s="24">
        <v>83</v>
      </c>
      <c r="H147" s="19">
        <v>1</v>
      </c>
      <c r="I147" s="19">
        <v>0</v>
      </c>
      <c r="T147" s="20">
        <f>Registro[[#This Row],[Mes 1]]+Registro[[#This Row],[Mes 2]]+Registro[[#This Row],[Mes 3]]</f>
        <v>1</v>
      </c>
      <c r="U147" s="20">
        <f>Registro[[#This Row],[Mes 4]]+Registro[[#This Row],[Mes 5]]+Registro[[#This Row],[Mes 6]]</f>
        <v>0</v>
      </c>
      <c r="V147" s="20">
        <f>Registro[[#This Row],[Mes 7]]+Registro[[#This Row],[Mes 8]]+Registro[[#This Row],[Mes 9]]</f>
        <v>0</v>
      </c>
      <c r="W147" s="20">
        <f>Registro[[#This Row],[Mes 10]]+Registro[[#This Row],[Mes 11]]+Registro[[#This Row],[Mes 12]]</f>
        <v>0</v>
      </c>
      <c r="X147" s="20">
        <f>SUM(Registro[[#This Row],[Trim I]],Registro[[#This Row],[Trim II]],Registro[[#This Row],[Trim III]],Registro[[#This Row],[Trim IV]])</f>
        <v>1</v>
      </c>
      <c r="Y147" s="22">
        <f>IFERROR((Registro[[#This Row],[Avance Total]]/Registro[[#This Row],[Meta]]),0)</f>
        <v>1.2048192771084338E-2</v>
      </c>
      <c r="Z147" s="22">
        <f>IFERROR((Registro[[#This Row],[Avance Total]]-Registro[[#This Row],[Línea Base 2025]])/Registro[[#This Row],[Línea Base 2025]],0)</f>
        <v>-0.66666666666666663</v>
      </c>
      <c r="AA147" s="20"/>
    </row>
    <row r="148" spans="1:27" hidden="1">
      <c r="A148" s="14">
        <v>1012</v>
      </c>
      <c r="B148" s="15" t="s">
        <v>13</v>
      </c>
      <c r="C148" s="16">
        <v>114</v>
      </c>
      <c r="D148" s="16" t="s">
        <v>181</v>
      </c>
      <c r="E148" s="17" t="s">
        <v>180</v>
      </c>
      <c r="F148" s="24">
        <v>0</v>
      </c>
      <c r="G148" s="24">
        <v>0</v>
      </c>
      <c r="H148" s="19">
        <v>2</v>
      </c>
      <c r="I148" s="19">
        <v>0</v>
      </c>
      <c r="T148" s="20">
        <f>Registro[[#This Row],[Mes 1]]+Registro[[#This Row],[Mes 2]]+Registro[[#This Row],[Mes 3]]</f>
        <v>2</v>
      </c>
      <c r="U148" s="20">
        <f>Registro[[#This Row],[Mes 4]]+Registro[[#This Row],[Mes 5]]+Registro[[#This Row],[Mes 6]]</f>
        <v>0</v>
      </c>
      <c r="V148" s="20">
        <f>Registro[[#This Row],[Mes 7]]+Registro[[#This Row],[Mes 8]]+Registro[[#This Row],[Mes 9]]</f>
        <v>0</v>
      </c>
      <c r="W148" s="20">
        <f>Registro[[#This Row],[Mes 10]]+Registro[[#This Row],[Mes 11]]+Registro[[#This Row],[Mes 12]]</f>
        <v>0</v>
      </c>
      <c r="X148" s="20">
        <f>SUM(Registro[[#This Row],[Trim I]],Registro[[#This Row],[Trim II]],Registro[[#This Row],[Trim III]],Registro[[#This Row],[Trim IV]])</f>
        <v>2</v>
      </c>
      <c r="Y148" s="22">
        <f>IFERROR((Registro[[#This Row],[Avance Total]]/Registro[[#This Row],[Meta]]),0)</f>
        <v>0</v>
      </c>
      <c r="Z148" s="22">
        <f>IFERROR((Registro[[#This Row],[Avance Total]]-Registro[[#This Row],[Línea Base 2025]])/Registro[[#This Row],[Línea Base 2025]],0)</f>
        <v>0</v>
      </c>
      <c r="AA148" s="20"/>
    </row>
    <row r="149" spans="1:27" hidden="1">
      <c r="A149" s="14">
        <v>1012</v>
      </c>
      <c r="B149" s="15" t="s">
        <v>13</v>
      </c>
      <c r="C149" s="16">
        <v>115</v>
      </c>
      <c r="D149" s="16" t="s">
        <v>183</v>
      </c>
      <c r="E149" s="17" t="s">
        <v>182</v>
      </c>
      <c r="F149" s="24">
        <v>0</v>
      </c>
      <c r="G149" s="24">
        <v>0</v>
      </c>
      <c r="H149" s="19">
        <v>0</v>
      </c>
      <c r="I149" s="19">
        <v>0</v>
      </c>
      <c r="T149" s="20">
        <f>Registro[[#This Row],[Mes 1]]+Registro[[#This Row],[Mes 2]]+Registro[[#This Row],[Mes 3]]</f>
        <v>0</v>
      </c>
      <c r="U149" s="20">
        <f>Registro[[#This Row],[Mes 4]]+Registro[[#This Row],[Mes 5]]+Registro[[#This Row],[Mes 6]]</f>
        <v>0</v>
      </c>
      <c r="V149" s="20">
        <f>Registro[[#This Row],[Mes 7]]+Registro[[#This Row],[Mes 8]]+Registro[[#This Row],[Mes 9]]</f>
        <v>0</v>
      </c>
      <c r="W149" s="20">
        <f>Registro[[#This Row],[Mes 10]]+Registro[[#This Row],[Mes 11]]+Registro[[#This Row],[Mes 12]]</f>
        <v>0</v>
      </c>
      <c r="X149" s="20">
        <f>SUM(Registro[[#This Row],[Trim I]],Registro[[#This Row],[Trim II]],Registro[[#This Row],[Trim III]],Registro[[#This Row],[Trim IV]])</f>
        <v>0</v>
      </c>
      <c r="Y149" s="22">
        <f>IFERROR((Registro[[#This Row],[Avance Total]]/Registro[[#This Row],[Meta]]),0)</f>
        <v>0</v>
      </c>
      <c r="Z149" s="22">
        <f>IFERROR((Registro[[#This Row],[Avance Total]]-Registro[[#This Row],[Línea Base 2025]])/Registro[[#This Row],[Línea Base 2025]],0)</f>
        <v>0</v>
      </c>
      <c r="AA149" s="20"/>
    </row>
    <row r="150" spans="1:27">
      <c r="A150" s="14">
        <v>1012</v>
      </c>
      <c r="B150" s="15" t="s">
        <v>13</v>
      </c>
      <c r="C150" s="16">
        <v>116</v>
      </c>
      <c r="D150" s="16" t="s">
        <v>185</v>
      </c>
      <c r="E150" s="17" t="s">
        <v>184</v>
      </c>
      <c r="F150" s="24">
        <v>0</v>
      </c>
      <c r="G150" s="24">
        <v>0</v>
      </c>
      <c r="H150" s="19">
        <v>0</v>
      </c>
      <c r="I150" s="19">
        <v>0</v>
      </c>
      <c r="T150" s="20">
        <f>Registro[[#This Row],[Mes 1]]+Registro[[#This Row],[Mes 2]]+Registro[[#This Row],[Mes 3]]</f>
        <v>0</v>
      </c>
      <c r="U150" s="20">
        <f>Registro[[#This Row],[Mes 4]]+Registro[[#This Row],[Mes 5]]+Registro[[#This Row],[Mes 6]]</f>
        <v>0</v>
      </c>
      <c r="V150" s="20">
        <f>Registro[[#This Row],[Mes 7]]+Registro[[#This Row],[Mes 8]]+Registro[[#This Row],[Mes 9]]</f>
        <v>0</v>
      </c>
      <c r="W150" s="20">
        <f>Registro[[#This Row],[Mes 10]]+Registro[[#This Row],[Mes 11]]+Registro[[#This Row],[Mes 12]]</f>
        <v>0</v>
      </c>
      <c r="X150" s="20">
        <f>SUM(Registro[[#This Row],[Trim I]],Registro[[#This Row],[Trim II]],Registro[[#This Row],[Trim III]],Registro[[#This Row],[Trim IV]])</f>
        <v>0</v>
      </c>
      <c r="Y150" s="22">
        <f>IFERROR((Registro[[#This Row],[Avance Total]]/Registro[[#This Row],[Meta]]),0)</f>
        <v>0</v>
      </c>
      <c r="Z150" s="22">
        <f>IFERROR((Registro[[#This Row],[Avance Total]]-Registro[[#This Row],[Línea Base 2025]])/Registro[[#This Row],[Línea Base 2025]],0)</f>
        <v>0</v>
      </c>
      <c r="AA150" s="20"/>
    </row>
    <row r="151" spans="1:27" hidden="1">
      <c r="A151" s="14">
        <v>1012</v>
      </c>
      <c r="B151" s="15" t="s">
        <v>13</v>
      </c>
      <c r="C151" s="16">
        <v>117</v>
      </c>
      <c r="D151" s="16" t="s">
        <v>187</v>
      </c>
      <c r="E151" s="17" t="s">
        <v>186</v>
      </c>
      <c r="F151" s="24">
        <v>0</v>
      </c>
      <c r="G151" s="24">
        <v>0</v>
      </c>
      <c r="H151" s="19">
        <v>0</v>
      </c>
      <c r="I151" s="19">
        <v>0</v>
      </c>
      <c r="T151" s="20">
        <f>Registro[[#This Row],[Mes 1]]+Registro[[#This Row],[Mes 2]]+Registro[[#This Row],[Mes 3]]</f>
        <v>0</v>
      </c>
      <c r="U151" s="20">
        <f>Registro[[#This Row],[Mes 4]]+Registro[[#This Row],[Mes 5]]+Registro[[#This Row],[Mes 6]]</f>
        <v>0</v>
      </c>
      <c r="V151" s="20">
        <f>Registro[[#This Row],[Mes 7]]+Registro[[#This Row],[Mes 8]]+Registro[[#This Row],[Mes 9]]</f>
        <v>0</v>
      </c>
      <c r="W151" s="20">
        <f>Registro[[#This Row],[Mes 10]]+Registro[[#This Row],[Mes 11]]+Registro[[#This Row],[Mes 12]]</f>
        <v>0</v>
      </c>
      <c r="X151" s="20">
        <f>SUM(Registro[[#This Row],[Trim I]],Registro[[#This Row],[Trim II]],Registro[[#This Row],[Trim III]],Registro[[#This Row],[Trim IV]])</f>
        <v>0</v>
      </c>
      <c r="Y151" s="22">
        <f>IFERROR((Registro[[#This Row],[Avance Total]]/Registro[[#This Row],[Meta]]),0)</f>
        <v>0</v>
      </c>
      <c r="Z151" s="22">
        <f>IFERROR((Registro[[#This Row],[Avance Total]]-Registro[[#This Row],[Línea Base 2025]])/Registro[[#This Row],[Línea Base 2025]],0)</f>
        <v>0</v>
      </c>
      <c r="AA151" s="20"/>
    </row>
    <row r="152" spans="1:27" hidden="1">
      <c r="A152" s="14">
        <v>1012</v>
      </c>
      <c r="B152" s="15" t="s">
        <v>13</v>
      </c>
      <c r="C152" s="16">
        <v>118</v>
      </c>
      <c r="D152" s="16" t="s">
        <v>188</v>
      </c>
      <c r="E152" s="17" t="s">
        <v>9</v>
      </c>
      <c r="F152" s="24">
        <v>0</v>
      </c>
      <c r="G152" s="24">
        <v>0</v>
      </c>
      <c r="H152" s="19">
        <v>0</v>
      </c>
      <c r="I152" s="19">
        <v>0</v>
      </c>
      <c r="T152" s="20">
        <f>Registro[[#This Row],[Mes 1]]+Registro[[#This Row],[Mes 2]]+Registro[[#This Row],[Mes 3]]</f>
        <v>0</v>
      </c>
      <c r="U152" s="20">
        <f>Registro[[#This Row],[Mes 4]]+Registro[[#This Row],[Mes 5]]+Registro[[#This Row],[Mes 6]]</f>
        <v>0</v>
      </c>
      <c r="V152" s="20">
        <f>Registro[[#This Row],[Mes 7]]+Registro[[#This Row],[Mes 8]]+Registro[[#This Row],[Mes 9]]</f>
        <v>0</v>
      </c>
      <c r="W152" s="20">
        <f>Registro[[#This Row],[Mes 10]]+Registro[[#This Row],[Mes 11]]+Registro[[#This Row],[Mes 12]]</f>
        <v>0</v>
      </c>
      <c r="X152" s="20">
        <f>SUM(Registro[[#This Row],[Trim I]],Registro[[#This Row],[Trim II]],Registro[[#This Row],[Trim III]],Registro[[#This Row],[Trim IV]])</f>
        <v>0</v>
      </c>
      <c r="Y152" s="22">
        <f>IFERROR((Registro[[#This Row],[Avance Total]]/Registro[[#This Row],[Meta]]),0)</f>
        <v>0</v>
      </c>
      <c r="Z152" s="22">
        <f>IFERROR((Registro[[#This Row],[Avance Total]]-Registro[[#This Row],[Línea Base 2025]])/Registro[[#This Row],[Línea Base 2025]],0)</f>
        <v>0</v>
      </c>
      <c r="AA152" s="20"/>
    </row>
    <row r="153" spans="1:27" hidden="1">
      <c r="A153" s="14">
        <v>1012</v>
      </c>
      <c r="B153" s="15" t="s">
        <v>13</v>
      </c>
      <c r="C153" s="16">
        <v>119</v>
      </c>
      <c r="D153" s="16" t="s">
        <v>190</v>
      </c>
      <c r="E153" s="17" t="s">
        <v>189</v>
      </c>
      <c r="F153" s="24">
        <v>0</v>
      </c>
      <c r="G153" s="24">
        <v>0</v>
      </c>
      <c r="H153" s="19">
        <v>0</v>
      </c>
      <c r="I153" s="19">
        <v>0</v>
      </c>
      <c r="T153" s="20">
        <f>Registro[[#This Row],[Mes 1]]+Registro[[#This Row],[Mes 2]]+Registro[[#This Row],[Mes 3]]</f>
        <v>0</v>
      </c>
      <c r="U153" s="20">
        <f>Registro[[#This Row],[Mes 4]]+Registro[[#This Row],[Mes 5]]+Registro[[#This Row],[Mes 6]]</f>
        <v>0</v>
      </c>
      <c r="V153" s="20">
        <f>Registro[[#This Row],[Mes 7]]+Registro[[#This Row],[Mes 8]]+Registro[[#This Row],[Mes 9]]</f>
        <v>0</v>
      </c>
      <c r="W153" s="20">
        <f>Registro[[#This Row],[Mes 10]]+Registro[[#This Row],[Mes 11]]+Registro[[#This Row],[Mes 12]]</f>
        <v>0</v>
      </c>
      <c r="X153" s="20">
        <f>SUM(Registro[[#This Row],[Trim I]],Registro[[#This Row],[Trim II]],Registro[[#This Row],[Trim III]],Registro[[#This Row],[Trim IV]])</f>
        <v>0</v>
      </c>
      <c r="Y153" s="22">
        <f>IFERROR((Registro[[#This Row],[Avance Total]]/Registro[[#This Row],[Meta]]),0)</f>
        <v>0</v>
      </c>
      <c r="Z153" s="22">
        <f>IFERROR((Registro[[#This Row],[Avance Total]]-Registro[[#This Row],[Línea Base 2025]])/Registro[[#This Row],[Línea Base 2025]],0)</f>
        <v>0</v>
      </c>
      <c r="AA153" s="20"/>
    </row>
    <row r="154" spans="1:27" hidden="1">
      <c r="A154" s="14">
        <v>1012</v>
      </c>
      <c r="B154" s="15" t="s">
        <v>13</v>
      </c>
      <c r="C154" s="16">
        <v>120</v>
      </c>
      <c r="D154" s="16" t="s">
        <v>192</v>
      </c>
      <c r="E154" s="17" t="s">
        <v>191</v>
      </c>
      <c r="F154" s="24">
        <v>0</v>
      </c>
      <c r="G154" s="24">
        <v>0</v>
      </c>
      <c r="H154" s="19">
        <v>0</v>
      </c>
      <c r="I154" s="19">
        <v>0</v>
      </c>
      <c r="T154" s="20">
        <f>Registro[[#This Row],[Mes 1]]+Registro[[#This Row],[Mes 2]]+Registro[[#This Row],[Mes 3]]</f>
        <v>0</v>
      </c>
      <c r="U154" s="20">
        <f>Registro[[#This Row],[Mes 4]]+Registro[[#This Row],[Mes 5]]+Registro[[#This Row],[Mes 6]]</f>
        <v>0</v>
      </c>
      <c r="V154" s="20">
        <f>Registro[[#This Row],[Mes 7]]+Registro[[#This Row],[Mes 8]]+Registro[[#This Row],[Mes 9]]</f>
        <v>0</v>
      </c>
      <c r="W154" s="20">
        <f>Registro[[#This Row],[Mes 10]]+Registro[[#This Row],[Mes 11]]+Registro[[#This Row],[Mes 12]]</f>
        <v>0</v>
      </c>
      <c r="X154" s="20">
        <f>SUM(Registro[[#This Row],[Trim I]],Registro[[#This Row],[Trim II]],Registro[[#This Row],[Trim III]],Registro[[#This Row],[Trim IV]])</f>
        <v>0</v>
      </c>
      <c r="Y154" s="22">
        <f>IFERROR((Registro[[#This Row],[Avance Total]]/Registro[[#This Row],[Meta]]),0)</f>
        <v>0</v>
      </c>
      <c r="Z154" s="22">
        <f>IFERROR((Registro[[#This Row],[Avance Total]]-Registro[[#This Row],[Línea Base 2025]])/Registro[[#This Row],[Línea Base 2025]],0)</f>
        <v>0</v>
      </c>
      <c r="AA154" s="20"/>
    </row>
    <row r="155" spans="1:27" hidden="1">
      <c r="A155" s="14">
        <v>1012</v>
      </c>
      <c r="B155" s="15" t="s">
        <v>13</v>
      </c>
      <c r="C155" s="16">
        <v>121</v>
      </c>
      <c r="D155" s="16" t="s">
        <v>194</v>
      </c>
      <c r="E155" s="17" t="s">
        <v>193</v>
      </c>
      <c r="F155" s="24">
        <v>0</v>
      </c>
      <c r="G155" s="24">
        <v>0</v>
      </c>
      <c r="H155" s="19">
        <v>0</v>
      </c>
      <c r="I155" s="19">
        <v>0</v>
      </c>
      <c r="T155" s="20">
        <f>Registro[[#This Row],[Mes 1]]+Registro[[#This Row],[Mes 2]]+Registro[[#This Row],[Mes 3]]</f>
        <v>0</v>
      </c>
      <c r="U155" s="20">
        <f>Registro[[#This Row],[Mes 4]]+Registro[[#This Row],[Mes 5]]+Registro[[#This Row],[Mes 6]]</f>
        <v>0</v>
      </c>
      <c r="V155" s="20">
        <f>Registro[[#This Row],[Mes 7]]+Registro[[#This Row],[Mes 8]]+Registro[[#This Row],[Mes 9]]</f>
        <v>0</v>
      </c>
      <c r="W155" s="20">
        <f>Registro[[#This Row],[Mes 10]]+Registro[[#This Row],[Mes 11]]+Registro[[#This Row],[Mes 12]]</f>
        <v>0</v>
      </c>
      <c r="X155" s="20">
        <f>SUM(Registro[[#This Row],[Trim I]],Registro[[#This Row],[Trim II]],Registro[[#This Row],[Trim III]],Registro[[#This Row],[Trim IV]])</f>
        <v>0</v>
      </c>
      <c r="Y155" s="22">
        <f>IFERROR((Registro[[#This Row],[Avance Total]]/Registro[[#This Row],[Meta]]),0)</f>
        <v>0</v>
      </c>
      <c r="Z155" s="22">
        <f>IFERROR((Registro[[#This Row],[Avance Total]]-Registro[[#This Row],[Línea Base 2025]])/Registro[[#This Row],[Línea Base 2025]],0)</f>
        <v>0</v>
      </c>
      <c r="AA155" s="20"/>
    </row>
    <row r="156" spans="1:27" hidden="1">
      <c r="A156" s="14">
        <v>1012</v>
      </c>
      <c r="B156" s="15" t="s">
        <v>13</v>
      </c>
      <c r="C156" s="16">
        <v>122</v>
      </c>
      <c r="D156" s="16" t="s">
        <v>196</v>
      </c>
      <c r="E156" s="17" t="s">
        <v>195</v>
      </c>
      <c r="F156" s="24">
        <v>0</v>
      </c>
      <c r="G156" s="24">
        <v>0</v>
      </c>
      <c r="H156" s="19">
        <v>0</v>
      </c>
      <c r="I156" s="19">
        <v>0</v>
      </c>
      <c r="T156" s="20">
        <f>Registro[[#This Row],[Mes 1]]+Registro[[#This Row],[Mes 2]]+Registro[[#This Row],[Mes 3]]</f>
        <v>0</v>
      </c>
      <c r="U156" s="20">
        <f>Registro[[#This Row],[Mes 4]]+Registro[[#This Row],[Mes 5]]+Registro[[#This Row],[Mes 6]]</f>
        <v>0</v>
      </c>
      <c r="V156" s="20">
        <f>Registro[[#This Row],[Mes 7]]+Registro[[#This Row],[Mes 8]]+Registro[[#This Row],[Mes 9]]</f>
        <v>0</v>
      </c>
      <c r="W156" s="20">
        <f>Registro[[#This Row],[Mes 10]]+Registro[[#This Row],[Mes 11]]+Registro[[#This Row],[Mes 12]]</f>
        <v>0</v>
      </c>
      <c r="X156" s="20">
        <f>SUM(Registro[[#This Row],[Trim I]],Registro[[#This Row],[Trim II]],Registro[[#This Row],[Trim III]],Registro[[#This Row],[Trim IV]])</f>
        <v>0</v>
      </c>
      <c r="Y156" s="22">
        <f>IFERROR((Registro[[#This Row],[Avance Total]]/Registro[[#This Row],[Meta]]),0)</f>
        <v>0</v>
      </c>
      <c r="Z156" s="22">
        <f>IFERROR((Registro[[#This Row],[Avance Total]]-Registro[[#This Row],[Línea Base 2025]])/Registro[[#This Row],[Línea Base 2025]],0)</f>
        <v>0</v>
      </c>
      <c r="AA156" s="20"/>
    </row>
    <row r="157" spans="1:27" hidden="1">
      <c r="A157" s="14">
        <v>1012</v>
      </c>
      <c r="B157" s="15" t="s">
        <v>13</v>
      </c>
      <c r="C157" s="16">
        <v>123</v>
      </c>
      <c r="D157" s="16" t="s">
        <v>198</v>
      </c>
      <c r="E157" s="17" t="s">
        <v>197</v>
      </c>
      <c r="F157" s="24">
        <v>0</v>
      </c>
      <c r="G157" s="24">
        <v>0</v>
      </c>
      <c r="H157" s="19">
        <v>0</v>
      </c>
      <c r="I157" s="19">
        <v>0</v>
      </c>
      <c r="T157" s="20">
        <f>Registro[[#This Row],[Mes 1]]+Registro[[#This Row],[Mes 2]]+Registro[[#This Row],[Mes 3]]</f>
        <v>0</v>
      </c>
      <c r="U157" s="20">
        <f>Registro[[#This Row],[Mes 4]]+Registro[[#This Row],[Mes 5]]+Registro[[#This Row],[Mes 6]]</f>
        <v>0</v>
      </c>
      <c r="V157" s="20">
        <f>Registro[[#This Row],[Mes 7]]+Registro[[#This Row],[Mes 8]]+Registro[[#This Row],[Mes 9]]</f>
        <v>0</v>
      </c>
      <c r="W157" s="20">
        <f>Registro[[#This Row],[Mes 10]]+Registro[[#This Row],[Mes 11]]+Registro[[#This Row],[Mes 12]]</f>
        <v>0</v>
      </c>
      <c r="X157" s="20">
        <f>SUM(Registro[[#This Row],[Trim I]],Registro[[#This Row],[Trim II]],Registro[[#This Row],[Trim III]],Registro[[#This Row],[Trim IV]])</f>
        <v>0</v>
      </c>
      <c r="Y157" s="22">
        <f>IFERROR((Registro[[#This Row],[Avance Total]]/Registro[[#This Row],[Meta]]),0)</f>
        <v>0</v>
      </c>
      <c r="Z157" s="22">
        <f>IFERROR((Registro[[#This Row],[Avance Total]]-Registro[[#This Row],[Línea Base 2025]])/Registro[[#This Row],[Línea Base 2025]],0)</f>
        <v>0</v>
      </c>
      <c r="AA157" s="20"/>
    </row>
    <row r="158" spans="1:27" hidden="1">
      <c r="A158" s="14">
        <v>1013</v>
      </c>
      <c r="B158" s="15" t="s">
        <v>56</v>
      </c>
      <c r="C158" s="16">
        <v>111</v>
      </c>
      <c r="D158" s="16" t="s">
        <v>171</v>
      </c>
      <c r="E158" s="17" t="s">
        <v>172</v>
      </c>
      <c r="F158" s="24">
        <v>12</v>
      </c>
      <c r="G158" s="24">
        <v>136</v>
      </c>
      <c r="H158" s="19">
        <v>9</v>
      </c>
      <c r="I158" s="19">
        <v>9</v>
      </c>
      <c r="T158" s="19">
        <f>Registro[[#This Row],[Mes 1]]+Registro[[#This Row],[Mes 2]]+Registro[[#This Row],[Mes 3]]</f>
        <v>18</v>
      </c>
      <c r="U158" s="19">
        <f>Registro[[#This Row],[Mes 4]]+Registro[[#This Row],[Mes 5]]+Registro[[#This Row],[Mes 6]]</f>
        <v>0</v>
      </c>
      <c r="V158" s="19">
        <f>Registro[[#This Row],[Mes 7]]+Registro[[#This Row],[Mes 8]]+Registro[[#This Row],[Mes 9]]</f>
        <v>0</v>
      </c>
      <c r="W158" s="20">
        <f>Registro[[#This Row],[Mes 10]]+Registro[[#This Row],[Mes 11]]+Registro[[#This Row],[Mes 12]]</f>
        <v>0</v>
      </c>
      <c r="X158" s="20">
        <f>SUM(Registro[[#This Row],[Trim I]],Registro[[#This Row],[Trim II]],Registro[[#This Row],[Trim III]],Registro[[#This Row],[Trim IV]])</f>
        <v>18</v>
      </c>
      <c r="Y158" s="22">
        <f>IFERROR((Registro[[#This Row],[Avance Total]]/Registro[[#This Row],[Meta]]),0)</f>
        <v>0.13235294117647059</v>
      </c>
      <c r="Z158" s="22">
        <f>IFERROR((Registro[[#This Row],[Avance Total]]-Registro[[#This Row],[Línea Base 2025]])/Registro[[#This Row],[Línea Base 2025]],0)</f>
        <v>0.5</v>
      </c>
      <c r="AA158" s="20">
        <v>2026</v>
      </c>
    </row>
    <row r="159" spans="1:27" hidden="1">
      <c r="A159" s="14">
        <v>1013</v>
      </c>
      <c r="B159" s="15" t="s">
        <v>56</v>
      </c>
      <c r="C159" s="16">
        <v>112</v>
      </c>
      <c r="D159" s="16" t="s">
        <v>173</v>
      </c>
      <c r="E159" s="17" t="s">
        <v>7</v>
      </c>
      <c r="F159" s="24">
        <v>4</v>
      </c>
      <c r="G159" s="24">
        <v>25</v>
      </c>
      <c r="H159" s="19">
        <v>0</v>
      </c>
      <c r="I159" s="19">
        <v>0</v>
      </c>
      <c r="T159" s="19">
        <f>Registro[[#This Row],[Mes 1]]+Registro[[#This Row],[Mes 2]]+Registro[[#This Row],[Mes 3]]</f>
        <v>0</v>
      </c>
      <c r="U159" s="19">
        <f>Registro[[#This Row],[Mes 4]]+Registro[[#This Row],[Mes 5]]+Registro[[#This Row],[Mes 6]]</f>
        <v>0</v>
      </c>
      <c r="V159" s="19">
        <f>Registro[[#This Row],[Mes 7]]+Registro[[#This Row],[Mes 8]]+Registro[[#This Row],[Mes 9]]</f>
        <v>0</v>
      </c>
      <c r="W159" s="20">
        <f>Registro[[#This Row],[Mes 10]]+Registro[[#This Row],[Mes 11]]+Registro[[#This Row],[Mes 12]]</f>
        <v>0</v>
      </c>
      <c r="X159" s="20">
        <f>SUM(Registro[[#This Row],[Trim I]],Registro[[#This Row],[Trim II]],Registro[[#This Row],[Trim III]],Registro[[#This Row],[Trim IV]])</f>
        <v>0</v>
      </c>
      <c r="Y159" s="22">
        <f>IFERROR((Registro[[#This Row],[Avance Total]]/Registro[[#This Row],[Meta]]),0)</f>
        <v>0</v>
      </c>
      <c r="Z159" s="22">
        <f>IFERROR((Registro[[#This Row],[Avance Total]]-Registro[[#This Row],[Línea Base 2025]])/Registro[[#This Row],[Línea Base 2025]],0)</f>
        <v>-1</v>
      </c>
      <c r="AA159" s="20">
        <v>2026</v>
      </c>
    </row>
    <row r="160" spans="1:27" hidden="1">
      <c r="A160" s="14">
        <v>1013</v>
      </c>
      <c r="B160" s="15" t="s">
        <v>56</v>
      </c>
      <c r="C160" s="16">
        <v>113</v>
      </c>
      <c r="D160" s="16" t="s">
        <v>179</v>
      </c>
      <c r="E160" s="17" t="s">
        <v>178</v>
      </c>
      <c r="F160" s="24">
        <v>16</v>
      </c>
      <c r="G160" s="24">
        <v>160</v>
      </c>
      <c r="H160" s="19">
        <v>0</v>
      </c>
      <c r="I160" s="19">
        <v>3</v>
      </c>
      <c r="T160" s="19">
        <f>Registro[[#This Row],[Mes 1]]+Registro[[#This Row],[Mes 2]]+Registro[[#This Row],[Mes 3]]</f>
        <v>3</v>
      </c>
      <c r="U160" s="19">
        <f>Registro[[#This Row],[Mes 4]]+Registro[[#This Row],[Mes 5]]+Registro[[#This Row],[Mes 6]]</f>
        <v>0</v>
      </c>
      <c r="V160" s="19">
        <f>Registro[[#This Row],[Mes 7]]+Registro[[#This Row],[Mes 8]]+Registro[[#This Row],[Mes 9]]</f>
        <v>0</v>
      </c>
      <c r="W160" s="20">
        <f>Registro[[#This Row],[Mes 10]]+Registro[[#This Row],[Mes 11]]+Registro[[#This Row],[Mes 12]]</f>
        <v>0</v>
      </c>
      <c r="X160" s="20">
        <f>SUM(Registro[[#This Row],[Trim I]],Registro[[#This Row],[Trim II]],Registro[[#This Row],[Trim III]],Registro[[#This Row],[Trim IV]])</f>
        <v>3</v>
      </c>
      <c r="Y160" s="22">
        <f>IFERROR((Registro[[#This Row],[Avance Total]]/Registro[[#This Row],[Meta]]),0)</f>
        <v>1.8749999999999999E-2</v>
      </c>
      <c r="Z160" s="22">
        <f>IFERROR((Registro[[#This Row],[Avance Total]]-Registro[[#This Row],[Línea Base 2025]])/Registro[[#This Row],[Línea Base 2025]],0)</f>
        <v>-0.8125</v>
      </c>
      <c r="AA160" s="20">
        <v>2026</v>
      </c>
    </row>
    <row r="161" spans="1:27" hidden="1">
      <c r="A161" s="14">
        <v>1013</v>
      </c>
      <c r="B161" s="15" t="s">
        <v>56</v>
      </c>
      <c r="C161" s="16">
        <v>114</v>
      </c>
      <c r="D161" s="16" t="s">
        <v>181</v>
      </c>
      <c r="E161" s="17" t="s">
        <v>180</v>
      </c>
      <c r="F161" s="24">
        <v>21</v>
      </c>
      <c r="G161" s="24">
        <v>35</v>
      </c>
      <c r="H161" s="19">
        <v>15</v>
      </c>
      <c r="I161" s="19">
        <v>0</v>
      </c>
      <c r="T161" s="19">
        <f>Registro[[#This Row],[Mes 1]]+Registro[[#This Row],[Mes 2]]+Registro[[#This Row],[Mes 3]]</f>
        <v>15</v>
      </c>
      <c r="U161" s="19">
        <f>Registro[[#This Row],[Mes 4]]+Registro[[#This Row],[Mes 5]]+Registro[[#This Row],[Mes 6]]</f>
        <v>0</v>
      </c>
      <c r="V161" s="19">
        <f>Registro[[#This Row],[Mes 7]]+Registro[[#This Row],[Mes 8]]+Registro[[#This Row],[Mes 9]]</f>
        <v>0</v>
      </c>
      <c r="W161" s="20">
        <f>Registro[[#This Row],[Mes 10]]+Registro[[#This Row],[Mes 11]]+Registro[[#This Row],[Mes 12]]</f>
        <v>0</v>
      </c>
      <c r="X161" s="20">
        <f>SUM(Registro[[#This Row],[Trim I]],Registro[[#This Row],[Trim II]],Registro[[#This Row],[Trim III]],Registro[[#This Row],[Trim IV]])</f>
        <v>15</v>
      </c>
      <c r="Y161" s="22">
        <f>IFERROR((Registro[[#This Row],[Avance Total]]/Registro[[#This Row],[Meta]]),0)</f>
        <v>0.42857142857142855</v>
      </c>
      <c r="Z161" s="22">
        <f>IFERROR((Registro[[#This Row],[Avance Total]]-Registro[[#This Row],[Línea Base 2025]])/Registro[[#This Row],[Línea Base 2025]],0)</f>
        <v>-0.2857142857142857</v>
      </c>
      <c r="AA161" s="20">
        <v>2026</v>
      </c>
    </row>
    <row r="162" spans="1:27" hidden="1">
      <c r="A162" s="14">
        <v>1013</v>
      </c>
      <c r="B162" s="15" t="s">
        <v>56</v>
      </c>
      <c r="C162" s="16">
        <v>115</v>
      </c>
      <c r="D162" s="16" t="s">
        <v>183</v>
      </c>
      <c r="E162" s="17" t="s">
        <v>182</v>
      </c>
      <c r="F162" s="24">
        <v>0</v>
      </c>
      <c r="G162" s="24">
        <v>19</v>
      </c>
      <c r="H162" s="19">
        <v>0</v>
      </c>
      <c r="I162" s="19">
        <v>8</v>
      </c>
      <c r="T162" s="19">
        <f>Registro[[#This Row],[Mes 1]]+Registro[[#This Row],[Mes 2]]+Registro[[#This Row],[Mes 3]]</f>
        <v>8</v>
      </c>
      <c r="U162" s="19">
        <f>Registro[[#This Row],[Mes 4]]+Registro[[#This Row],[Mes 5]]+Registro[[#This Row],[Mes 6]]</f>
        <v>0</v>
      </c>
      <c r="V162" s="19">
        <f>Registro[[#This Row],[Mes 7]]+Registro[[#This Row],[Mes 8]]+Registro[[#This Row],[Mes 9]]</f>
        <v>0</v>
      </c>
      <c r="W162" s="20">
        <f>Registro[[#This Row],[Mes 10]]+Registro[[#This Row],[Mes 11]]+Registro[[#This Row],[Mes 12]]</f>
        <v>0</v>
      </c>
      <c r="X162" s="20">
        <f>SUM(Registro[[#This Row],[Trim I]],Registro[[#This Row],[Trim II]],Registro[[#This Row],[Trim III]],Registro[[#This Row],[Trim IV]])</f>
        <v>8</v>
      </c>
      <c r="Y162" s="22">
        <f>IFERROR((Registro[[#This Row],[Avance Total]]/Registro[[#This Row],[Meta]]),0)</f>
        <v>0.42105263157894735</v>
      </c>
      <c r="Z162" s="22">
        <f>IFERROR((Registro[[#This Row],[Avance Total]]-Registro[[#This Row],[Línea Base 2025]])/Registro[[#This Row],[Línea Base 2025]],0)</f>
        <v>0</v>
      </c>
      <c r="AA162" s="20">
        <v>2026</v>
      </c>
    </row>
    <row r="163" spans="1:27">
      <c r="A163" s="14">
        <v>1013</v>
      </c>
      <c r="B163" s="15" t="s">
        <v>56</v>
      </c>
      <c r="C163" s="16">
        <v>116</v>
      </c>
      <c r="D163" s="16" t="s">
        <v>185</v>
      </c>
      <c r="E163" s="17" t="s">
        <v>184</v>
      </c>
      <c r="F163" s="24">
        <v>2</v>
      </c>
      <c r="G163" s="24">
        <v>6.9</v>
      </c>
      <c r="H163" s="19">
        <v>1</v>
      </c>
      <c r="I163" s="19">
        <v>0</v>
      </c>
      <c r="T163" s="19">
        <f>Registro[[#This Row],[Mes 1]]+Registro[[#This Row],[Mes 2]]+Registro[[#This Row],[Mes 3]]</f>
        <v>1</v>
      </c>
      <c r="U163" s="19">
        <f>Registro[[#This Row],[Mes 4]]+Registro[[#This Row],[Mes 5]]+Registro[[#This Row],[Mes 6]]</f>
        <v>0</v>
      </c>
      <c r="V163" s="19">
        <f>Registro[[#This Row],[Mes 7]]+Registro[[#This Row],[Mes 8]]+Registro[[#This Row],[Mes 9]]</f>
        <v>0</v>
      </c>
      <c r="W163" s="20">
        <f>Registro[[#This Row],[Mes 10]]+Registro[[#This Row],[Mes 11]]+Registro[[#This Row],[Mes 12]]</f>
        <v>0</v>
      </c>
      <c r="X163" s="20">
        <f>SUM(Registro[[#This Row],[Trim I]],Registro[[#This Row],[Trim II]],Registro[[#This Row],[Trim III]],Registro[[#This Row],[Trim IV]])</f>
        <v>1</v>
      </c>
      <c r="Y163" s="22">
        <f>IFERROR((Registro[[#This Row],[Avance Total]]/Registro[[#This Row],[Meta]]),0)</f>
        <v>0.14492753623188406</v>
      </c>
      <c r="Z163" s="22">
        <f>IFERROR((Registro[[#This Row],[Avance Total]]-Registro[[#This Row],[Línea Base 2025]])/Registro[[#This Row],[Línea Base 2025]],0)</f>
        <v>-0.5</v>
      </c>
      <c r="AA163" s="20">
        <v>2026</v>
      </c>
    </row>
    <row r="164" spans="1:27" hidden="1">
      <c r="A164" s="14">
        <v>1013</v>
      </c>
      <c r="B164" s="15" t="s">
        <v>56</v>
      </c>
      <c r="C164" s="16">
        <v>117</v>
      </c>
      <c r="D164" s="16" t="s">
        <v>187</v>
      </c>
      <c r="E164" s="17" t="s">
        <v>186</v>
      </c>
      <c r="F164" s="24">
        <v>1</v>
      </c>
      <c r="G164" s="24">
        <v>3</v>
      </c>
      <c r="H164" s="19">
        <v>0</v>
      </c>
      <c r="I164" s="19">
        <v>0</v>
      </c>
      <c r="T164" s="19">
        <f>Registro[[#This Row],[Mes 1]]+Registro[[#This Row],[Mes 2]]+Registro[[#This Row],[Mes 3]]</f>
        <v>0</v>
      </c>
      <c r="U164" s="19">
        <f>Registro[[#This Row],[Mes 4]]+Registro[[#This Row],[Mes 5]]+Registro[[#This Row],[Mes 6]]</f>
        <v>0</v>
      </c>
      <c r="V164" s="19">
        <f>Registro[[#This Row],[Mes 7]]+Registro[[#This Row],[Mes 8]]+Registro[[#This Row],[Mes 9]]</f>
        <v>0</v>
      </c>
      <c r="W164" s="20">
        <f>Registro[[#This Row],[Mes 10]]+Registro[[#This Row],[Mes 11]]+Registro[[#This Row],[Mes 12]]</f>
        <v>0</v>
      </c>
      <c r="X164" s="20">
        <f>SUM(Registro[[#This Row],[Trim I]],Registro[[#This Row],[Trim II]],Registro[[#This Row],[Trim III]],Registro[[#This Row],[Trim IV]])</f>
        <v>0</v>
      </c>
      <c r="Y164" s="22">
        <f>IFERROR((Registro[[#This Row],[Avance Total]]/Registro[[#This Row],[Meta]]),0)</f>
        <v>0</v>
      </c>
      <c r="Z164" s="22">
        <f>IFERROR((Registro[[#This Row],[Avance Total]]-Registro[[#This Row],[Línea Base 2025]])/Registro[[#This Row],[Línea Base 2025]],0)</f>
        <v>-1</v>
      </c>
      <c r="AA164" s="20">
        <v>2026</v>
      </c>
    </row>
    <row r="165" spans="1:27" hidden="1">
      <c r="A165" s="14">
        <v>1013</v>
      </c>
      <c r="B165" s="15" t="s">
        <v>56</v>
      </c>
      <c r="C165" s="16">
        <v>118</v>
      </c>
      <c r="D165" s="16" t="s">
        <v>188</v>
      </c>
      <c r="E165" s="17" t="s">
        <v>9</v>
      </c>
      <c r="F165" s="24">
        <v>0</v>
      </c>
      <c r="G165" s="24">
        <v>0</v>
      </c>
      <c r="H165" s="19">
        <v>0</v>
      </c>
      <c r="I165" s="19">
        <v>0</v>
      </c>
      <c r="T165" s="19">
        <f>Registro[[#This Row],[Mes 1]]+Registro[[#This Row],[Mes 2]]+Registro[[#This Row],[Mes 3]]</f>
        <v>0</v>
      </c>
      <c r="U165" s="19">
        <f>Registro[[#This Row],[Mes 4]]+Registro[[#This Row],[Mes 5]]+Registro[[#This Row],[Mes 6]]</f>
        <v>0</v>
      </c>
      <c r="V165" s="19">
        <f>Registro[[#This Row],[Mes 7]]+Registro[[#This Row],[Mes 8]]+Registro[[#This Row],[Mes 9]]</f>
        <v>0</v>
      </c>
      <c r="W165" s="20">
        <f>Registro[[#This Row],[Mes 10]]+Registro[[#This Row],[Mes 11]]+Registro[[#This Row],[Mes 12]]</f>
        <v>0</v>
      </c>
      <c r="X165" s="20">
        <f>SUM(Registro[[#This Row],[Trim I]],Registro[[#This Row],[Trim II]],Registro[[#This Row],[Trim III]],Registro[[#This Row],[Trim IV]])</f>
        <v>0</v>
      </c>
      <c r="Y165" s="22">
        <f>IFERROR((Registro[[#This Row],[Avance Total]]/Registro[[#This Row],[Meta]]),0)</f>
        <v>0</v>
      </c>
      <c r="Z165" s="22">
        <f>IFERROR((Registro[[#This Row],[Avance Total]]-Registro[[#This Row],[Línea Base 2025]])/Registro[[#This Row],[Línea Base 2025]],0)</f>
        <v>0</v>
      </c>
      <c r="AA165" s="20">
        <v>2026</v>
      </c>
    </row>
    <row r="166" spans="1:27" hidden="1">
      <c r="A166" s="14">
        <v>1013</v>
      </c>
      <c r="B166" s="15" t="s">
        <v>56</v>
      </c>
      <c r="C166" s="16">
        <v>119</v>
      </c>
      <c r="D166" s="16" t="s">
        <v>190</v>
      </c>
      <c r="E166" s="17" t="s">
        <v>189</v>
      </c>
      <c r="F166" s="24">
        <v>0</v>
      </c>
      <c r="G166" s="24">
        <v>5.5200000000000005</v>
      </c>
      <c r="H166" s="19">
        <v>0</v>
      </c>
      <c r="I166" s="19">
        <v>0</v>
      </c>
      <c r="T166" s="19">
        <f>Registro[[#This Row],[Mes 1]]+Registro[[#This Row],[Mes 2]]+Registro[[#This Row],[Mes 3]]</f>
        <v>0</v>
      </c>
      <c r="U166" s="19">
        <f>Registro[[#This Row],[Mes 4]]+Registro[[#This Row],[Mes 5]]+Registro[[#This Row],[Mes 6]]</f>
        <v>0</v>
      </c>
      <c r="V166" s="19">
        <f>Registro[[#This Row],[Mes 7]]+Registro[[#This Row],[Mes 8]]+Registro[[#This Row],[Mes 9]]</f>
        <v>0</v>
      </c>
      <c r="W166" s="20">
        <f>Registro[[#This Row],[Mes 10]]+Registro[[#This Row],[Mes 11]]+Registro[[#This Row],[Mes 12]]</f>
        <v>0</v>
      </c>
      <c r="X166" s="20">
        <f>SUM(Registro[[#This Row],[Trim I]],Registro[[#This Row],[Trim II]],Registro[[#This Row],[Trim III]],Registro[[#This Row],[Trim IV]])</f>
        <v>0</v>
      </c>
      <c r="Y166" s="22">
        <f>IFERROR((Registro[[#This Row],[Avance Total]]/Registro[[#This Row],[Meta]]),0)</f>
        <v>0</v>
      </c>
      <c r="Z166" s="22">
        <f>IFERROR((Registro[[#This Row],[Avance Total]]-Registro[[#This Row],[Línea Base 2025]])/Registro[[#This Row],[Línea Base 2025]],0)</f>
        <v>0</v>
      </c>
      <c r="AA166" s="20">
        <v>2026</v>
      </c>
    </row>
    <row r="167" spans="1:27" hidden="1">
      <c r="A167" s="14">
        <v>1013</v>
      </c>
      <c r="B167" s="15" t="s">
        <v>56</v>
      </c>
      <c r="C167" s="16">
        <v>120</v>
      </c>
      <c r="D167" s="16" t="s">
        <v>192</v>
      </c>
      <c r="E167" s="17" t="s">
        <v>191</v>
      </c>
      <c r="F167" s="24">
        <v>25</v>
      </c>
      <c r="G167" s="24">
        <v>25</v>
      </c>
      <c r="H167" s="19">
        <v>0</v>
      </c>
      <c r="I167" s="19">
        <v>0</v>
      </c>
      <c r="T167" s="19">
        <f>Registro[[#This Row],[Mes 1]]+Registro[[#This Row],[Mes 2]]+Registro[[#This Row],[Mes 3]]</f>
        <v>0</v>
      </c>
      <c r="U167" s="19">
        <f>Registro[[#This Row],[Mes 4]]+Registro[[#This Row],[Mes 5]]+Registro[[#This Row],[Mes 6]]</f>
        <v>0</v>
      </c>
      <c r="V167" s="19">
        <f>Registro[[#This Row],[Mes 7]]+Registro[[#This Row],[Mes 8]]+Registro[[#This Row],[Mes 9]]</f>
        <v>0</v>
      </c>
      <c r="W167" s="20">
        <f>Registro[[#This Row],[Mes 10]]+Registro[[#This Row],[Mes 11]]+Registro[[#This Row],[Mes 12]]</f>
        <v>0</v>
      </c>
      <c r="X167" s="20">
        <f>SUM(Registro[[#This Row],[Trim I]],Registro[[#This Row],[Trim II]],Registro[[#This Row],[Trim III]],Registro[[#This Row],[Trim IV]])</f>
        <v>0</v>
      </c>
      <c r="Y167" s="22">
        <f>IFERROR((Registro[[#This Row],[Avance Total]]/Registro[[#This Row],[Meta]]),0)</f>
        <v>0</v>
      </c>
      <c r="Z167" s="22">
        <f>IFERROR((Registro[[#This Row],[Avance Total]]-Registro[[#This Row],[Línea Base 2025]])/Registro[[#This Row],[Línea Base 2025]],0)</f>
        <v>-1</v>
      </c>
      <c r="AA167" s="20">
        <v>2026</v>
      </c>
    </row>
    <row r="168" spans="1:27" hidden="1">
      <c r="A168" s="14">
        <v>1013</v>
      </c>
      <c r="B168" s="15" t="s">
        <v>56</v>
      </c>
      <c r="C168" s="16">
        <v>121</v>
      </c>
      <c r="D168" s="16" t="s">
        <v>194</v>
      </c>
      <c r="E168" s="17" t="s">
        <v>193</v>
      </c>
      <c r="F168" s="24">
        <v>0</v>
      </c>
      <c r="G168" s="24">
        <v>6</v>
      </c>
      <c r="H168" s="19">
        <v>0</v>
      </c>
      <c r="I168" s="19">
        <v>0</v>
      </c>
      <c r="T168" s="19">
        <f>Registro[[#This Row],[Mes 1]]+Registro[[#This Row],[Mes 2]]+Registro[[#This Row],[Mes 3]]</f>
        <v>0</v>
      </c>
      <c r="U168" s="19">
        <f>Registro[[#This Row],[Mes 4]]+Registro[[#This Row],[Mes 5]]+Registro[[#This Row],[Mes 6]]</f>
        <v>0</v>
      </c>
      <c r="V168" s="19">
        <f>Registro[[#This Row],[Mes 7]]+Registro[[#This Row],[Mes 8]]+Registro[[#This Row],[Mes 9]]</f>
        <v>0</v>
      </c>
      <c r="W168" s="20">
        <f>Registro[[#This Row],[Mes 10]]+Registro[[#This Row],[Mes 11]]+Registro[[#This Row],[Mes 12]]</f>
        <v>0</v>
      </c>
      <c r="X168" s="20">
        <f>SUM(Registro[[#This Row],[Trim I]],Registro[[#This Row],[Trim II]],Registro[[#This Row],[Trim III]],Registro[[#This Row],[Trim IV]])</f>
        <v>0</v>
      </c>
      <c r="Y168" s="22">
        <f>IFERROR((Registro[[#This Row],[Avance Total]]/Registro[[#This Row],[Meta]]),0)</f>
        <v>0</v>
      </c>
      <c r="Z168" s="22">
        <f>IFERROR((Registro[[#This Row],[Avance Total]]-Registro[[#This Row],[Línea Base 2025]])/Registro[[#This Row],[Línea Base 2025]],0)</f>
        <v>0</v>
      </c>
      <c r="AA168" s="20">
        <v>2026</v>
      </c>
    </row>
    <row r="169" spans="1:27" hidden="1">
      <c r="A169" s="14">
        <v>1013</v>
      </c>
      <c r="B169" s="15" t="s">
        <v>56</v>
      </c>
      <c r="C169" s="16">
        <v>122</v>
      </c>
      <c r="D169" s="16" t="s">
        <v>196</v>
      </c>
      <c r="E169" s="17" t="s">
        <v>195</v>
      </c>
      <c r="F169" s="24">
        <v>1</v>
      </c>
      <c r="G169" s="24">
        <v>4</v>
      </c>
      <c r="H169" s="19">
        <v>0</v>
      </c>
      <c r="I169" s="19">
        <v>0</v>
      </c>
      <c r="T169" s="19">
        <f>Registro[[#This Row],[Mes 1]]+Registro[[#This Row],[Mes 2]]+Registro[[#This Row],[Mes 3]]</f>
        <v>0</v>
      </c>
      <c r="U169" s="19">
        <f>Registro[[#This Row],[Mes 4]]+Registro[[#This Row],[Mes 5]]+Registro[[#This Row],[Mes 6]]</f>
        <v>0</v>
      </c>
      <c r="V169" s="19">
        <f>Registro[[#This Row],[Mes 7]]+Registro[[#This Row],[Mes 8]]+Registro[[#This Row],[Mes 9]]</f>
        <v>0</v>
      </c>
      <c r="W169" s="20">
        <f>Registro[[#This Row],[Mes 10]]+Registro[[#This Row],[Mes 11]]+Registro[[#This Row],[Mes 12]]</f>
        <v>0</v>
      </c>
      <c r="X169" s="20">
        <f>SUM(Registro[[#This Row],[Trim I]],Registro[[#This Row],[Trim II]],Registro[[#This Row],[Trim III]],Registro[[#This Row],[Trim IV]])</f>
        <v>0</v>
      </c>
      <c r="Y169" s="22">
        <f>IFERROR((Registro[[#This Row],[Avance Total]]/Registro[[#This Row],[Meta]]),0)</f>
        <v>0</v>
      </c>
      <c r="Z169" s="22">
        <f>IFERROR((Registro[[#This Row],[Avance Total]]-Registro[[#This Row],[Línea Base 2025]])/Registro[[#This Row],[Línea Base 2025]],0)</f>
        <v>-1</v>
      </c>
      <c r="AA169" s="20">
        <v>2026</v>
      </c>
    </row>
    <row r="170" spans="1:27" hidden="1">
      <c r="A170" s="14">
        <v>1013</v>
      </c>
      <c r="B170" s="15" t="s">
        <v>56</v>
      </c>
      <c r="C170" s="16">
        <v>123</v>
      </c>
      <c r="D170" s="16" t="s">
        <v>198</v>
      </c>
      <c r="E170" s="17" t="s">
        <v>197</v>
      </c>
      <c r="F170" s="24">
        <v>0</v>
      </c>
      <c r="G170" s="24">
        <v>4</v>
      </c>
      <c r="H170" s="19">
        <v>0</v>
      </c>
      <c r="I170" s="19">
        <v>0</v>
      </c>
      <c r="T170" s="19">
        <f>Registro[[#This Row],[Mes 1]]+Registro[[#This Row],[Mes 2]]+Registro[[#This Row],[Mes 3]]</f>
        <v>0</v>
      </c>
      <c r="U170" s="19">
        <f>Registro[[#This Row],[Mes 4]]+Registro[[#This Row],[Mes 5]]+Registro[[#This Row],[Mes 6]]</f>
        <v>0</v>
      </c>
      <c r="V170" s="19">
        <f>Registro[[#This Row],[Mes 7]]+Registro[[#This Row],[Mes 8]]+Registro[[#This Row],[Mes 9]]</f>
        <v>0</v>
      </c>
      <c r="W170" s="20">
        <f>Registro[[#This Row],[Mes 10]]+Registro[[#This Row],[Mes 11]]+Registro[[#This Row],[Mes 12]]</f>
        <v>0</v>
      </c>
      <c r="X170" s="20">
        <f>SUM(Registro[[#This Row],[Trim I]],Registro[[#This Row],[Trim II]],Registro[[#This Row],[Trim III]],Registro[[#This Row],[Trim IV]])</f>
        <v>0</v>
      </c>
      <c r="Y170" s="22">
        <f>IFERROR((Registro[[#This Row],[Avance Total]]/Registro[[#This Row],[Meta]]),0)</f>
        <v>0</v>
      </c>
      <c r="Z170" s="22">
        <f>IFERROR((Registro[[#This Row],[Avance Total]]-Registro[[#This Row],[Línea Base 2025]])/Registro[[#This Row],[Línea Base 2025]],0)</f>
        <v>0</v>
      </c>
      <c r="AA170" s="20">
        <v>2026</v>
      </c>
    </row>
    <row r="171" spans="1:27" hidden="1">
      <c r="A171" s="14">
        <v>1014</v>
      </c>
      <c r="B171" s="15" t="s">
        <v>57</v>
      </c>
      <c r="C171" s="16">
        <v>111</v>
      </c>
      <c r="D171" s="16" t="s">
        <v>171</v>
      </c>
      <c r="E171" s="17" t="s">
        <v>172</v>
      </c>
      <c r="F171" s="24">
        <v>18</v>
      </c>
      <c r="G171" s="24">
        <v>184</v>
      </c>
      <c r="H171" s="19">
        <v>0</v>
      </c>
      <c r="I171" s="19">
        <v>1</v>
      </c>
      <c r="T171" s="19">
        <f>Registro[[#This Row],[Mes 1]]+Registro[[#This Row],[Mes 2]]+Registro[[#This Row],[Mes 3]]</f>
        <v>1</v>
      </c>
      <c r="U171" s="19">
        <f>Registro[[#This Row],[Mes 4]]+Registro[[#This Row],[Mes 5]]+Registro[[#This Row],[Mes 6]]</f>
        <v>0</v>
      </c>
      <c r="V171" s="19">
        <f>Registro[[#This Row],[Mes 7]]+Registro[[#This Row],[Mes 8]]+Registro[[#This Row],[Mes 9]]</f>
        <v>0</v>
      </c>
      <c r="W171" s="20">
        <f>Registro[[#This Row],[Mes 10]]+Registro[[#This Row],[Mes 11]]+Registro[[#This Row],[Mes 12]]</f>
        <v>0</v>
      </c>
      <c r="X171" s="20">
        <f>SUM(Registro[[#This Row],[Trim I]],Registro[[#This Row],[Trim II]],Registro[[#This Row],[Trim III]],Registro[[#This Row],[Trim IV]])</f>
        <v>1</v>
      </c>
      <c r="Y171" s="22">
        <f>IFERROR((Registro[[#This Row],[Avance Total]]/Registro[[#This Row],[Meta]]),0)</f>
        <v>5.434782608695652E-3</v>
      </c>
      <c r="Z171" s="22">
        <f>IFERROR((Registro[[#This Row],[Avance Total]]-Registro[[#This Row],[Línea Base 2025]])/Registro[[#This Row],[Línea Base 2025]],0)</f>
        <v>-0.94444444444444442</v>
      </c>
      <c r="AA171" s="20">
        <v>2026</v>
      </c>
    </row>
    <row r="172" spans="1:27" hidden="1">
      <c r="A172" s="14">
        <v>1014</v>
      </c>
      <c r="B172" s="15" t="s">
        <v>57</v>
      </c>
      <c r="C172" s="16">
        <v>112</v>
      </c>
      <c r="D172" s="16" t="s">
        <v>173</v>
      </c>
      <c r="E172" s="17" t="s">
        <v>7</v>
      </c>
      <c r="F172" s="24">
        <v>6</v>
      </c>
      <c r="G172" s="24">
        <v>15</v>
      </c>
      <c r="H172" s="19">
        <v>0</v>
      </c>
      <c r="I172" s="19">
        <v>0</v>
      </c>
      <c r="T172" s="19">
        <f>Registro[[#This Row],[Mes 1]]+Registro[[#This Row],[Mes 2]]+Registro[[#This Row],[Mes 3]]</f>
        <v>0</v>
      </c>
      <c r="U172" s="19">
        <f>Registro[[#This Row],[Mes 4]]+Registro[[#This Row],[Mes 5]]+Registro[[#This Row],[Mes 6]]</f>
        <v>0</v>
      </c>
      <c r="V172" s="19">
        <f>Registro[[#This Row],[Mes 7]]+Registro[[#This Row],[Mes 8]]+Registro[[#This Row],[Mes 9]]</f>
        <v>0</v>
      </c>
      <c r="W172" s="20">
        <f>Registro[[#This Row],[Mes 10]]+Registro[[#This Row],[Mes 11]]+Registro[[#This Row],[Mes 12]]</f>
        <v>0</v>
      </c>
      <c r="X172" s="20">
        <f>SUM(Registro[[#This Row],[Trim I]],Registro[[#This Row],[Trim II]],Registro[[#This Row],[Trim III]],Registro[[#This Row],[Trim IV]])</f>
        <v>0</v>
      </c>
      <c r="Y172" s="22">
        <f>IFERROR((Registro[[#This Row],[Avance Total]]/Registro[[#This Row],[Meta]]),0)</f>
        <v>0</v>
      </c>
      <c r="Z172" s="22">
        <f>IFERROR((Registro[[#This Row],[Avance Total]]-Registro[[#This Row],[Línea Base 2025]])/Registro[[#This Row],[Línea Base 2025]],0)</f>
        <v>-1</v>
      </c>
      <c r="AA172" s="20">
        <v>2026</v>
      </c>
    </row>
    <row r="173" spans="1:27" hidden="1">
      <c r="A173" s="14">
        <v>1014</v>
      </c>
      <c r="B173" s="15" t="s">
        <v>57</v>
      </c>
      <c r="C173" s="16">
        <v>113</v>
      </c>
      <c r="D173" s="16" t="s">
        <v>179</v>
      </c>
      <c r="E173" s="17" t="s">
        <v>178</v>
      </c>
      <c r="F173" s="24">
        <v>22</v>
      </c>
      <c r="G173" s="24">
        <v>209</v>
      </c>
      <c r="H173" s="19">
        <v>0</v>
      </c>
      <c r="I173" s="19">
        <v>0</v>
      </c>
      <c r="T173" s="19">
        <f>Registro[[#This Row],[Mes 1]]+Registro[[#This Row],[Mes 2]]+Registro[[#This Row],[Mes 3]]</f>
        <v>0</v>
      </c>
      <c r="U173" s="19">
        <f>Registro[[#This Row],[Mes 4]]+Registro[[#This Row],[Mes 5]]+Registro[[#This Row],[Mes 6]]</f>
        <v>0</v>
      </c>
      <c r="V173" s="19">
        <f>Registro[[#This Row],[Mes 7]]+Registro[[#This Row],[Mes 8]]+Registro[[#This Row],[Mes 9]]</f>
        <v>0</v>
      </c>
      <c r="W173" s="20">
        <f>Registro[[#This Row],[Mes 10]]+Registro[[#This Row],[Mes 11]]+Registro[[#This Row],[Mes 12]]</f>
        <v>0</v>
      </c>
      <c r="X173" s="20">
        <f>SUM(Registro[[#This Row],[Trim I]],Registro[[#This Row],[Trim II]],Registro[[#This Row],[Trim III]],Registro[[#This Row],[Trim IV]])</f>
        <v>0</v>
      </c>
      <c r="Y173" s="22">
        <f>IFERROR((Registro[[#This Row],[Avance Total]]/Registro[[#This Row],[Meta]]),0)</f>
        <v>0</v>
      </c>
      <c r="Z173" s="22">
        <f>IFERROR((Registro[[#This Row],[Avance Total]]-Registro[[#This Row],[Línea Base 2025]])/Registro[[#This Row],[Línea Base 2025]],0)</f>
        <v>-1</v>
      </c>
      <c r="AA173" s="20">
        <v>2026</v>
      </c>
    </row>
    <row r="174" spans="1:27" hidden="1">
      <c r="A174" s="14">
        <v>1014</v>
      </c>
      <c r="B174" s="15" t="s">
        <v>57</v>
      </c>
      <c r="C174" s="16">
        <v>114</v>
      </c>
      <c r="D174" s="16" t="s">
        <v>181</v>
      </c>
      <c r="E174" s="17" t="s">
        <v>180</v>
      </c>
      <c r="F174" s="24">
        <v>3</v>
      </c>
      <c r="G174" s="24">
        <v>15.299999999999999</v>
      </c>
      <c r="H174" s="19">
        <v>0</v>
      </c>
      <c r="I174" s="19">
        <v>0</v>
      </c>
      <c r="T174" s="19">
        <f>Registro[[#This Row],[Mes 1]]+Registro[[#This Row],[Mes 2]]+Registro[[#This Row],[Mes 3]]</f>
        <v>0</v>
      </c>
      <c r="U174" s="19">
        <f>Registro[[#This Row],[Mes 4]]+Registro[[#This Row],[Mes 5]]+Registro[[#This Row],[Mes 6]]</f>
        <v>0</v>
      </c>
      <c r="V174" s="19">
        <f>Registro[[#This Row],[Mes 7]]+Registro[[#This Row],[Mes 8]]+Registro[[#This Row],[Mes 9]]</f>
        <v>0</v>
      </c>
      <c r="W174" s="20">
        <f>Registro[[#This Row],[Mes 10]]+Registro[[#This Row],[Mes 11]]+Registro[[#This Row],[Mes 12]]</f>
        <v>0</v>
      </c>
      <c r="X174" s="20">
        <f>SUM(Registro[[#This Row],[Trim I]],Registro[[#This Row],[Trim II]],Registro[[#This Row],[Trim III]],Registro[[#This Row],[Trim IV]])</f>
        <v>0</v>
      </c>
      <c r="Y174" s="22">
        <f>IFERROR((Registro[[#This Row],[Avance Total]]/Registro[[#This Row],[Meta]]),0)</f>
        <v>0</v>
      </c>
      <c r="Z174" s="22">
        <f>IFERROR((Registro[[#This Row],[Avance Total]]-Registro[[#This Row],[Línea Base 2025]])/Registro[[#This Row],[Línea Base 2025]],0)</f>
        <v>-1</v>
      </c>
      <c r="AA174" s="20">
        <v>2026</v>
      </c>
    </row>
    <row r="175" spans="1:27" hidden="1">
      <c r="A175" s="14">
        <v>1014</v>
      </c>
      <c r="B175" s="15" t="s">
        <v>57</v>
      </c>
      <c r="C175" s="16">
        <v>115</v>
      </c>
      <c r="D175" s="16" t="s">
        <v>183</v>
      </c>
      <c r="E175" s="17" t="s">
        <v>182</v>
      </c>
      <c r="F175" s="24">
        <v>1</v>
      </c>
      <c r="G175" s="24">
        <v>13.77</v>
      </c>
      <c r="H175" s="19">
        <v>0</v>
      </c>
      <c r="I175" s="19">
        <v>0</v>
      </c>
      <c r="T175" s="19">
        <f>Registro[[#This Row],[Mes 1]]+Registro[[#This Row],[Mes 2]]+Registro[[#This Row],[Mes 3]]</f>
        <v>0</v>
      </c>
      <c r="U175" s="19">
        <f>Registro[[#This Row],[Mes 4]]+Registro[[#This Row],[Mes 5]]+Registro[[#This Row],[Mes 6]]</f>
        <v>0</v>
      </c>
      <c r="V175" s="19">
        <f>Registro[[#This Row],[Mes 7]]+Registro[[#This Row],[Mes 8]]+Registro[[#This Row],[Mes 9]]</f>
        <v>0</v>
      </c>
      <c r="W175" s="20">
        <f>Registro[[#This Row],[Mes 10]]+Registro[[#This Row],[Mes 11]]+Registro[[#This Row],[Mes 12]]</f>
        <v>0</v>
      </c>
      <c r="X175" s="20">
        <f>SUM(Registro[[#This Row],[Trim I]],Registro[[#This Row],[Trim II]],Registro[[#This Row],[Trim III]],Registro[[#This Row],[Trim IV]])</f>
        <v>0</v>
      </c>
      <c r="Y175" s="22">
        <f>IFERROR((Registro[[#This Row],[Avance Total]]/Registro[[#This Row],[Meta]]),0)</f>
        <v>0</v>
      </c>
      <c r="Z175" s="22">
        <f>IFERROR((Registro[[#This Row],[Avance Total]]-Registro[[#This Row],[Línea Base 2025]])/Registro[[#This Row],[Línea Base 2025]],0)</f>
        <v>-1</v>
      </c>
      <c r="AA175" s="20">
        <v>2026</v>
      </c>
    </row>
    <row r="176" spans="1:27">
      <c r="A176" s="14">
        <v>1014</v>
      </c>
      <c r="B176" s="15" t="s">
        <v>57</v>
      </c>
      <c r="C176" s="16">
        <v>116</v>
      </c>
      <c r="D176" s="16" t="s">
        <v>185</v>
      </c>
      <c r="E176" s="17" t="s">
        <v>184</v>
      </c>
      <c r="F176" s="24">
        <v>0</v>
      </c>
      <c r="G176" s="24">
        <v>1.3800000000000001</v>
      </c>
      <c r="H176" s="19">
        <v>0</v>
      </c>
      <c r="I176" s="19">
        <v>0</v>
      </c>
      <c r="T176" s="19">
        <f>Registro[[#This Row],[Mes 1]]+Registro[[#This Row],[Mes 2]]+Registro[[#This Row],[Mes 3]]</f>
        <v>0</v>
      </c>
      <c r="U176" s="19">
        <f>Registro[[#This Row],[Mes 4]]+Registro[[#This Row],[Mes 5]]+Registro[[#This Row],[Mes 6]]</f>
        <v>0</v>
      </c>
      <c r="V176" s="19">
        <f>Registro[[#This Row],[Mes 7]]+Registro[[#This Row],[Mes 8]]+Registro[[#This Row],[Mes 9]]</f>
        <v>0</v>
      </c>
      <c r="W176" s="20">
        <f>Registro[[#This Row],[Mes 10]]+Registro[[#This Row],[Mes 11]]+Registro[[#This Row],[Mes 12]]</f>
        <v>0</v>
      </c>
      <c r="X176" s="20">
        <f>SUM(Registro[[#This Row],[Trim I]],Registro[[#This Row],[Trim II]],Registro[[#This Row],[Trim III]],Registro[[#This Row],[Trim IV]])</f>
        <v>0</v>
      </c>
      <c r="Y176" s="22">
        <f>IFERROR((Registro[[#This Row],[Avance Total]]/Registro[[#This Row],[Meta]]),0)</f>
        <v>0</v>
      </c>
      <c r="Z176" s="22">
        <f>IFERROR((Registro[[#This Row],[Avance Total]]-Registro[[#This Row],[Línea Base 2025]])/Registro[[#This Row],[Línea Base 2025]],0)</f>
        <v>0</v>
      </c>
      <c r="AA176" s="20">
        <v>2026</v>
      </c>
    </row>
    <row r="177" spans="1:27" hidden="1">
      <c r="A177" s="14">
        <v>1014</v>
      </c>
      <c r="B177" s="15" t="s">
        <v>57</v>
      </c>
      <c r="C177" s="16">
        <v>117</v>
      </c>
      <c r="D177" s="16" t="s">
        <v>187</v>
      </c>
      <c r="E177" s="17" t="s">
        <v>186</v>
      </c>
      <c r="F177" s="24">
        <v>3</v>
      </c>
      <c r="G177" s="24">
        <v>3</v>
      </c>
      <c r="H177" s="19">
        <v>0</v>
      </c>
      <c r="I177" s="19">
        <v>0</v>
      </c>
      <c r="T177" s="19">
        <f>Registro[[#This Row],[Mes 1]]+Registro[[#This Row],[Mes 2]]+Registro[[#This Row],[Mes 3]]</f>
        <v>0</v>
      </c>
      <c r="U177" s="19">
        <f>Registro[[#This Row],[Mes 4]]+Registro[[#This Row],[Mes 5]]+Registro[[#This Row],[Mes 6]]</f>
        <v>0</v>
      </c>
      <c r="V177" s="19">
        <f>Registro[[#This Row],[Mes 7]]+Registro[[#This Row],[Mes 8]]+Registro[[#This Row],[Mes 9]]</f>
        <v>0</v>
      </c>
      <c r="W177" s="20">
        <f>Registro[[#This Row],[Mes 10]]+Registro[[#This Row],[Mes 11]]+Registro[[#This Row],[Mes 12]]</f>
        <v>0</v>
      </c>
      <c r="X177" s="20">
        <f>SUM(Registro[[#This Row],[Trim I]],Registro[[#This Row],[Trim II]],Registro[[#This Row],[Trim III]],Registro[[#This Row],[Trim IV]])</f>
        <v>0</v>
      </c>
      <c r="Y177" s="22">
        <f>IFERROR((Registro[[#This Row],[Avance Total]]/Registro[[#This Row],[Meta]]),0)</f>
        <v>0</v>
      </c>
      <c r="Z177" s="22">
        <f>IFERROR((Registro[[#This Row],[Avance Total]]-Registro[[#This Row],[Línea Base 2025]])/Registro[[#This Row],[Línea Base 2025]],0)</f>
        <v>-1</v>
      </c>
      <c r="AA177" s="20">
        <v>2026</v>
      </c>
    </row>
    <row r="178" spans="1:27" hidden="1">
      <c r="A178" s="14">
        <v>1014</v>
      </c>
      <c r="B178" s="15" t="s">
        <v>57</v>
      </c>
      <c r="C178" s="16">
        <v>118</v>
      </c>
      <c r="D178" s="16" t="s">
        <v>188</v>
      </c>
      <c r="E178" s="17" t="s">
        <v>9</v>
      </c>
      <c r="F178" s="24">
        <v>0</v>
      </c>
      <c r="G178" s="24">
        <v>0</v>
      </c>
      <c r="H178" s="19">
        <v>0</v>
      </c>
      <c r="I178" s="19">
        <v>0</v>
      </c>
      <c r="T178" s="19">
        <f>Registro[[#This Row],[Mes 1]]+Registro[[#This Row],[Mes 2]]+Registro[[#This Row],[Mes 3]]</f>
        <v>0</v>
      </c>
      <c r="U178" s="19">
        <f>Registro[[#This Row],[Mes 4]]+Registro[[#This Row],[Mes 5]]+Registro[[#This Row],[Mes 6]]</f>
        <v>0</v>
      </c>
      <c r="V178" s="19">
        <f>Registro[[#This Row],[Mes 7]]+Registro[[#This Row],[Mes 8]]+Registro[[#This Row],[Mes 9]]</f>
        <v>0</v>
      </c>
      <c r="W178" s="20">
        <f>Registro[[#This Row],[Mes 10]]+Registro[[#This Row],[Mes 11]]+Registro[[#This Row],[Mes 12]]</f>
        <v>0</v>
      </c>
      <c r="X178" s="20">
        <f>SUM(Registro[[#This Row],[Trim I]],Registro[[#This Row],[Trim II]],Registro[[#This Row],[Trim III]],Registro[[#This Row],[Trim IV]])</f>
        <v>0</v>
      </c>
      <c r="Y178" s="22">
        <f>IFERROR((Registro[[#This Row],[Avance Total]]/Registro[[#This Row],[Meta]]),0)</f>
        <v>0</v>
      </c>
      <c r="Z178" s="22">
        <f>IFERROR((Registro[[#This Row],[Avance Total]]-Registro[[#This Row],[Línea Base 2025]])/Registro[[#This Row],[Línea Base 2025]],0)</f>
        <v>0</v>
      </c>
      <c r="AA178" s="20">
        <v>2026</v>
      </c>
    </row>
    <row r="179" spans="1:27" hidden="1">
      <c r="A179" s="14">
        <v>1014</v>
      </c>
      <c r="B179" s="15" t="s">
        <v>57</v>
      </c>
      <c r="C179" s="16">
        <v>119</v>
      </c>
      <c r="D179" s="16" t="s">
        <v>190</v>
      </c>
      <c r="E179" s="17" t="s">
        <v>189</v>
      </c>
      <c r="F179" s="24">
        <v>0</v>
      </c>
      <c r="G179" s="24">
        <v>1.1040000000000001</v>
      </c>
      <c r="H179" s="19">
        <v>0</v>
      </c>
      <c r="I179" s="19">
        <v>0</v>
      </c>
      <c r="T179" s="19">
        <f>Registro[[#This Row],[Mes 1]]+Registro[[#This Row],[Mes 2]]+Registro[[#This Row],[Mes 3]]</f>
        <v>0</v>
      </c>
      <c r="U179" s="19">
        <f>Registro[[#This Row],[Mes 4]]+Registro[[#This Row],[Mes 5]]+Registro[[#This Row],[Mes 6]]</f>
        <v>0</v>
      </c>
      <c r="V179" s="19">
        <f>Registro[[#This Row],[Mes 7]]+Registro[[#This Row],[Mes 8]]+Registro[[#This Row],[Mes 9]]</f>
        <v>0</v>
      </c>
      <c r="W179" s="20">
        <f>Registro[[#This Row],[Mes 10]]+Registro[[#This Row],[Mes 11]]+Registro[[#This Row],[Mes 12]]</f>
        <v>0</v>
      </c>
      <c r="X179" s="20">
        <f>SUM(Registro[[#This Row],[Trim I]],Registro[[#This Row],[Trim II]],Registro[[#This Row],[Trim III]],Registro[[#This Row],[Trim IV]])</f>
        <v>0</v>
      </c>
      <c r="Y179" s="22">
        <f>IFERROR((Registro[[#This Row],[Avance Total]]/Registro[[#This Row],[Meta]]),0)</f>
        <v>0</v>
      </c>
      <c r="Z179" s="22">
        <f>IFERROR((Registro[[#This Row],[Avance Total]]-Registro[[#This Row],[Línea Base 2025]])/Registro[[#This Row],[Línea Base 2025]],0)</f>
        <v>0</v>
      </c>
      <c r="AA179" s="20">
        <v>2026</v>
      </c>
    </row>
    <row r="180" spans="1:27" hidden="1">
      <c r="A180" s="14">
        <v>1014</v>
      </c>
      <c r="B180" s="15" t="s">
        <v>57</v>
      </c>
      <c r="C180" s="16">
        <v>120</v>
      </c>
      <c r="D180" s="16" t="s">
        <v>192</v>
      </c>
      <c r="E180" s="17" t="s">
        <v>191</v>
      </c>
      <c r="F180" s="24">
        <v>19</v>
      </c>
      <c r="G180" s="24">
        <v>20</v>
      </c>
      <c r="H180" s="19">
        <v>0</v>
      </c>
      <c r="I180" s="19">
        <v>0</v>
      </c>
      <c r="T180" s="19">
        <f>Registro[[#This Row],[Mes 1]]+Registro[[#This Row],[Mes 2]]+Registro[[#This Row],[Mes 3]]</f>
        <v>0</v>
      </c>
      <c r="U180" s="19">
        <f>Registro[[#This Row],[Mes 4]]+Registro[[#This Row],[Mes 5]]+Registro[[#This Row],[Mes 6]]</f>
        <v>0</v>
      </c>
      <c r="V180" s="19">
        <f>Registro[[#This Row],[Mes 7]]+Registro[[#This Row],[Mes 8]]+Registro[[#This Row],[Mes 9]]</f>
        <v>0</v>
      </c>
      <c r="W180" s="20">
        <f>Registro[[#This Row],[Mes 10]]+Registro[[#This Row],[Mes 11]]+Registro[[#This Row],[Mes 12]]</f>
        <v>0</v>
      </c>
      <c r="X180" s="20">
        <f>SUM(Registro[[#This Row],[Trim I]],Registro[[#This Row],[Trim II]],Registro[[#This Row],[Trim III]],Registro[[#This Row],[Trim IV]])</f>
        <v>0</v>
      </c>
      <c r="Y180" s="22">
        <f>IFERROR((Registro[[#This Row],[Avance Total]]/Registro[[#This Row],[Meta]]),0)</f>
        <v>0</v>
      </c>
      <c r="Z180" s="22">
        <f>IFERROR((Registro[[#This Row],[Avance Total]]-Registro[[#This Row],[Línea Base 2025]])/Registro[[#This Row],[Línea Base 2025]],0)</f>
        <v>-1</v>
      </c>
      <c r="AA180" s="20">
        <v>2026</v>
      </c>
    </row>
    <row r="181" spans="1:27" hidden="1">
      <c r="A181" s="14">
        <v>1014</v>
      </c>
      <c r="B181" s="15" t="s">
        <v>57</v>
      </c>
      <c r="C181" s="16">
        <v>121</v>
      </c>
      <c r="D181" s="16" t="s">
        <v>194</v>
      </c>
      <c r="E181" s="17" t="s">
        <v>193</v>
      </c>
      <c r="F181" s="24">
        <v>2</v>
      </c>
      <c r="G181" s="24">
        <v>7</v>
      </c>
      <c r="H181" s="19">
        <v>0</v>
      </c>
      <c r="I181" s="19">
        <v>0</v>
      </c>
      <c r="T181" s="19">
        <f>Registro[[#This Row],[Mes 1]]+Registro[[#This Row],[Mes 2]]+Registro[[#This Row],[Mes 3]]</f>
        <v>0</v>
      </c>
      <c r="U181" s="19">
        <f>Registro[[#This Row],[Mes 4]]+Registro[[#This Row],[Mes 5]]+Registro[[#This Row],[Mes 6]]</f>
        <v>0</v>
      </c>
      <c r="V181" s="19">
        <f>Registro[[#This Row],[Mes 7]]+Registro[[#This Row],[Mes 8]]+Registro[[#This Row],[Mes 9]]</f>
        <v>0</v>
      </c>
      <c r="W181" s="20">
        <f>Registro[[#This Row],[Mes 10]]+Registro[[#This Row],[Mes 11]]+Registro[[#This Row],[Mes 12]]</f>
        <v>0</v>
      </c>
      <c r="X181" s="20">
        <f>SUM(Registro[[#This Row],[Trim I]],Registro[[#This Row],[Trim II]],Registro[[#This Row],[Trim III]],Registro[[#This Row],[Trim IV]])</f>
        <v>0</v>
      </c>
      <c r="Y181" s="22">
        <f>IFERROR((Registro[[#This Row],[Avance Total]]/Registro[[#This Row],[Meta]]),0)</f>
        <v>0</v>
      </c>
      <c r="Z181" s="22">
        <f>IFERROR((Registro[[#This Row],[Avance Total]]-Registro[[#This Row],[Línea Base 2025]])/Registro[[#This Row],[Línea Base 2025]],0)</f>
        <v>-1</v>
      </c>
      <c r="AA181" s="20">
        <v>2026</v>
      </c>
    </row>
    <row r="182" spans="1:27" hidden="1">
      <c r="A182" s="14">
        <v>1014</v>
      </c>
      <c r="B182" s="15" t="s">
        <v>57</v>
      </c>
      <c r="C182" s="16">
        <v>122</v>
      </c>
      <c r="D182" s="16" t="s">
        <v>196</v>
      </c>
      <c r="E182" s="17" t="s">
        <v>195</v>
      </c>
      <c r="F182" s="24">
        <v>4</v>
      </c>
      <c r="G182" s="24">
        <v>6</v>
      </c>
      <c r="H182" s="19">
        <v>0</v>
      </c>
      <c r="I182" s="19">
        <v>0</v>
      </c>
      <c r="T182" s="19">
        <f>Registro[[#This Row],[Mes 1]]+Registro[[#This Row],[Mes 2]]+Registro[[#This Row],[Mes 3]]</f>
        <v>0</v>
      </c>
      <c r="U182" s="19">
        <f>Registro[[#This Row],[Mes 4]]+Registro[[#This Row],[Mes 5]]+Registro[[#This Row],[Mes 6]]</f>
        <v>0</v>
      </c>
      <c r="V182" s="19">
        <f>Registro[[#This Row],[Mes 7]]+Registro[[#This Row],[Mes 8]]+Registro[[#This Row],[Mes 9]]</f>
        <v>0</v>
      </c>
      <c r="W182" s="20">
        <f>Registro[[#This Row],[Mes 10]]+Registro[[#This Row],[Mes 11]]+Registro[[#This Row],[Mes 12]]</f>
        <v>0</v>
      </c>
      <c r="X182" s="20">
        <f>SUM(Registro[[#This Row],[Trim I]],Registro[[#This Row],[Trim II]],Registro[[#This Row],[Trim III]],Registro[[#This Row],[Trim IV]])</f>
        <v>0</v>
      </c>
      <c r="Y182" s="22">
        <f>IFERROR((Registro[[#This Row],[Avance Total]]/Registro[[#This Row],[Meta]]),0)</f>
        <v>0</v>
      </c>
      <c r="Z182" s="22">
        <f>IFERROR((Registro[[#This Row],[Avance Total]]-Registro[[#This Row],[Línea Base 2025]])/Registro[[#This Row],[Línea Base 2025]],0)</f>
        <v>-1</v>
      </c>
      <c r="AA182" s="20">
        <v>2026</v>
      </c>
    </row>
    <row r="183" spans="1:27" hidden="1">
      <c r="A183" s="14">
        <v>1014</v>
      </c>
      <c r="B183" s="15" t="s">
        <v>57</v>
      </c>
      <c r="C183" s="16">
        <v>123</v>
      </c>
      <c r="D183" s="16" t="s">
        <v>198</v>
      </c>
      <c r="E183" s="17" t="s">
        <v>197</v>
      </c>
      <c r="F183" s="24">
        <v>0</v>
      </c>
      <c r="G183" s="24">
        <v>3</v>
      </c>
      <c r="H183" s="19">
        <v>0</v>
      </c>
      <c r="I183" s="19">
        <v>0</v>
      </c>
      <c r="T183" s="19">
        <f>Registro[[#This Row],[Mes 1]]+Registro[[#This Row],[Mes 2]]+Registro[[#This Row],[Mes 3]]</f>
        <v>0</v>
      </c>
      <c r="U183" s="19">
        <f>Registro[[#This Row],[Mes 4]]+Registro[[#This Row],[Mes 5]]+Registro[[#This Row],[Mes 6]]</f>
        <v>0</v>
      </c>
      <c r="V183" s="19">
        <f>Registro[[#This Row],[Mes 7]]+Registro[[#This Row],[Mes 8]]+Registro[[#This Row],[Mes 9]]</f>
        <v>0</v>
      </c>
      <c r="W183" s="20">
        <f>Registro[[#This Row],[Mes 10]]+Registro[[#This Row],[Mes 11]]+Registro[[#This Row],[Mes 12]]</f>
        <v>0</v>
      </c>
      <c r="X183" s="20">
        <f>SUM(Registro[[#This Row],[Trim I]],Registro[[#This Row],[Trim II]],Registro[[#This Row],[Trim III]],Registro[[#This Row],[Trim IV]])</f>
        <v>0</v>
      </c>
      <c r="Y183" s="22">
        <f>IFERROR((Registro[[#This Row],[Avance Total]]/Registro[[#This Row],[Meta]]),0)</f>
        <v>0</v>
      </c>
      <c r="Z183" s="22">
        <f>IFERROR((Registro[[#This Row],[Avance Total]]-Registro[[#This Row],[Línea Base 2025]])/Registro[[#This Row],[Línea Base 2025]],0)</f>
        <v>0</v>
      </c>
      <c r="AA183" s="20">
        <v>2026</v>
      </c>
    </row>
    <row r="184" spans="1:27" hidden="1">
      <c r="A184" s="14">
        <v>1015</v>
      </c>
      <c r="B184" s="15" t="s">
        <v>58</v>
      </c>
      <c r="C184" s="16">
        <v>111</v>
      </c>
      <c r="D184" s="16" t="s">
        <v>171</v>
      </c>
      <c r="E184" s="17" t="s">
        <v>172</v>
      </c>
      <c r="F184" s="24">
        <v>54</v>
      </c>
      <c r="G184" s="24">
        <v>1160</v>
      </c>
      <c r="H184" s="19">
        <v>1</v>
      </c>
      <c r="I184" s="19">
        <v>0</v>
      </c>
      <c r="T184" s="19">
        <f>Registro[[#This Row],[Mes 1]]+Registro[[#This Row],[Mes 2]]+Registro[[#This Row],[Mes 3]]</f>
        <v>1</v>
      </c>
      <c r="U184" s="19">
        <f>Registro[[#This Row],[Mes 4]]+Registro[[#This Row],[Mes 5]]+Registro[[#This Row],[Mes 6]]</f>
        <v>0</v>
      </c>
      <c r="V184" s="19">
        <f>Registro[[#This Row],[Mes 7]]+Registro[[#This Row],[Mes 8]]+Registro[[#This Row],[Mes 9]]</f>
        <v>0</v>
      </c>
      <c r="W184" s="20">
        <f>Registro[[#This Row],[Mes 10]]+Registro[[#This Row],[Mes 11]]+Registro[[#This Row],[Mes 12]]</f>
        <v>0</v>
      </c>
      <c r="X184" s="20">
        <f>SUM(Registro[[#This Row],[Trim I]],Registro[[#This Row],[Trim II]],Registro[[#This Row],[Trim III]],Registro[[#This Row],[Trim IV]])</f>
        <v>1</v>
      </c>
      <c r="Y184" s="22">
        <f>IFERROR((Registro[[#This Row],[Avance Total]]/Registro[[#This Row],[Meta]]),0)</f>
        <v>8.6206896551724137E-4</v>
      </c>
      <c r="Z184" s="22">
        <f>IFERROR((Registro[[#This Row],[Avance Total]]-Registro[[#This Row],[Línea Base 2025]])/Registro[[#This Row],[Línea Base 2025]],0)</f>
        <v>-0.98148148148148151</v>
      </c>
      <c r="AA184" s="20">
        <v>2026</v>
      </c>
    </row>
    <row r="185" spans="1:27" hidden="1">
      <c r="A185" s="14">
        <v>1015</v>
      </c>
      <c r="B185" s="15" t="s">
        <v>58</v>
      </c>
      <c r="C185" s="16">
        <v>112</v>
      </c>
      <c r="D185" s="16" t="s">
        <v>173</v>
      </c>
      <c r="E185" s="17" t="s">
        <v>7</v>
      </c>
      <c r="F185" s="24">
        <v>35</v>
      </c>
      <c r="G185" s="24">
        <v>66</v>
      </c>
      <c r="H185" s="19">
        <v>0</v>
      </c>
      <c r="I185" s="19">
        <v>0</v>
      </c>
      <c r="T185" s="19">
        <f>Registro[[#This Row],[Mes 1]]+Registro[[#This Row],[Mes 2]]+Registro[[#This Row],[Mes 3]]</f>
        <v>0</v>
      </c>
      <c r="U185" s="19">
        <f>Registro[[#This Row],[Mes 4]]+Registro[[#This Row],[Mes 5]]+Registro[[#This Row],[Mes 6]]</f>
        <v>0</v>
      </c>
      <c r="V185" s="19">
        <f>Registro[[#This Row],[Mes 7]]+Registro[[#This Row],[Mes 8]]+Registro[[#This Row],[Mes 9]]</f>
        <v>0</v>
      </c>
      <c r="W185" s="20">
        <f>Registro[[#This Row],[Mes 10]]+Registro[[#This Row],[Mes 11]]+Registro[[#This Row],[Mes 12]]</f>
        <v>0</v>
      </c>
      <c r="X185" s="20">
        <f>SUM(Registro[[#This Row],[Trim I]],Registro[[#This Row],[Trim II]],Registro[[#This Row],[Trim III]],Registro[[#This Row],[Trim IV]])</f>
        <v>0</v>
      </c>
      <c r="Y185" s="22">
        <f>IFERROR((Registro[[#This Row],[Avance Total]]/Registro[[#This Row],[Meta]]),0)</f>
        <v>0</v>
      </c>
      <c r="Z185" s="22">
        <f>IFERROR((Registro[[#This Row],[Avance Total]]-Registro[[#This Row],[Línea Base 2025]])/Registro[[#This Row],[Línea Base 2025]],0)</f>
        <v>-1</v>
      </c>
      <c r="AA185" s="20">
        <v>2026</v>
      </c>
    </row>
    <row r="186" spans="1:27" hidden="1">
      <c r="A186" s="14">
        <v>1015</v>
      </c>
      <c r="B186" s="15" t="s">
        <v>58</v>
      </c>
      <c r="C186" s="16">
        <v>113</v>
      </c>
      <c r="D186" s="16" t="s">
        <v>179</v>
      </c>
      <c r="E186" s="17" t="s">
        <v>178</v>
      </c>
      <c r="F186" s="24">
        <v>75</v>
      </c>
      <c r="G186" s="24">
        <v>960</v>
      </c>
      <c r="H186" s="19">
        <v>0</v>
      </c>
      <c r="I186" s="19">
        <v>0</v>
      </c>
      <c r="T186" s="19">
        <f>Registro[[#This Row],[Mes 1]]+Registro[[#This Row],[Mes 2]]+Registro[[#This Row],[Mes 3]]</f>
        <v>0</v>
      </c>
      <c r="U186" s="19">
        <f>Registro[[#This Row],[Mes 4]]+Registro[[#This Row],[Mes 5]]+Registro[[#This Row],[Mes 6]]</f>
        <v>0</v>
      </c>
      <c r="V186" s="19">
        <f>Registro[[#This Row],[Mes 7]]+Registro[[#This Row],[Mes 8]]+Registro[[#This Row],[Mes 9]]</f>
        <v>0</v>
      </c>
      <c r="W186" s="20">
        <f>Registro[[#This Row],[Mes 10]]+Registro[[#This Row],[Mes 11]]+Registro[[#This Row],[Mes 12]]</f>
        <v>0</v>
      </c>
      <c r="X186" s="20">
        <f>SUM(Registro[[#This Row],[Trim I]],Registro[[#This Row],[Trim II]],Registro[[#This Row],[Trim III]],Registro[[#This Row],[Trim IV]])</f>
        <v>0</v>
      </c>
      <c r="Y186" s="22">
        <f>IFERROR((Registro[[#This Row],[Avance Total]]/Registro[[#This Row],[Meta]]),0)</f>
        <v>0</v>
      </c>
      <c r="Z186" s="22">
        <f>IFERROR((Registro[[#This Row],[Avance Total]]-Registro[[#This Row],[Línea Base 2025]])/Registro[[#This Row],[Línea Base 2025]],0)</f>
        <v>-1</v>
      </c>
      <c r="AA186" s="20">
        <v>2026</v>
      </c>
    </row>
    <row r="187" spans="1:27" hidden="1">
      <c r="A187" s="14">
        <v>1015</v>
      </c>
      <c r="B187" s="15" t="s">
        <v>58</v>
      </c>
      <c r="C187" s="16">
        <v>114</v>
      </c>
      <c r="D187" s="16" t="s">
        <v>181</v>
      </c>
      <c r="E187" s="17" t="s">
        <v>180</v>
      </c>
      <c r="F187" s="24">
        <v>0</v>
      </c>
      <c r="G187" s="24">
        <v>16.8</v>
      </c>
      <c r="H187" s="19">
        <v>12</v>
      </c>
      <c r="I187" s="19">
        <v>0</v>
      </c>
      <c r="T187" s="19">
        <f>Registro[[#This Row],[Mes 1]]+Registro[[#This Row],[Mes 2]]+Registro[[#This Row],[Mes 3]]</f>
        <v>12</v>
      </c>
      <c r="U187" s="19">
        <f>Registro[[#This Row],[Mes 4]]+Registro[[#This Row],[Mes 5]]+Registro[[#This Row],[Mes 6]]</f>
        <v>0</v>
      </c>
      <c r="V187" s="19">
        <f>Registro[[#This Row],[Mes 7]]+Registro[[#This Row],[Mes 8]]+Registro[[#This Row],[Mes 9]]</f>
        <v>0</v>
      </c>
      <c r="W187" s="20">
        <f>Registro[[#This Row],[Mes 10]]+Registro[[#This Row],[Mes 11]]+Registro[[#This Row],[Mes 12]]</f>
        <v>0</v>
      </c>
      <c r="X187" s="20">
        <f>SUM(Registro[[#This Row],[Trim I]],Registro[[#This Row],[Trim II]],Registro[[#This Row],[Trim III]],Registro[[#This Row],[Trim IV]])</f>
        <v>12</v>
      </c>
      <c r="Y187" s="22">
        <f>IFERROR((Registro[[#This Row],[Avance Total]]/Registro[[#This Row],[Meta]]),0)</f>
        <v>0.7142857142857143</v>
      </c>
      <c r="Z187" s="22">
        <f>IFERROR((Registro[[#This Row],[Avance Total]]-Registro[[#This Row],[Línea Base 2025]])/Registro[[#This Row],[Línea Base 2025]],0)</f>
        <v>0</v>
      </c>
      <c r="AA187" s="20">
        <v>2026</v>
      </c>
    </row>
    <row r="188" spans="1:27" hidden="1">
      <c r="A188" s="14">
        <v>1015</v>
      </c>
      <c r="B188" s="15" t="s">
        <v>58</v>
      </c>
      <c r="C188" s="16">
        <v>115</v>
      </c>
      <c r="D188" s="16" t="s">
        <v>183</v>
      </c>
      <c r="E188" s="17" t="s">
        <v>182</v>
      </c>
      <c r="F188" s="24">
        <v>5</v>
      </c>
      <c r="G188" s="24">
        <v>15.120000000000001</v>
      </c>
      <c r="H188" s="19">
        <v>0</v>
      </c>
      <c r="I188" s="19">
        <v>8</v>
      </c>
      <c r="T188" s="19">
        <f>Registro[[#This Row],[Mes 1]]+Registro[[#This Row],[Mes 2]]+Registro[[#This Row],[Mes 3]]</f>
        <v>8</v>
      </c>
      <c r="U188" s="19">
        <f>Registro[[#This Row],[Mes 4]]+Registro[[#This Row],[Mes 5]]+Registro[[#This Row],[Mes 6]]</f>
        <v>0</v>
      </c>
      <c r="V188" s="19">
        <f>Registro[[#This Row],[Mes 7]]+Registro[[#This Row],[Mes 8]]+Registro[[#This Row],[Mes 9]]</f>
        <v>0</v>
      </c>
      <c r="W188" s="20">
        <f>Registro[[#This Row],[Mes 10]]+Registro[[#This Row],[Mes 11]]+Registro[[#This Row],[Mes 12]]</f>
        <v>0</v>
      </c>
      <c r="X188" s="20">
        <f>SUM(Registro[[#This Row],[Trim I]],Registro[[#This Row],[Trim II]],Registro[[#This Row],[Trim III]],Registro[[#This Row],[Trim IV]])</f>
        <v>8</v>
      </c>
      <c r="Y188" s="22">
        <f>IFERROR((Registro[[#This Row],[Avance Total]]/Registro[[#This Row],[Meta]]),0)</f>
        <v>0.52910052910052907</v>
      </c>
      <c r="Z188" s="22">
        <f>IFERROR((Registro[[#This Row],[Avance Total]]-Registro[[#This Row],[Línea Base 2025]])/Registro[[#This Row],[Línea Base 2025]],0)</f>
        <v>0.6</v>
      </c>
      <c r="AA188" s="20">
        <v>2026</v>
      </c>
    </row>
    <row r="189" spans="1:27">
      <c r="A189" s="14">
        <v>1015</v>
      </c>
      <c r="B189" s="15" t="s">
        <v>58</v>
      </c>
      <c r="C189" s="16">
        <v>116</v>
      </c>
      <c r="D189" s="16" t="s">
        <v>185</v>
      </c>
      <c r="E189" s="17" t="s">
        <v>184</v>
      </c>
      <c r="F189" s="24">
        <v>8</v>
      </c>
      <c r="G189" s="24">
        <v>18.400000000000002</v>
      </c>
      <c r="H189" s="19">
        <v>0</v>
      </c>
      <c r="I189" s="19">
        <v>0</v>
      </c>
      <c r="T189" s="19">
        <f>Registro[[#This Row],[Mes 1]]+Registro[[#This Row],[Mes 2]]+Registro[[#This Row],[Mes 3]]</f>
        <v>0</v>
      </c>
      <c r="U189" s="19">
        <f>Registro[[#This Row],[Mes 4]]+Registro[[#This Row],[Mes 5]]+Registro[[#This Row],[Mes 6]]</f>
        <v>0</v>
      </c>
      <c r="V189" s="19">
        <f>Registro[[#This Row],[Mes 7]]+Registro[[#This Row],[Mes 8]]+Registro[[#This Row],[Mes 9]]</f>
        <v>0</v>
      </c>
      <c r="W189" s="20">
        <f>Registro[[#This Row],[Mes 10]]+Registro[[#This Row],[Mes 11]]+Registro[[#This Row],[Mes 12]]</f>
        <v>0</v>
      </c>
      <c r="X189" s="20">
        <f>SUM(Registro[[#This Row],[Trim I]],Registro[[#This Row],[Trim II]],Registro[[#This Row],[Trim III]],Registro[[#This Row],[Trim IV]])</f>
        <v>0</v>
      </c>
      <c r="Y189" s="22">
        <f>IFERROR((Registro[[#This Row],[Avance Total]]/Registro[[#This Row],[Meta]]),0)</f>
        <v>0</v>
      </c>
      <c r="Z189" s="22">
        <f>IFERROR((Registro[[#This Row],[Avance Total]]-Registro[[#This Row],[Línea Base 2025]])/Registro[[#This Row],[Línea Base 2025]],0)</f>
        <v>-1</v>
      </c>
      <c r="AA189" s="20">
        <v>2026</v>
      </c>
    </row>
    <row r="190" spans="1:27" hidden="1">
      <c r="A190" s="14">
        <v>1015</v>
      </c>
      <c r="B190" s="15" t="s">
        <v>58</v>
      </c>
      <c r="C190" s="16">
        <v>117</v>
      </c>
      <c r="D190" s="16" t="s">
        <v>187</v>
      </c>
      <c r="E190" s="17" t="s">
        <v>186</v>
      </c>
      <c r="F190" s="24">
        <v>1</v>
      </c>
      <c r="G190" s="24">
        <v>4.34</v>
      </c>
      <c r="H190" s="19">
        <v>0</v>
      </c>
      <c r="I190" s="19">
        <v>0</v>
      </c>
      <c r="T190" s="19">
        <f>Registro[[#This Row],[Mes 1]]+Registro[[#This Row],[Mes 2]]+Registro[[#This Row],[Mes 3]]</f>
        <v>0</v>
      </c>
      <c r="U190" s="19">
        <f>Registro[[#This Row],[Mes 4]]+Registro[[#This Row],[Mes 5]]+Registro[[#This Row],[Mes 6]]</f>
        <v>0</v>
      </c>
      <c r="V190" s="19">
        <f>Registro[[#This Row],[Mes 7]]+Registro[[#This Row],[Mes 8]]+Registro[[#This Row],[Mes 9]]</f>
        <v>0</v>
      </c>
      <c r="W190" s="20">
        <f>Registro[[#This Row],[Mes 10]]+Registro[[#This Row],[Mes 11]]+Registro[[#This Row],[Mes 12]]</f>
        <v>0</v>
      </c>
      <c r="X190" s="20">
        <f>SUM(Registro[[#This Row],[Trim I]],Registro[[#This Row],[Trim II]],Registro[[#This Row],[Trim III]],Registro[[#This Row],[Trim IV]])</f>
        <v>0</v>
      </c>
      <c r="Y190" s="22">
        <f>IFERROR((Registro[[#This Row],[Avance Total]]/Registro[[#This Row],[Meta]]),0)</f>
        <v>0</v>
      </c>
      <c r="Z190" s="22">
        <f>IFERROR((Registro[[#This Row],[Avance Total]]-Registro[[#This Row],[Línea Base 2025]])/Registro[[#This Row],[Línea Base 2025]],0)</f>
        <v>-1</v>
      </c>
      <c r="AA190" s="20">
        <v>2026</v>
      </c>
    </row>
    <row r="191" spans="1:27" hidden="1">
      <c r="A191" s="14">
        <v>1015</v>
      </c>
      <c r="B191" s="15" t="s">
        <v>58</v>
      </c>
      <c r="C191" s="16">
        <v>118</v>
      </c>
      <c r="D191" s="16" t="s">
        <v>188</v>
      </c>
      <c r="E191" s="17" t="s">
        <v>9</v>
      </c>
      <c r="F191" s="24">
        <v>0</v>
      </c>
      <c r="G191" s="24">
        <v>17</v>
      </c>
      <c r="H191" s="19">
        <v>0</v>
      </c>
      <c r="I191" s="19">
        <v>0</v>
      </c>
      <c r="T191" s="19">
        <f>Registro[[#This Row],[Mes 1]]+Registro[[#This Row],[Mes 2]]+Registro[[#This Row],[Mes 3]]</f>
        <v>0</v>
      </c>
      <c r="U191" s="19">
        <f>Registro[[#This Row],[Mes 4]]+Registro[[#This Row],[Mes 5]]+Registro[[#This Row],[Mes 6]]</f>
        <v>0</v>
      </c>
      <c r="V191" s="19">
        <f>Registro[[#This Row],[Mes 7]]+Registro[[#This Row],[Mes 8]]+Registro[[#This Row],[Mes 9]]</f>
        <v>0</v>
      </c>
      <c r="W191" s="20">
        <f>Registro[[#This Row],[Mes 10]]+Registro[[#This Row],[Mes 11]]+Registro[[#This Row],[Mes 12]]</f>
        <v>0</v>
      </c>
      <c r="X191" s="20">
        <f>SUM(Registro[[#This Row],[Trim I]],Registro[[#This Row],[Trim II]],Registro[[#This Row],[Trim III]],Registro[[#This Row],[Trim IV]])</f>
        <v>0</v>
      </c>
      <c r="Y191" s="22">
        <f>IFERROR((Registro[[#This Row],[Avance Total]]/Registro[[#This Row],[Meta]]),0)</f>
        <v>0</v>
      </c>
      <c r="Z191" s="22">
        <f>IFERROR((Registro[[#This Row],[Avance Total]]-Registro[[#This Row],[Línea Base 2025]])/Registro[[#This Row],[Línea Base 2025]],0)</f>
        <v>0</v>
      </c>
      <c r="AA191" s="20">
        <v>2026</v>
      </c>
    </row>
    <row r="192" spans="1:27" hidden="1">
      <c r="A192" s="14">
        <v>1015</v>
      </c>
      <c r="B192" s="15" t="s">
        <v>58</v>
      </c>
      <c r="C192" s="16">
        <v>119</v>
      </c>
      <c r="D192" s="16" t="s">
        <v>190</v>
      </c>
      <c r="E192" s="17" t="s">
        <v>189</v>
      </c>
      <c r="F192" s="24">
        <v>0</v>
      </c>
      <c r="G192" s="24">
        <v>14.720000000000002</v>
      </c>
      <c r="H192" s="19">
        <v>0</v>
      </c>
      <c r="I192" s="19">
        <v>0</v>
      </c>
      <c r="T192" s="19">
        <f>Registro[[#This Row],[Mes 1]]+Registro[[#This Row],[Mes 2]]+Registro[[#This Row],[Mes 3]]</f>
        <v>0</v>
      </c>
      <c r="U192" s="19">
        <f>Registro[[#This Row],[Mes 4]]+Registro[[#This Row],[Mes 5]]+Registro[[#This Row],[Mes 6]]</f>
        <v>0</v>
      </c>
      <c r="V192" s="19">
        <f>Registro[[#This Row],[Mes 7]]+Registro[[#This Row],[Mes 8]]+Registro[[#This Row],[Mes 9]]</f>
        <v>0</v>
      </c>
      <c r="W192" s="20">
        <f>Registro[[#This Row],[Mes 10]]+Registro[[#This Row],[Mes 11]]+Registro[[#This Row],[Mes 12]]</f>
        <v>0</v>
      </c>
      <c r="X192" s="20">
        <f>SUM(Registro[[#This Row],[Trim I]],Registro[[#This Row],[Trim II]],Registro[[#This Row],[Trim III]],Registro[[#This Row],[Trim IV]])</f>
        <v>0</v>
      </c>
      <c r="Y192" s="22">
        <f>IFERROR((Registro[[#This Row],[Avance Total]]/Registro[[#This Row],[Meta]]),0)</f>
        <v>0</v>
      </c>
      <c r="Z192" s="22">
        <f>IFERROR((Registro[[#This Row],[Avance Total]]-Registro[[#This Row],[Línea Base 2025]])/Registro[[#This Row],[Línea Base 2025]],0)</f>
        <v>0</v>
      </c>
      <c r="AA192" s="20">
        <v>2026</v>
      </c>
    </row>
    <row r="193" spans="1:27" hidden="1">
      <c r="A193" s="14">
        <v>1015</v>
      </c>
      <c r="B193" s="15" t="s">
        <v>58</v>
      </c>
      <c r="C193" s="16">
        <v>120</v>
      </c>
      <c r="D193" s="16" t="s">
        <v>192</v>
      </c>
      <c r="E193" s="17" t="s">
        <v>191</v>
      </c>
      <c r="F193" s="24">
        <v>12</v>
      </c>
      <c r="G193" s="24">
        <v>30</v>
      </c>
      <c r="H193" s="19">
        <v>0</v>
      </c>
      <c r="I193" s="19">
        <v>0</v>
      </c>
      <c r="T193" s="19">
        <f>Registro[[#This Row],[Mes 1]]+Registro[[#This Row],[Mes 2]]+Registro[[#This Row],[Mes 3]]</f>
        <v>0</v>
      </c>
      <c r="U193" s="19">
        <f>Registro[[#This Row],[Mes 4]]+Registro[[#This Row],[Mes 5]]+Registro[[#This Row],[Mes 6]]</f>
        <v>0</v>
      </c>
      <c r="V193" s="19">
        <f>Registro[[#This Row],[Mes 7]]+Registro[[#This Row],[Mes 8]]+Registro[[#This Row],[Mes 9]]</f>
        <v>0</v>
      </c>
      <c r="W193" s="20">
        <f>Registro[[#This Row],[Mes 10]]+Registro[[#This Row],[Mes 11]]+Registro[[#This Row],[Mes 12]]</f>
        <v>0</v>
      </c>
      <c r="X193" s="20">
        <f>SUM(Registro[[#This Row],[Trim I]],Registro[[#This Row],[Trim II]],Registro[[#This Row],[Trim III]],Registro[[#This Row],[Trim IV]])</f>
        <v>0</v>
      </c>
      <c r="Y193" s="22">
        <f>IFERROR((Registro[[#This Row],[Avance Total]]/Registro[[#This Row],[Meta]]),0)</f>
        <v>0</v>
      </c>
      <c r="Z193" s="22">
        <f>IFERROR((Registro[[#This Row],[Avance Total]]-Registro[[#This Row],[Línea Base 2025]])/Registro[[#This Row],[Línea Base 2025]],0)</f>
        <v>-1</v>
      </c>
      <c r="AA193" s="20">
        <v>2026</v>
      </c>
    </row>
    <row r="194" spans="1:27" hidden="1">
      <c r="A194" s="14">
        <v>1015</v>
      </c>
      <c r="B194" s="15" t="s">
        <v>58</v>
      </c>
      <c r="C194" s="16">
        <v>121</v>
      </c>
      <c r="D194" s="16" t="s">
        <v>194</v>
      </c>
      <c r="E194" s="17" t="s">
        <v>193</v>
      </c>
      <c r="F194" s="24">
        <v>0</v>
      </c>
      <c r="G194" s="24">
        <v>13</v>
      </c>
      <c r="H194" s="19">
        <v>0</v>
      </c>
      <c r="I194" s="19">
        <v>0</v>
      </c>
      <c r="T194" s="19">
        <f>Registro[[#This Row],[Mes 1]]+Registro[[#This Row],[Mes 2]]+Registro[[#This Row],[Mes 3]]</f>
        <v>0</v>
      </c>
      <c r="U194" s="19">
        <f>Registro[[#This Row],[Mes 4]]+Registro[[#This Row],[Mes 5]]+Registro[[#This Row],[Mes 6]]</f>
        <v>0</v>
      </c>
      <c r="V194" s="19">
        <f>Registro[[#This Row],[Mes 7]]+Registro[[#This Row],[Mes 8]]+Registro[[#This Row],[Mes 9]]</f>
        <v>0</v>
      </c>
      <c r="W194" s="20">
        <f>Registro[[#This Row],[Mes 10]]+Registro[[#This Row],[Mes 11]]+Registro[[#This Row],[Mes 12]]</f>
        <v>0</v>
      </c>
      <c r="X194" s="20">
        <f>SUM(Registro[[#This Row],[Trim I]],Registro[[#This Row],[Trim II]],Registro[[#This Row],[Trim III]],Registro[[#This Row],[Trim IV]])</f>
        <v>0</v>
      </c>
      <c r="Y194" s="22">
        <f>IFERROR((Registro[[#This Row],[Avance Total]]/Registro[[#This Row],[Meta]]),0)</f>
        <v>0</v>
      </c>
      <c r="Z194" s="22">
        <f>IFERROR((Registro[[#This Row],[Avance Total]]-Registro[[#This Row],[Línea Base 2025]])/Registro[[#This Row],[Línea Base 2025]],0)</f>
        <v>0</v>
      </c>
      <c r="AA194" s="20">
        <v>2026</v>
      </c>
    </row>
    <row r="195" spans="1:27" hidden="1">
      <c r="A195" s="14">
        <v>1015</v>
      </c>
      <c r="B195" s="15" t="s">
        <v>58</v>
      </c>
      <c r="C195" s="16">
        <v>122</v>
      </c>
      <c r="D195" s="16" t="s">
        <v>196</v>
      </c>
      <c r="E195" s="17" t="s">
        <v>195</v>
      </c>
      <c r="F195" s="24">
        <v>0</v>
      </c>
      <c r="G195" s="24">
        <v>5</v>
      </c>
      <c r="H195" s="19">
        <v>0</v>
      </c>
      <c r="I195" s="19">
        <v>0</v>
      </c>
      <c r="T195" s="19">
        <f>Registro[[#This Row],[Mes 1]]+Registro[[#This Row],[Mes 2]]+Registro[[#This Row],[Mes 3]]</f>
        <v>0</v>
      </c>
      <c r="U195" s="19">
        <f>Registro[[#This Row],[Mes 4]]+Registro[[#This Row],[Mes 5]]+Registro[[#This Row],[Mes 6]]</f>
        <v>0</v>
      </c>
      <c r="V195" s="19">
        <f>Registro[[#This Row],[Mes 7]]+Registro[[#This Row],[Mes 8]]+Registro[[#This Row],[Mes 9]]</f>
        <v>0</v>
      </c>
      <c r="W195" s="20">
        <f>Registro[[#This Row],[Mes 10]]+Registro[[#This Row],[Mes 11]]+Registro[[#This Row],[Mes 12]]</f>
        <v>0</v>
      </c>
      <c r="X195" s="20">
        <f>SUM(Registro[[#This Row],[Trim I]],Registro[[#This Row],[Trim II]],Registro[[#This Row],[Trim III]],Registro[[#This Row],[Trim IV]])</f>
        <v>0</v>
      </c>
      <c r="Y195" s="22">
        <f>IFERROR((Registro[[#This Row],[Avance Total]]/Registro[[#This Row],[Meta]]),0)</f>
        <v>0</v>
      </c>
      <c r="Z195" s="22">
        <f>IFERROR((Registro[[#This Row],[Avance Total]]-Registro[[#This Row],[Línea Base 2025]])/Registro[[#This Row],[Línea Base 2025]],0)</f>
        <v>0</v>
      </c>
      <c r="AA195" s="20">
        <v>2026</v>
      </c>
    </row>
    <row r="196" spans="1:27" hidden="1">
      <c r="A196" s="14">
        <v>1015</v>
      </c>
      <c r="B196" s="15" t="s">
        <v>58</v>
      </c>
      <c r="C196" s="16">
        <v>123</v>
      </c>
      <c r="D196" s="16" t="s">
        <v>198</v>
      </c>
      <c r="E196" s="17" t="s">
        <v>197</v>
      </c>
      <c r="F196" s="24">
        <v>0</v>
      </c>
      <c r="G196" s="24">
        <v>5</v>
      </c>
      <c r="H196" s="19">
        <v>0</v>
      </c>
      <c r="I196" s="19">
        <v>0</v>
      </c>
      <c r="T196" s="19">
        <f>Registro[[#This Row],[Mes 1]]+Registro[[#This Row],[Mes 2]]+Registro[[#This Row],[Mes 3]]</f>
        <v>0</v>
      </c>
      <c r="U196" s="19">
        <f>Registro[[#This Row],[Mes 4]]+Registro[[#This Row],[Mes 5]]+Registro[[#This Row],[Mes 6]]</f>
        <v>0</v>
      </c>
      <c r="V196" s="19">
        <f>Registro[[#This Row],[Mes 7]]+Registro[[#This Row],[Mes 8]]+Registro[[#This Row],[Mes 9]]</f>
        <v>0</v>
      </c>
      <c r="W196" s="20">
        <f>Registro[[#This Row],[Mes 10]]+Registro[[#This Row],[Mes 11]]+Registro[[#This Row],[Mes 12]]</f>
        <v>0</v>
      </c>
      <c r="X196" s="20">
        <f>SUM(Registro[[#This Row],[Trim I]],Registro[[#This Row],[Trim II]],Registro[[#This Row],[Trim III]],Registro[[#This Row],[Trim IV]])</f>
        <v>0</v>
      </c>
      <c r="Y196" s="22">
        <f>IFERROR((Registro[[#This Row],[Avance Total]]/Registro[[#This Row],[Meta]]),0)</f>
        <v>0</v>
      </c>
      <c r="Z196" s="22">
        <f>IFERROR((Registro[[#This Row],[Avance Total]]-Registro[[#This Row],[Línea Base 2025]])/Registro[[#This Row],[Línea Base 2025]],0)</f>
        <v>0</v>
      </c>
      <c r="AA196" s="20">
        <v>2026</v>
      </c>
    </row>
    <row r="197" spans="1:27" hidden="1">
      <c r="A197" s="14">
        <v>1016</v>
      </c>
      <c r="B197" s="15" t="s">
        <v>13</v>
      </c>
      <c r="C197" s="16">
        <v>111</v>
      </c>
      <c r="D197" s="16" t="s">
        <v>171</v>
      </c>
      <c r="E197" s="17" t="s">
        <v>172</v>
      </c>
      <c r="F197" s="24">
        <v>1</v>
      </c>
      <c r="G197" s="24">
        <v>163</v>
      </c>
      <c r="H197" s="19">
        <v>0</v>
      </c>
      <c r="I197" s="19">
        <v>0</v>
      </c>
      <c r="T197" s="20">
        <f>Registro[[#This Row],[Mes 1]]+Registro[[#This Row],[Mes 2]]+Registro[[#This Row],[Mes 3]]</f>
        <v>0</v>
      </c>
      <c r="U197" s="20">
        <f>Registro[[#This Row],[Mes 4]]+Registro[[#This Row],[Mes 5]]+Registro[[#This Row],[Mes 6]]</f>
        <v>0</v>
      </c>
      <c r="V197" s="20">
        <f>Registro[[#This Row],[Mes 7]]+Registro[[#This Row],[Mes 8]]+Registro[[#This Row],[Mes 9]]</f>
        <v>0</v>
      </c>
      <c r="W197" s="20">
        <f>Registro[[#This Row],[Mes 10]]+Registro[[#This Row],[Mes 11]]+Registro[[#This Row],[Mes 12]]</f>
        <v>0</v>
      </c>
      <c r="X197" s="20">
        <f>SUM(Registro[[#This Row],[Trim I]],Registro[[#This Row],[Trim II]],Registro[[#This Row],[Trim III]],Registro[[#This Row],[Trim IV]])</f>
        <v>0</v>
      </c>
      <c r="Y197" s="22">
        <f>IFERROR((Registro[[#This Row],[Avance Total]]/Registro[[#This Row],[Meta]]),0)</f>
        <v>0</v>
      </c>
      <c r="Z197" s="22">
        <f>IFERROR((Registro[[#This Row],[Avance Total]]-Registro[[#This Row],[Línea Base 2025]])/Registro[[#This Row],[Línea Base 2025]],0)</f>
        <v>-1</v>
      </c>
      <c r="AA197" s="20"/>
    </row>
    <row r="198" spans="1:27" hidden="1">
      <c r="A198" s="14">
        <v>1016</v>
      </c>
      <c r="B198" s="15" t="s">
        <v>13</v>
      </c>
      <c r="C198" s="16">
        <v>112</v>
      </c>
      <c r="D198" s="16" t="s">
        <v>173</v>
      </c>
      <c r="E198" s="17" t="s">
        <v>7</v>
      </c>
      <c r="F198" s="24">
        <v>0</v>
      </c>
      <c r="G198" s="24">
        <v>0</v>
      </c>
      <c r="H198" s="19">
        <v>0</v>
      </c>
      <c r="I198" s="19">
        <v>0</v>
      </c>
      <c r="T198" s="20">
        <f>Registro[[#This Row],[Mes 1]]+Registro[[#This Row],[Mes 2]]+Registro[[#This Row],[Mes 3]]</f>
        <v>0</v>
      </c>
      <c r="U198" s="20">
        <f>Registro[[#This Row],[Mes 4]]+Registro[[#This Row],[Mes 5]]+Registro[[#This Row],[Mes 6]]</f>
        <v>0</v>
      </c>
      <c r="V198" s="20">
        <f>Registro[[#This Row],[Mes 7]]+Registro[[#This Row],[Mes 8]]+Registro[[#This Row],[Mes 9]]</f>
        <v>0</v>
      </c>
      <c r="W198" s="20">
        <f>Registro[[#This Row],[Mes 10]]+Registro[[#This Row],[Mes 11]]+Registro[[#This Row],[Mes 12]]</f>
        <v>0</v>
      </c>
      <c r="X198" s="20">
        <f>SUM(Registro[[#This Row],[Trim I]],Registro[[#This Row],[Trim II]],Registro[[#This Row],[Trim III]],Registro[[#This Row],[Trim IV]])</f>
        <v>0</v>
      </c>
      <c r="Y198" s="22">
        <f>IFERROR((Registro[[#This Row],[Avance Total]]/Registro[[#This Row],[Meta]]),0)</f>
        <v>0</v>
      </c>
      <c r="Z198" s="22">
        <f>IFERROR((Registro[[#This Row],[Avance Total]]-Registro[[#This Row],[Línea Base 2025]])/Registro[[#This Row],[Línea Base 2025]],0)</f>
        <v>0</v>
      </c>
      <c r="AA198" s="20"/>
    </row>
    <row r="199" spans="1:27" hidden="1">
      <c r="A199" s="14">
        <v>1016</v>
      </c>
      <c r="B199" s="15" t="s">
        <v>13</v>
      </c>
      <c r="C199" s="16">
        <v>113</v>
      </c>
      <c r="D199" s="16" t="s">
        <v>179</v>
      </c>
      <c r="E199" s="17" t="s">
        <v>178</v>
      </c>
      <c r="F199" s="24">
        <v>9</v>
      </c>
      <c r="G199" s="24">
        <v>88</v>
      </c>
      <c r="H199" s="19">
        <v>0</v>
      </c>
      <c r="I199" s="19">
        <v>0</v>
      </c>
      <c r="T199" s="20">
        <f>Registro[[#This Row],[Mes 1]]+Registro[[#This Row],[Mes 2]]+Registro[[#This Row],[Mes 3]]</f>
        <v>0</v>
      </c>
      <c r="U199" s="20">
        <f>Registro[[#This Row],[Mes 4]]+Registro[[#This Row],[Mes 5]]+Registro[[#This Row],[Mes 6]]</f>
        <v>0</v>
      </c>
      <c r="V199" s="20">
        <f>Registro[[#This Row],[Mes 7]]+Registro[[#This Row],[Mes 8]]+Registro[[#This Row],[Mes 9]]</f>
        <v>0</v>
      </c>
      <c r="W199" s="20">
        <f>Registro[[#This Row],[Mes 10]]+Registro[[#This Row],[Mes 11]]+Registro[[#This Row],[Mes 12]]</f>
        <v>0</v>
      </c>
      <c r="X199" s="20">
        <f>SUM(Registro[[#This Row],[Trim I]],Registro[[#This Row],[Trim II]],Registro[[#This Row],[Trim III]],Registro[[#This Row],[Trim IV]])</f>
        <v>0</v>
      </c>
      <c r="Y199" s="22">
        <f>IFERROR((Registro[[#This Row],[Avance Total]]/Registro[[#This Row],[Meta]]),0)</f>
        <v>0</v>
      </c>
      <c r="Z199" s="22">
        <f>IFERROR((Registro[[#This Row],[Avance Total]]-Registro[[#This Row],[Línea Base 2025]])/Registro[[#This Row],[Línea Base 2025]],0)</f>
        <v>-1</v>
      </c>
      <c r="AA199" s="20"/>
    </row>
    <row r="200" spans="1:27" hidden="1">
      <c r="A200" s="14">
        <v>1016</v>
      </c>
      <c r="B200" s="15" t="s">
        <v>13</v>
      </c>
      <c r="C200" s="16">
        <v>114</v>
      </c>
      <c r="D200" s="16" t="s">
        <v>181</v>
      </c>
      <c r="E200" s="17" t="s">
        <v>180</v>
      </c>
      <c r="F200" s="24">
        <v>0</v>
      </c>
      <c r="G200" s="24">
        <v>0</v>
      </c>
      <c r="H200" s="19">
        <v>0</v>
      </c>
      <c r="I200" s="19">
        <v>0</v>
      </c>
      <c r="T200" s="20">
        <f>Registro[[#This Row],[Mes 1]]+Registro[[#This Row],[Mes 2]]+Registro[[#This Row],[Mes 3]]</f>
        <v>0</v>
      </c>
      <c r="U200" s="20">
        <f>Registro[[#This Row],[Mes 4]]+Registro[[#This Row],[Mes 5]]+Registro[[#This Row],[Mes 6]]</f>
        <v>0</v>
      </c>
      <c r="V200" s="20">
        <f>Registro[[#This Row],[Mes 7]]+Registro[[#This Row],[Mes 8]]+Registro[[#This Row],[Mes 9]]</f>
        <v>0</v>
      </c>
      <c r="W200" s="20">
        <f>Registro[[#This Row],[Mes 10]]+Registro[[#This Row],[Mes 11]]+Registro[[#This Row],[Mes 12]]</f>
        <v>0</v>
      </c>
      <c r="X200" s="20">
        <f>SUM(Registro[[#This Row],[Trim I]],Registro[[#This Row],[Trim II]],Registro[[#This Row],[Trim III]],Registro[[#This Row],[Trim IV]])</f>
        <v>0</v>
      </c>
      <c r="Y200" s="22">
        <f>IFERROR((Registro[[#This Row],[Avance Total]]/Registro[[#This Row],[Meta]]),0)</f>
        <v>0</v>
      </c>
      <c r="Z200" s="22">
        <f>IFERROR((Registro[[#This Row],[Avance Total]]-Registro[[#This Row],[Línea Base 2025]])/Registro[[#This Row],[Línea Base 2025]],0)</f>
        <v>0</v>
      </c>
      <c r="AA200" s="20"/>
    </row>
    <row r="201" spans="1:27" hidden="1">
      <c r="A201" s="14">
        <v>1016</v>
      </c>
      <c r="B201" s="15" t="s">
        <v>13</v>
      </c>
      <c r="C201" s="16">
        <v>115</v>
      </c>
      <c r="D201" s="16" t="s">
        <v>183</v>
      </c>
      <c r="E201" s="17" t="s">
        <v>182</v>
      </c>
      <c r="F201" s="24">
        <v>0</v>
      </c>
      <c r="G201" s="24">
        <v>0</v>
      </c>
      <c r="H201" s="19">
        <v>0</v>
      </c>
      <c r="I201" s="19">
        <v>0</v>
      </c>
      <c r="T201" s="20">
        <f>Registro[[#This Row],[Mes 1]]+Registro[[#This Row],[Mes 2]]+Registro[[#This Row],[Mes 3]]</f>
        <v>0</v>
      </c>
      <c r="U201" s="20">
        <f>Registro[[#This Row],[Mes 4]]+Registro[[#This Row],[Mes 5]]+Registro[[#This Row],[Mes 6]]</f>
        <v>0</v>
      </c>
      <c r="V201" s="20">
        <f>Registro[[#This Row],[Mes 7]]+Registro[[#This Row],[Mes 8]]+Registro[[#This Row],[Mes 9]]</f>
        <v>0</v>
      </c>
      <c r="W201" s="20">
        <f>Registro[[#This Row],[Mes 10]]+Registro[[#This Row],[Mes 11]]+Registro[[#This Row],[Mes 12]]</f>
        <v>0</v>
      </c>
      <c r="X201" s="20">
        <f>SUM(Registro[[#This Row],[Trim I]],Registro[[#This Row],[Trim II]],Registro[[#This Row],[Trim III]],Registro[[#This Row],[Trim IV]])</f>
        <v>0</v>
      </c>
      <c r="Y201" s="22">
        <f>IFERROR((Registro[[#This Row],[Avance Total]]/Registro[[#This Row],[Meta]]),0)</f>
        <v>0</v>
      </c>
      <c r="Z201" s="22">
        <f>IFERROR((Registro[[#This Row],[Avance Total]]-Registro[[#This Row],[Línea Base 2025]])/Registro[[#This Row],[Línea Base 2025]],0)</f>
        <v>0</v>
      </c>
      <c r="AA201" s="20"/>
    </row>
    <row r="202" spans="1:27">
      <c r="A202" s="14">
        <v>1016</v>
      </c>
      <c r="B202" s="15" t="s">
        <v>13</v>
      </c>
      <c r="C202" s="16">
        <v>116</v>
      </c>
      <c r="D202" s="16" t="s">
        <v>185</v>
      </c>
      <c r="E202" s="17" t="s">
        <v>184</v>
      </c>
      <c r="F202" s="24">
        <v>0</v>
      </c>
      <c r="G202" s="24">
        <v>0.92</v>
      </c>
      <c r="H202" s="19">
        <v>0</v>
      </c>
      <c r="I202" s="19">
        <v>0</v>
      </c>
      <c r="T202" s="20">
        <f>Registro[[#This Row],[Mes 1]]+Registro[[#This Row],[Mes 2]]+Registro[[#This Row],[Mes 3]]</f>
        <v>0</v>
      </c>
      <c r="U202" s="20">
        <f>Registro[[#This Row],[Mes 4]]+Registro[[#This Row],[Mes 5]]+Registro[[#This Row],[Mes 6]]</f>
        <v>0</v>
      </c>
      <c r="V202" s="20">
        <f>Registro[[#This Row],[Mes 7]]+Registro[[#This Row],[Mes 8]]+Registro[[#This Row],[Mes 9]]</f>
        <v>0</v>
      </c>
      <c r="W202" s="20">
        <f>Registro[[#This Row],[Mes 10]]+Registro[[#This Row],[Mes 11]]+Registro[[#This Row],[Mes 12]]</f>
        <v>0</v>
      </c>
      <c r="X202" s="20">
        <f>SUM(Registro[[#This Row],[Trim I]],Registro[[#This Row],[Trim II]],Registro[[#This Row],[Trim III]],Registro[[#This Row],[Trim IV]])</f>
        <v>0</v>
      </c>
      <c r="Y202" s="22">
        <f>IFERROR((Registro[[#This Row],[Avance Total]]/Registro[[#This Row],[Meta]]),0)</f>
        <v>0</v>
      </c>
      <c r="Z202" s="22">
        <f>IFERROR((Registro[[#This Row],[Avance Total]]-Registro[[#This Row],[Línea Base 2025]])/Registro[[#This Row],[Línea Base 2025]],0)</f>
        <v>0</v>
      </c>
      <c r="AA202" s="20"/>
    </row>
    <row r="203" spans="1:27" hidden="1">
      <c r="A203" s="14">
        <v>1016</v>
      </c>
      <c r="B203" s="15" t="s">
        <v>13</v>
      </c>
      <c r="C203" s="16">
        <v>117</v>
      </c>
      <c r="D203" s="16" t="s">
        <v>187</v>
      </c>
      <c r="E203" s="17" t="s">
        <v>186</v>
      </c>
      <c r="F203" s="24">
        <v>0</v>
      </c>
      <c r="G203" s="24">
        <v>0</v>
      </c>
      <c r="H203" s="19">
        <v>0</v>
      </c>
      <c r="I203" s="19">
        <v>0</v>
      </c>
      <c r="T203" s="20">
        <f>Registro[[#This Row],[Mes 1]]+Registro[[#This Row],[Mes 2]]+Registro[[#This Row],[Mes 3]]</f>
        <v>0</v>
      </c>
      <c r="U203" s="20">
        <f>Registro[[#This Row],[Mes 4]]+Registro[[#This Row],[Mes 5]]+Registro[[#This Row],[Mes 6]]</f>
        <v>0</v>
      </c>
      <c r="V203" s="20">
        <f>Registro[[#This Row],[Mes 7]]+Registro[[#This Row],[Mes 8]]+Registro[[#This Row],[Mes 9]]</f>
        <v>0</v>
      </c>
      <c r="W203" s="20">
        <f>Registro[[#This Row],[Mes 10]]+Registro[[#This Row],[Mes 11]]+Registro[[#This Row],[Mes 12]]</f>
        <v>0</v>
      </c>
      <c r="X203" s="20">
        <f>SUM(Registro[[#This Row],[Trim I]],Registro[[#This Row],[Trim II]],Registro[[#This Row],[Trim III]],Registro[[#This Row],[Trim IV]])</f>
        <v>0</v>
      </c>
      <c r="Y203" s="22">
        <f>IFERROR((Registro[[#This Row],[Avance Total]]/Registro[[#This Row],[Meta]]),0)</f>
        <v>0</v>
      </c>
      <c r="Z203" s="22">
        <f>IFERROR((Registro[[#This Row],[Avance Total]]-Registro[[#This Row],[Línea Base 2025]])/Registro[[#This Row],[Línea Base 2025]],0)</f>
        <v>0</v>
      </c>
      <c r="AA203" s="20"/>
    </row>
    <row r="204" spans="1:27" hidden="1">
      <c r="A204" s="14">
        <v>1016</v>
      </c>
      <c r="B204" s="15" t="s">
        <v>13</v>
      </c>
      <c r="C204" s="16">
        <v>118</v>
      </c>
      <c r="D204" s="16" t="s">
        <v>188</v>
      </c>
      <c r="E204" s="17" t="s">
        <v>9</v>
      </c>
      <c r="F204" s="24">
        <v>0</v>
      </c>
      <c r="G204" s="24">
        <v>0</v>
      </c>
      <c r="H204" s="19">
        <v>0</v>
      </c>
      <c r="I204" s="19">
        <v>0</v>
      </c>
      <c r="T204" s="20">
        <f>Registro[[#This Row],[Mes 1]]+Registro[[#This Row],[Mes 2]]+Registro[[#This Row],[Mes 3]]</f>
        <v>0</v>
      </c>
      <c r="U204" s="20">
        <f>Registro[[#This Row],[Mes 4]]+Registro[[#This Row],[Mes 5]]+Registro[[#This Row],[Mes 6]]</f>
        <v>0</v>
      </c>
      <c r="V204" s="20">
        <f>Registro[[#This Row],[Mes 7]]+Registro[[#This Row],[Mes 8]]+Registro[[#This Row],[Mes 9]]</f>
        <v>0</v>
      </c>
      <c r="W204" s="20">
        <f>Registro[[#This Row],[Mes 10]]+Registro[[#This Row],[Mes 11]]+Registro[[#This Row],[Mes 12]]</f>
        <v>0</v>
      </c>
      <c r="X204" s="20">
        <f>SUM(Registro[[#This Row],[Trim I]],Registro[[#This Row],[Trim II]],Registro[[#This Row],[Trim III]],Registro[[#This Row],[Trim IV]])</f>
        <v>0</v>
      </c>
      <c r="Y204" s="22">
        <f>IFERROR((Registro[[#This Row],[Avance Total]]/Registro[[#This Row],[Meta]]),0)</f>
        <v>0</v>
      </c>
      <c r="Z204" s="22">
        <f>IFERROR((Registro[[#This Row],[Avance Total]]-Registro[[#This Row],[Línea Base 2025]])/Registro[[#This Row],[Línea Base 2025]],0)</f>
        <v>0</v>
      </c>
      <c r="AA204" s="20"/>
    </row>
    <row r="205" spans="1:27" hidden="1">
      <c r="A205" s="14">
        <v>1016</v>
      </c>
      <c r="B205" s="15" t="s">
        <v>13</v>
      </c>
      <c r="C205" s="16">
        <v>119</v>
      </c>
      <c r="D205" s="16" t="s">
        <v>190</v>
      </c>
      <c r="E205" s="17" t="s">
        <v>189</v>
      </c>
      <c r="F205" s="24">
        <v>0</v>
      </c>
      <c r="G205" s="24">
        <v>0.7360000000000001</v>
      </c>
      <c r="H205" s="19">
        <v>0</v>
      </c>
      <c r="I205" s="19">
        <v>0</v>
      </c>
      <c r="T205" s="20">
        <f>Registro[[#This Row],[Mes 1]]+Registro[[#This Row],[Mes 2]]+Registro[[#This Row],[Mes 3]]</f>
        <v>0</v>
      </c>
      <c r="U205" s="20">
        <f>Registro[[#This Row],[Mes 4]]+Registro[[#This Row],[Mes 5]]+Registro[[#This Row],[Mes 6]]</f>
        <v>0</v>
      </c>
      <c r="V205" s="20">
        <f>Registro[[#This Row],[Mes 7]]+Registro[[#This Row],[Mes 8]]+Registro[[#This Row],[Mes 9]]</f>
        <v>0</v>
      </c>
      <c r="W205" s="20">
        <f>Registro[[#This Row],[Mes 10]]+Registro[[#This Row],[Mes 11]]+Registro[[#This Row],[Mes 12]]</f>
        <v>0</v>
      </c>
      <c r="X205" s="20">
        <f>SUM(Registro[[#This Row],[Trim I]],Registro[[#This Row],[Trim II]],Registro[[#This Row],[Trim III]],Registro[[#This Row],[Trim IV]])</f>
        <v>0</v>
      </c>
      <c r="Y205" s="22">
        <f>IFERROR((Registro[[#This Row],[Avance Total]]/Registro[[#This Row],[Meta]]),0)</f>
        <v>0</v>
      </c>
      <c r="Z205" s="22">
        <f>IFERROR((Registro[[#This Row],[Avance Total]]-Registro[[#This Row],[Línea Base 2025]])/Registro[[#This Row],[Línea Base 2025]],0)</f>
        <v>0</v>
      </c>
      <c r="AA205" s="20"/>
    </row>
    <row r="206" spans="1:27" hidden="1">
      <c r="A206" s="14">
        <v>1016</v>
      </c>
      <c r="B206" s="15" t="s">
        <v>13</v>
      </c>
      <c r="C206" s="16">
        <v>120</v>
      </c>
      <c r="D206" s="16" t="s">
        <v>192</v>
      </c>
      <c r="E206" s="17" t="s">
        <v>191</v>
      </c>
      <c r="F206" s="24">
        <v>0</v>
      </c>
      <c r="G206" s="24">
        <v>0</v>
      </c>
      <c r="H206" s="19">
        <v>0</v>
      </c>
      <c r="I206" s="19">
        <v>0</v>
      </c>
      <c r="T206" s="20">
        <f>Registro[[#This Row],[Mes 1]]+Registro[[#This Row],[Mes 2]]+Registro[[#This Row],[Mes 3]]</f>
        <v>0</v>
      </c>
      <c r="U206" s="20">
        <f>Registro[[#This Row],[Mes 4]]+Registro[[#This Row],[Mes 5]]+Registro[[#This Row],[Mes 6]]</f>
        <v>0</v>
      </c>
      <c r="V206" s="20">
        <f>Registro[[#This Row],[Mes 7]]+Registro[[#This Row],[Mes 8]]+Registro[[#This Row],[Mes 9]]</f>
        <v>0</v>
      </c>
      <c r="W206" s="20">
        <f>Registro[[#This Row],[Mes 10]]+Registro[[#This Row],[Mes 11]]+Registro[[#This Row],[Mes 12]]</f>
        <v>0</v>
      </c>
      <c r="X206" s="20">
        <f>SUM(Registro[[#This Row],[Trim I]],Registro[[#This Row],[Trim II]],Registro[[#This Row],[Trim III]],Registro[[#This Row],[Trim IV]])</f>
        <v>0</v>
      </c>
      <c r="Y206" s="22">
        <f>IFERROR((Registro[[#This Row],[Avance Total]]/Registro[[#This Row],[Meta]]),0)</f>
        <v>0</v>
      </c>
      <c r="Z206" s="22">
        <f>IFERROR((Registro[[#This Row],[Avance Total]]-Registro[[#This Row],[Línea Base 2025]])/Registro[[#This Row],[Línea Base 2025]],0)</f>
        <v>0</v>
      </c>
      <c r="AA206" s="20"/>
    </row>
    <row r="207" spans="1:27" hidden="1">
      <c r="A207" s="14">
        <v>1016</v>
      </c>
      <c r="B207" s="15" t="s">
        <v>13</v>
      </c>
      <c r="C207" s="16">
        <v>121</v>
      </c>
      <c r="D207" s="16" t="s">
        <v>194</v>
      </c>
      <c r="E207" s="17" t="s">
        <v>193</v>
      </c>
      <c r="F207" s="24">
        <v>0</v>
      </c>
      <c r="G207" s="24">
        <v>0</v>
      </c>
      <c r="H207" s="19">
        <v>0</v>
      </c>
      <c r="I207" s="19">
        <v>0</v>
      </c>
      <c r="T207" s="20">
        <f>Registro[[#This Row],[Mes 1]]+Registro[[#This Row],[Mes 2]]+Registro[[#This Row],[Mes 3]]</f>
        <v>0</v>
      </c>
      <c r="U207" s="20">
        <f>Registro[[#This Row],[Mes 4]]+Registro[[#This Row],[Mes 5]]+Registro[[#This Row],[Mes 6]]</f>
        <v>0</v>
      </c>
      <c r="V207" s="20">
        <f>Registro[[#This Row],[Mes 7]]+Registro[[#This Row],[Mes 8]]+Registro[[#This Row],[Mes 9]]</f>
        <v>0</v>
      </c>
      <c r="W207" s="20">
        <f>Registro[[#This Row],[Mes 10]]+Registro[[#This Row],[Mes 11]]+Registro[[#This Row],[Mes 12]]</f>
        <v>0</v>
      </c>
      <c r="X207" s="20">
        <f>SUM(Registro[[#This Row],[Trim I]],Registro[[#This Row],[Trim II]],Registro[[#This Row],[Trim III]],Registro[[#This Row],[Trim IV]])</f>
        <v>0</v>
      </c>
      <c r="Y207" s="22">
        <f>IFERROR((Registro[[#This Row],[Avance Total]]/Registro[[#This Row],[Meta]]),0)</f>
        <v>0</v>
      </c>
      <c r="Z207" s="22">
        <f>IFERROR((Registro[[#This Row],[Avance Total]]-Registro[[#This Row],[Línea Base 2025]])/Registro[[#This Row],[Línea Base 2025]],0)</f>
        <v>0</v>
      </c>
      <c r="AA207" s="20"/>
    </row>
    <row r="208" spans="1:27" hidden="1">
      <c r="A208" s="14">
        <v>1016</v>
      </c>
      <c r="B208" s="15" t="s">
        <v>13</v>
      </c>
      <c r="C208" s="16">
        <v>122</v>
      </c>
      <c r="D208" s="16" t="s">
        <v>196</v>
      </c>
      <c r="E208" s="17" t="s">
        <v>195</v>
      </c>
      <c r="F208" s="24">
        <v>0</v>
      </c>
      <c r="G208" s="24">
        <v>0</v>
      </c>
      <c r="H208" s="19">
        <v>0</v>
      </c>
      <c r="I208" s="19">
        <v>0</v>
      </c>
      <c r="T208" s="20">
        <f>Registro[[#This Row],[Mes 1]]+Registro[[#This Row],[Mes 2]]+Registro[[#This Row],[Mes 3]]</f>
        <v>0</v>
      </c>
      <c r="U208" s="20">
        <f>Registro[[#This Row],[Mes 4]]+Registro[[#This Row],[Mes 5]]+Registro[[#This Row],[Mes 6]]</f>
        <v>0</v>
      </c>
      <c r="V208" s="20">
        <f>Registro[[#This Row],[Mes 7]]+Registro[[#This Row],[Mes 8]]+Registro[[#This Row],[Mes 9]]</f>
        <v>0</v>
      </c>
      <c r="W208" s="20">
        <f>Registro[[#This Row],[Mes 10]]+Registro[[#This Row],[Mes 11]]+Registro[[#This Row],[Mes 12]]</f>
        <v>0</v>
      </c>
      <c r="X208" s="20">
        <f>SUM(Registro[[#This Row],[Trim I]],Registro[[#This Row],[Trim II]],Registro[[#This Row],[Trim III]],Registro[[#This Row],[Trim IV]])</f>
        <v>0</v>
      </c>
      <c r="Y208" s="22">
        <f>IFERROR((Registro[[#This Row],[Avance Total]]/Registro[[#This Row],[Meta]]),0)</f>
        <v>0</v>
      </c>
      <c r="Z208" s="22">
        <f>IFERROR((Registro[[#This Row],[Avance Total]]-Registro[[#This Row],[Línea Base 2025]])/Registro[[#This Row],[Línea Base 2025]],0)</f>
        <v>0</v>
      </c>
      <c r="AA208" s="20"/>
    </row>
    <row r="209" spans="1:27" hidden="1">
      <c r="A209" s="14">
        <v>1016</v>
      </c>
      <c r="B209" s="15" t="s">
        <v>13</v>
      </c>
      <c r="C209" s="16">
        <v>123</v>
      </c>
      <c r="D209" s="16" t="s">
        <v>198</v>
      </c>
      <c r="E209" s="17" t="s">
        <v>197</v>
      </c>
      <c r="F209" s="24">
        <v>0</v>
      </c>
      <c r="G209" s="24">
        <v>0</v>
      </c>
      <c r="H209" s="19">
        <v>0</v>
      </c>
      <c r="I209" s="19">
        <v>0</v>
      </c>
      <c r="T209" s="20">
        <f>Registro[[#This Row],[Mes 1]]+Registro[[#This Row],[Mes 2]]+Registro[[#This Row],[Mes 3]]</f>
        <v>0</v>
      </c>
      <c r="U209" s="20">
        <f>Registro[[#This Row],[Mes 4]]+Registro[[#This Row],[Mes 5]]+Registro[[#This Row],[Mes 6]]</f>
        <v>0</v>
      </c>
      <c r="V209" s="20">
        <f>Registro[[#This Row],[Mes 7]]+Registro[[#This Row],[Mes 8]]+Registro[[#This Row],[Mes 9]]</f>
        <v>0</v>
      </c>
      <c r="W209" s="20">
        <f>Registro[[#This Row],[Mes 10]]+Registro[[#This Row],[Mes 11]]+Registro[[#This Row],[Mes 12]]</f>
        <v>0</v>
      </c>
      <c r="X209" s="20">
        <f>SUM(Registro[[#This Row],[Trim I]],Registro[[#This Row],[Trim II]],Registro[[#This Row],[Trim III]],Registro[[#This Row],[Trim IV]])</f>
        <v>0</v>
      </c>
      <c r="Y209" s="22">
        <f>IFERROR((Registro[[#This Row],[Avance Total]]/Registro[[#This Row],[Meta]]),0)</f>
        <v>0</v>
      </c>
      <c r="Z209" s="22">
        <f>IFERROR((Registro[[#This Row],[Avance Total]]-Registro[[#This Row],[Línea Base 2025]])/Registro[[#This Row],[Línea Base 2025]],0)</f>
        <v>0</v>
      </c>
      <c r="AA209" s="20"/>
    </row>
    <row r="210" spans="1:27" hidden="1">
      <c r="A210" s="14">
        <v>1017</v>
      </c>
      <c r="B210" s="15" t="s">
        <v>59</v>
      </c>
      <c r="C210" s="16">
        <v>111</v>
      </c>
      <c r="D210" s="16" t="s">
        <v>171</v>
      </c>
      <c r="E210" s="17" t="s">
        <v>172</v>
      </c>
      <c r="F210" s="24">
        <v>24</v>
      </c>
      <c r="G210" s="24">
        <v>123</v>
      </c>
      <c r="H210" s="19">
        <v>3</v>
      </c>
      <c r="I210" s="19">
        <v>7</v>
      </c>
      <c r="T210" s="19">
        <f>Registro[[#This Row],[Mes 1]]+Registro[[#This Row],[Mes 2]]+Registro[[#This Row],[Mes 3]]</f>
        <v>10</v>
      </c>
      <c r="U210" s="19">
        <f>Registro[[#This Row],[Mes 4]]+Registro[[#This Row],[Mes 5]]+Registro[[#This Row],[Mes 6]]</f>
        <v>0</v>
      </c>
      <c r="V210" s="19">
        <f>Registro[[#This Row],[Mes 7]]+Registro[[#This Row],[Mes 8]]+Registro[[#This Row],[Mes 9]]</f>
        <v>0</v>
      </c>
      <c r="W210" s="20">
        <f>Registro[[#This Row],[Mes 10]]+Registro[[#This Row],[Mes 11]]+Registro[[#This Row],[Mes 12]]</f>
        <v>0</v>
      </c>
      <c r="X210" s="20">
        <f>SUM(Registro[[#This Row],[Trim I]],Registro[[#This Row],[Trim II]],Registro[[#This Row],[Trim III]],Registro[[#This Row],[Trim IV]])</f>
        <v>10</v>
      </c>
      <c r="Y210" s="22">
        <f>IFERROR((Registro[[#This Row],[Avance Total]]/Registro[[#This Row],[Meta]]),0)</f>
        <v>8.1300813008130079E-2</v>
      </c>
      <c r="Z210" s="22">
        <f>IFERROR((Registro[[#This Row],[Avance Total]]-Registro[[#This Row],[Línea Base 2025]])/Registro[[#This Row],[Línea Base 2025]],0)</f>
        <v>-0.58333333333333337</v>
      </c>
      <c r="AA210" s="20">
        <v>2026</v>
      </c>
    </row>
    <row r="211" spans="1:27" hidden="1">
      <c r="A211" s="14">
        <v>1017</v>
      </c>
      <c r="B211" s="15" t="s">
        <v>59</v>
      </c>
      <c r="C211" s="16">
        <v>112</v>
      </c>
      <c r="D211" s="16" t="s">
        <v>173</v>
      </c>
      <c r="E211" s="17" t="s">
        <v>7</v>
      </c>
      <c r="F211" s="24">
        <v>8</v>
      </c>
      <c r="G211" s="24">
        <v>23</v>
      </c>
      <c r="H211" s="19">
        <v>0</v>
      </c>
      <c r="I211" s="19">
        <v>0</v>
      </c>
      <c r="T211" s="19">
        <f>Registro[[#This Row],[Mes 1]]+Registro[[#This Row],[Mes 2]]+Registro[[#This Row],[Mes 3]]</f>
        <v>0</v>
      </c>
      <c r="U211" s="19">
        <f>Registro[[#This Row],[Mes 4]]+Registro[[#This Row],[Mes 5]]+Registro[[#This Row],[Mes 6]]</f>
        <v>0</v>
      </c>
      <c r="V211" s="19">
        <f>Registro[[#This Row],[Mes 7]]+Registro[[#This Row],[Mes 8]]+Registro[[#This Row],[Mes 9]]</f>
        <v>0</v>
      </c>
      <c r="W211" s="20">
        <f>Registro[[#This Row],[Mes 10]]+Registro[[#This Row],[Mes 11]]+Registro[[#This Row],[Mes 12]]</f>
        <v>0</v>
      </c>
      <c r="X211" s="20">
        <f>SUM(Registro[[#This Row],[Trim I]],Registro[[#This Row],[Trim II]],Registro[[#This Row],[Trim III]],Registro[[#This Row],[Trim IV]])</f>
        <v>0</v>
      </c>
      <c r="Y211" s="22">
        <f>IFERROR((Registro[[#This Row],[Avance Total]]/Registro[[#This Row],[Meta]]),0)</f>
        <v>0</v>
      </c>
      <c r="Z211" s="22">
        <f>IFERROR((Registro[[#This Row],[Avance Total]]-Registro[[#This Row],[Línea Base 2025]])/Registro[[#This Row],[Línea Base 2025]],0)</f>
        <v>-1</v>
      </c>
      <c r="AA211" s="20">
        <v>2026</v>
      </c>
    </row>
    <row r="212" spans="1:27" hidden="1">
      <c r="A212" s="14">
        <v>1017</v>
      </c>
      <c r="B212" s="15" t="s">
        <v>59</v>
      </c>
      <c r="C212" s="16">
        <v>113</v>
      </c>
      <c r="D212" s="16" t="s">
        <v>179</v>
      </c>
      <c r="E212" s="17" t="s">
        <v>178</v>
      </c>
      <c r="F212" s="24">
        <v>29</v>
      </c>
      <c r="G212" s="24">
        <v>159</v>
      </c>
      <c r="H212" s="19">
        <v>4</v>
      </c>
      <c r="I212" s="19">
        <v>5</v>
      </c>
      <c r="T212" s="19">
        <f>Registro[[#This Row],[Mes 1]]+Registro[[#This Row],[Mes 2]]+Registro[[#This Row],[Mes 3]]</f>
        <v>9</v>
      </c>
      <c r="U212" s="19">
        <f>Registro[[#This Row],[Mes 4]]+Registro[[#This Row],[Mes 5]]+Registro[[#This Row],[Mes 6]]</f>
        <v>0</v>
      </c>
      <c r="V212" s="19">
        <f>Registro[[#This Row],[Mes 7]]+Registro[[#This Row],[Mes 8]]+Registro[[#This Row],[Mes 9]]</f>
        <v>0</v>
      </c>
      <c r="W212" s="20">
        <f>Registro[[#This Row],[Mes 10]]+Registro[[#This Row],[Mes 11]]+Registro[[#This Row],[Mes 12]]</f>
        <v>0</v>
      </c>
      <c r="X212" s="20">
        <f>SUM(Registro[[#This Row],[Trim I]],Registro[[#This Row],[Trim II]],Registro[[#This Row],[Trim III]],Registro[[#This Row],[Trim IV]])</f>
        <v>9</v>
      </c>
      <c r="Y212" s="22">
        <f>IFERROR((Registro[[#This Row],[Avance Total]]/Registro[[#This Row],[Meta]]),0)</f>
        <v>5.6603773584905662E-2</v>
      </c>
      <c r="Z212" s="22">
        <f>IFERROR((Registro[[#This Row],[Avance Total]]-Registro[[#This Row],[Línea Base 2025]])/Registro[[#This Row],[Línea Base 2025]],0)</f>
        <v>-0.68965517241379315</v>
      </c>
      <c r="AA212" s="20">
        <v>2026</v>
      </c>
    </row>
    <row r="213" spans="1:27" hidden="1">
      <c r="A213" s="14">
        <v>1017</v>
      </c>
      <c r="B213" s="15" t="s">
        <v>59</v>
      </c>
      <c r="C213" s="16">
        <v>114</v>
      </c>
      <c r="D213" s="16" t="s">
        <v>181</v>
      </c>
      <c r="E213" s="17" t="s">
        <v>180</v>
      </c>
      <c r="F213" s="24">
        <v>0</v>
      </c>
      <c r="G213" s="24">
        <v>17.849999999999998</v>
      </c>
      <c r="H213" s="19">
        <v>3</v>
      </c>
      <c r="I213" s="19">
        <v>0</v>
      </c>
      <c r="T213" s="19">
        <f>Registro[[#This Row],[Mes 1]]+Registro[[#This Row],[Mes 2]]+Registro[[#This Row],[Mes 3]]</f>
        <v>3</v>
      </c>
      <c r="U213" s="19">
        <f>Registro[[#This Row],[Mes 4]]+Registro[[#This Row],[Mes 5]]+Registro[[#This Row],[Mes 6]]</f>
        <v>0</v>
      </c>
      <c r="V213" s="19">
        <f>Registro[[#This Row],[Mes 7]]+Registro[[#This Row],[Mes 8]]+Registro[[#This Row],[Mes 9]]</f>
        <v>0</v>
      </c>
      <c r="W213" s="20">
        <f>Registro[[#This Row],[Mes 10]]+Registro[[#This Row],[Mes 11]]+Registro[[#This Row],[Mes 12]]</f>
        <v>0</v>
      </c>
      <c r="X213" s="20">
        <f>SUM(Registro[[#This Row],[Trim I]],Registro[[#This Row],[Trim II]],Registro[[#This Row],[Trim III]],Registro[[#This Row],[Trim IV]])</f>
        <v>3</v>
      </c>
      <c r="Y213" s="22">
        <f>IFERROR((Registro[[#This Row],[Avance Total]]/Registro[[#This Row],[Meta]]),0)</f>
        <v>0.16806722689075632</v>
      </c>
      <c r="Z213" s="22">
        <f>IFERROR((Registro[[#This Row],[Avance Total]]-Registro[[#This Row],[Línea Base 2025]])/Registro[[#This Row],[Línea Base 2025]],0)</f>
        <v>0</v>
      </c>
      <c r="AA213" s="20">
        <v>2026</v>
      </c>
    </row>
    <row r="214" spans="1:27" hidden="1">
      <c r="A214" s="14">
        <v>1017</v>
      </c>
      <c r="B214" s="15" t="s">
        <v>59</v>
      </c>
      <c r="C214" s="16">
        <v>115</v>
      </c>
      <c r="D214" s="16" t="s">
        <v>183</v>
      </c>
      <c r="E214" s="17" t="s">
        <v>182</v>
      </c>
      <c r="F214" s="24">
        <v>1</v>
      </c>
      <c r="G214" s="24">
        <v>16.064999999999998</v>
      </c>
      <c r="H214" s="19">
        <v>0</v>
      </c>
      <c r="I214" s="19">
        <v>0</v>
      </c>
      <c r="T214" s="19">
        <f>Registro[[#This Row],[Mes 1]]+Registro[[#This Row],[Mes 2]]+Registro[[#This Row],[Mes 3]]</f>
        <v>0</v>
      </c>
      <c r="U214" s="19">
        <f>Registro[[#This Row],[Mes 4]]+Registro[[#This Row],[Mes 5]]+Registro[[#This Row],[Mes 6]]</f>
        <v>0</v>
      </c>
      <c r="V214" s="19">
        <f>Registro[[#This Row],[Mes 7]]+Registro[[#This Row],[Mes 8]]+Registro[[#This Row],[Mes 9]]</f>
        <v>0</v>
      </c>
      <c r="W214" s="20">
        <f>Registro[[#This Row],[Mes 10]]+Registro[[#This Row],[Mes 11]]+Registro[[#This Row],[Mes 12]]</f>
        <v>0</v>
      </c>
      <c r="X214" s="20">
        <f>SUM(Registro[[#This Row],[Trim I]],Registro[[#This Row],[Trim II]],Registro[[#This Row],[Trim III]],Registro[[#This Row],[Trim IV]])</f>
        <v>0</v>
      </c>
      <c r="Y214" s="22">
        <f>IFERROR((Registro[[#This Row],[Avance Total]]/Registro[[#This Row],[Meta]]),0)</f>
        <v>0</v>
      </c>
      <c r="Z214" s="22">
        <f>IFERROR((Registro[[#This Row],[Avance Total]]-Registro[[#This Row],[Línea Base 2025]])/Registro[[#This Row],[Línea Base 2025]],0)</f>
        <v>-1</v>
      </c>
      <c r="AA214" s="20">
        <v>2026</v>
      </c>
    </row>
    <row r="215" spans="1:27">
      <c r="A215" s="14">
        <v>1017</v>
      </c>
      <c r="B215" s="15" t="s">
        <v>59</v>
      </c>
      <c r="C215" s="16">
        <v>116</v>
      </c>
      <c r="D215" s="16" t="s">
        <v>185</v>
      </c>
      <c r="E215" s="17" t="s">
        <v>184</v>
      </c>
      <c r="F215" s="24">
        <v>4</v>
      </c>
      <c r="G215" s="24">
        <v>8.74</v>
      </c>
      <c r="H215" s="19">
        <v>0</v>
      </c>
      <c r="I215" s="19">
        <v>0</v>
      </c>
      <c r="T215" s="19">
        <f>Registro[[#This Row],[Mes 1]]+Registro[[#This Row],[Mes 2]]+Registro[[#This Row],[Mes 3]]</f>
        <v>0</v>
      </c>
      <c r="U215" s="19">
        <f>Registro[[#This Row],[Mes 4]]+Registro[[#This Row],[Mes 5]]+Registro[[#This Row],[Mes 6]]</f>
        <v>0</v>
      </c>
      <c r="V215" s="19">
        <f>Registro[[#This Row],[Mes 7]]+Registro[[#This Row],[Mes 8]]+Registro[[#This Row],[Mes 9]]</f>
        <v>0</v>
      </c>
      <c r="W215" s="20">
        <f>Registro[[#This Row],[Mes 10]]+Registro[[#This Row],[Mes 11]]+Registro[[#This Row],[Mes 12]]</f>
        <v>0</v>
      </c>
      <c r="X215" s="20">
        <f>SUM(Registro[[#This Row],[Trim I]],Registro[[#This Row],[Trim II]],Registro[[#This Row],[Trim III]],Registro[[#This Row],[Trim IV]])</f>
        <v>0</v>
      </c>
      <c r="Y215" s="22">
        <f>IFERROR((Registro[[#This Row],[Avance Total]]/Registro[[#This Row],[Meta]]),0)</f>
        <v>0</v>
      </c>
      <c r="Z215" s="22">
        <f>IFERROR((Registro[[#This Row],[Avance Total]]-Registro[[#This Row],[Línea Base 2025]])/Registro[[#This Row],[Línea Base 2025]],0)</f>
        <v>-1</v>
      </c>
      <c r="AA215" s="20">
        <v>2026</v>
      </c>
    </row>
    <row r="216" spans="1:27" hidden="1">
      <c r="A216" s="14">
        <v>1017</v>
      </c>
      <c r="B216" s="15" t="s">
        <v>59</v>
      </c>
      <c r="C216" s="16">
        <v>117</v>
      </c>
      <c r="D216" s="16" t="s">
        <v>187</v>
      </c>
      <c r="E216" s="17" t="s">
        <v>186</v>
      </c>
      <c r="F216" s="24">
        <v>0</v>
      </c>
      <c r="G216" s="24">
        <v>2.02</v>
      </c>
      <c r="H216" s="19">
        <v>0</v>
      </c>
      <c r="I216" s="19">
        <v>0</v>
      </c>
      <c r="T216" s="19">
        <f>Registro[[#This Row],[Mes 1]]+Registro[[#This Row],[Mes 2]]+Registro[[#This Row],[Mes 3]]</f>
        <v>0</v>
      </c>
      <c r="U216" s="19">
        <f>Registro[[#This Row],[Mes 4]]+Registro[[#This Row],[Mes 5]]+Registro[[#This Row],[Mes 6]]</f>
        <v>0</v>
      </c>
      <c r="V216" s="19">
        <f>Registro[[#This Row],[Mes 7]]+Registro[[#This Row],[Mes 8]]+Registro[[#This Row],[Mes 9]]</f>
        <v>0</v>
      </c>
      <c r="W216" s="20">
        <f>Registro[[#This Row],[Mes 10]]+Registro[[#This Row],[Mes 11]]+Registro[[#This Row],[Mes 12]]</f>
        <v>0</v>
      </c>
      <c r="X216" s="20">
        <f>SUM(Registro[[#This Row],[Trim I]],Registro[[#This Row],[Trim II]],Registro[[#This Row],[Trim III]],Registro[[#This Row],[Trim IV]])</f>
        <v>0</v>
      </c>
      <c r="Y216" s="22">
        <f>IFERROR((Registro[[#This Row],[Avance Total]]/Registro[[#This Row],[Meta]]),0)</f>
        <v>0</v>
      </c>
      <c r="Z216" s="22">
        <f>IFERROR((Registro[[#This Row],[Avance Total]]-Registro[[#This Row],[Línea Base 2025]])/Registro[[#This Row],[Línea Base 2025]],0)</f>
        <v>0</v>
      </c>
      <c r="AA216" s="20">
        <v>2026</v>
      </c>
    </row>
    <row r="217" spans="1:27" hidden="1">
      <c r="A217" s="14">
        <v>1017</v>
      </c>
      <c r="B217" s="15" t="s">
        <v>59</v>
      </c>
      <c r="C217" s="16">
        <v>118</v>
      </c>
      <c r="D217" s="16" t="s">
        <v>188</v>
      </c>
      <c r="E217" s="17" t="s">
        <v>9</v>
      </c>
      <c r="F217" s="24">
        <v>0</v>
      </c>
      <c r="G217" s="24">
        <v>1</v>
      </c>
      <c r="H217" s="19">
        <v>1</v>
      </c>
      <c r="I217" s="19">
        <v>0</v>
      </c>
      <c r="T217" s="19">
        <f>Registro[[#This Row],[Mes 1]]+Registro[[#This Row],[Mes 2]]+Registro[[#This Row],[Mes 3]]</f>
        <v>1</v>
      </c>
      <c r="U217" s="19">
        <f>Registro[[#This Row],[Mes 4]]+Registro[[#This Row],[Mes 5]]+Registro[[#This Row],[Mes 6]]</f>
        <v>0</v>
      </c>
      <c r="V217" s="19">
        <f>Registro[[#This Row],[Mes 7]]+Registro[[#This Row],[Mes 8]]+Registro[[#This Row],[Mes 9]]</f>
        <v>0</v>
      </c>
      <c r="W217" s="20">
        <f>Registro[[#This Row],[Mes 10]]+Registro[[#This Row],[Mes 11]]+Registro[[#This Row],[Mes 12]]</f>
        <v>0</v>
      </c>
      <c r="X217" s="20">
        <f>SUM(Registro[[#This Row],[Trim I]],Registro[[#This Row],[Trim II]],Registro[[#This Row],[Trim III]],Registro[[#This Row],[Trim IV]])</f>
        <v>1</v>
      </c>
      <c r="Y217" s="22">
        <f>IFERROR((Registro[[#This Row],[Avance Total]]/Registro[[#This Row],[Meta]]),0)</f>
        <v>1</v>
      </c>
      <c r="Z217" s="22">
        <f>IFERROR((Registro[[#This Row],[Avance Total]]-Registro[[#This Row],[Línea Base 2025]])/Registro[[#This Row],[Línea Base 2025]],0)</f>
        <v>0</v>
      </c>
      <c r="AA217" s="20">
        <v>2026</v>
      </c>
    </row>
    <row r="218" spans="1:27" hidden="1">
      <c r="A218" s="14">
        <v>1017</v>
      </c>
      <c r="B218" s="15" t="s">
        <v>59</v>
      </c>
      <c r="C218" s="16">
        <v>119</v>
      </c>
      <c r="D218" s="16" t="s">
        <v>190</v>
      </c>
      <c r="E218" s="17" t="s">
        <v>189</v>
      </c>
      <c r="F218" s="24">
        <v>0</v>
      </c>
      <c r="G218" s="24">
        <v>6.9920000000000009</v>
      </c>
      <c r="H218" s="19">
        <v>0</v>
      </c>
      <c r="I218" s="19">
        <v>0</v>
      </c>
      <c r="T218" s="19">
        <f>Registro[[#This Row],[Mes 1]]+Registro[[#This Row],[Mes 2]]+Registro[[#This Row],[Mes 3]]</f>
        <v>0</v>
      </c>
      <c r="U218" s="19">
        <f>Registro[[#This Row],[Mes 4]]+Registro[[#This Row],[Mes 5]]+Registro[[#This Row],[Mes 6]]</f>
        <v>0</v>
      </c>
      <c r="V218" s="19">
        <f>Registro[[#This Row],[Mes 7]]+Registro[[#This Row],[Mes 8]]+Registro[[#This Row],[Mes 9]]</f>
        <v>0</v>
      </c>
      <c r="W218" s="20">
        <f>Registro[[#This Row],[Mes 10]]+Registro[[#This Row],[Mes 11]]+Registro[[#This Row],[Mes 12]]</f>
        <v>0</v>
      </c>
      <c r="X218" s="20">
        <f>SUM(Registro[[#This Row],[Trim I]],Registro[[#This Row],[Trim II]],Registro[[#This Row],[Trim III]],Registro[[#This Row],[Trim IV]])</f>
        <v>0</v>
      </c>
      <c r="Y218" s="22">
        <f>IFERROR((Registro[[#This Row],[Avance Total]]/Registro[[#This Row],[Meta]]),0)</f>
        <v>0</v>
      </c>
      <c r="Z218" s="22">
        <f>IFERROR((Registro[[#This Row],[Avance Total]]-Registro[[#This Row],[Línea Base 2025]])/Registro[[#This Row],[Línea Base 2025]],0)</f>
        <v>0</v>
      </c>
      <c r="AA218" s="20">
        <v>2026</v>
      </c>
    </row>
    <row r="219" spans="1:27" hidden="1">
      <c r="A219" s="14">
        <v>1017</v>
      </c>
      <c r="B219" s="15" t="s">
        <v>59</v>
      </c>
      <c r="C219" s="16">
        <v>120</v>
      </c>
      <c r="D219" s="16" t="s">
        <v>192</v>
      </c>
      <c r="E219" s="17" t="s">
        <v>191</v>
      </c>
      <c r="F219" s="24">
        <v>14</v>
      </c>
      <c r="G219" s="24">
        <v>15</v>
      </c>
      <c r="H219" s="19">
        <v>0</v>
      </c>
      <c r="I219" s="19">
        <v>0</v>
      </c>
      <c r="T219" s="19">
        <f>Registro[[#This Row],[Mes 1]]+Registro[[#This Row],[Mes 2]]+Registro[[#This Row],[Mes 3]]</f>
        <v>0</v>
      </c>
      <c r="U219" s="19">
        <f>Registro[[#This Row],[Mes 4]]+Registro[[#This Row],[Mes 5]]+Registro[[#This Row],[Mes 6]]</f>
        <v>0</v>
      </c>
      <c r="V219" s="19">
        <f>Registro[[#This Row],[Mes 7]]+Registro[[#This Row],[Mes 8]]+Registro[[#This Row],[Mes 9]]</f>
        <v>0</v>
      </c>
      <c r="W219" s="20">
        <f>Registro[[#This Row],[Mes 10]]+Registro[[#This Row],[Mes 11]]+Registro[[#This Row],[Mes 12]]</f>
        <v>0</v>
      </c>
      <c r="X219" s="20">
        <f>SUM(Registro[[#This Row],[Trim I]],Registro[[#This Row],[Trim II]],Registro[[#This Row],[Trim III]],Registro[[#This Row],[Trim IV]])</f>
        <v>0</v>
      </c>
      <c r="Y219" s="22">
        <f>IFERROR((Registro[[#This Row],[Avance Total]]/Registro[[#This Row],[Meta]]),0)</f>
        <v>0</v>
      </c>
      <c r="Z219" s="22">
        <f>IFERROR((Registro[[#This Row],[Avance Total]]-Registro[[#This Row],[Línea Base 2025]])/Registro[[#This Row],[Línea Base 2025]],0)</f>
        <v>-1</v>
      </c>
      <c r="AA219" s="20">
        <v>2026</v>
      </c>
    </row>
    <row r="220" spans="1:27" hidden="1">
      <c r="A220" s="14">
        <v>1017</v>
      </c>
      <c r="B220" s="15" t="s">
        <v>59</v>
      </c>
      <c r="C220" s="16">
        <v>121</v>
      </c>
      <c r="D220" s="16" t="s">
        <v>194</v>
      </c>
      <c r="E220" s="17" t="s">
        <v>193</v>
      </c>
      <c r="F220" s="24">
        <v>0</v>
      </c>
      <c r="G220" s="24">
        <v>0</v>
      </c>
      <c r="H220" s="19">
        <v>0</v>
      </c>
      <c r="I220" s="19">
        <v>0</v>
      </c>
      <c r="T220" s="19">
        <f>Registro[[#This Row],[Mes 1]]+Registro[[#This Row],[Mes 2]]+Registro[[#This Row],[Mes 3]]</f>
        <v>0</v>
      </c>
      <c r="U220" s="19">
        <f>Registro[[#This Row],[Mes 4]]+Registro[[#This Row],[Mes 5]]+Registro[[#This Row],[Mes 6]]</f>
        <v>0</v>
      </c>
      <c r="V220" s="19">
        <f>Registro[[#This Row],[Mes 7]]+Registro[[#This Row],[Mes 8]]+Registro[[#This Row],[Mes 9]]</f>
        <v>0</v>
      </c>
      <c r="W220" s="20">
        <f>Registro[[#This Row],[Mes 10]]+Registro[[#This Row],[Mes 11]]+Registro[[#This Row],[Mes 12]]</f>
        <v>0</v>
      </c>
      <c r="X220" s="20">
        <f>SUM(Registro[[#This Row],[Trim I]],Registro[[#This Row],[Trim II]],Registro[[#This Row],[Trim III]],Registro[[#This Row],[Trim IV]])</f>
        <v>0</v>
      </c>
      <c r="Y220" s="22">
        <f>IFERROR((Registro[[#This Row],[Avance Total]]/Registro[[#This Row],[Meta]]),0)</f>
        <v>0</v>
      </c>
      <c r="Z220" s="22">
        <f>IFERROR((Registro[[#This Row],[Avance Total]]-Registro[[#This Row],[Línea Base 2025]])/Registro[[#This Row],[Línea Base 2025]],0)</f>
        <v>0</v>
      </c>
      <c r="AA220" s="20">
        <v>2026</v>
      </c>
    </row>
    <row r="221" spans="1:27" hidden="1">
      <c r="A221" s="14">
        <v>1017</v>
      </c>
      <c r="B221" s="15" t="s">
        <v>59</v>
      </c>
      <c r="C221" s="16">
        <v>122</v>
      </c>
      <c r="D221" s="16" t="s">
        <v>196</v>
      </c>
      <c r="E221" s="17" t="s">
        <v>195</v>
      </c>
      <c r="F221" s="24">
        <v>0</v>
      </c>
      <c r="G221" s="24">
        <v>4.8194999999999988</v>
      </c>
      <c r="H221" s="19">
        <v>0</v>
      </c>
      <c r="I221" s="19">
        <v>0</v>
      </c>
      <c r="T221" s="19">
        <f>Registro[[#This Row],[Mes 1]]+Registro[[#This Row],[Mes 2]]+Registro[[#This Row],[Mes 3]]</f>
        <v>0</v>
      </c>
      <c r="U221" s="19">
        <f>Registro[[#This Row],[Mes 4]]+Registro[[#This Row],[Mes 5]]+Registro[[#This Row],[Mes 6]]</f>
        <v>0</v>
      </c>
      <c r="V221" s="19">
        <f>Registro[[#This Row],[Mes 7]]+Registro[[#This Row],[Mes 8]]+Registro[[#This Row],[Mes 9]]</f>
        <v>0</v>
      </c>
      <c r="W221" s="20">
        <f>Registro[[#This Row],[Mes 10]]+Registro[[#This Row],[Mes 11]]+Registro[[#This Row],[Mes 12]]</f>
        <v>0</v>
      </c>
      <c r="X221" s="20">
        <f>SUM(Registro[[#This Row],[Trim I]],Registro[[#This Row],[Trim II]],Registro[[#This Row],[Trim III]],Registro[[#This Row],[Trim IV]])</f>
        <v>0</v>
      </c>
      <c r="Y221" s="22">
        <f>IFERROR((Registro[[#This Row],[Avance Total]]/Registro[[#This Row],[Meta]]),0)</f>
        <v>0</v>
      </c>
      <c r="Z221" s="22">
        <f>IFERROR((Registro[[#This Row],[Avance Total]]-Registro[[#This Row],[Línea Base 2025]])/Registro[[#This Row],[Línea Base 2025]],0)</f>
        <v>0</v>
      </c>
      <c r="AA221" s="20">
        <v>2026</v>
      </c>
    </row>
    <row r="222" spans="1:27" hidden="1">
      <c r="A222" s="14">
        <v>1017</v>
      </c>
      <c r="B222" s="15" t="s">
        <v>59</v>
      </c>
      <c r="C222" s="16">
        <v>123</v>
      </c>
      <c r="D222" s="16" t="s">
        <v>198</v>
      </c>
      <c r="E222" s="17" t="s">
        <v>197</v>
      </c>
      <c r="F222" s="24">
        <v>0</v>
      </c>
      <c r="G222" s="24">
        <v>5</v>
      </c>
      <c r="H222" s="19">
        <v>0</v>
      </c>
      <c r="I222" s="19">
        <v>0</v>
      </c>
      <c r="T222" s="19">
        <f>Registro[[#This Row],[Mes 1]]+Registro[[#This Row],[Mes 2]]+Registro[[#This Row],[Mes 3]]</f>
        <v>0</v>
      </c>
      <c r="U222" s="19">
        <f>Registro[[#This Row],[Mes 4]]+Registro[[#This Row],[Mes 5]]+Registro[[#This Row],[Mes 6]]</f>
        <v>0</v>
      </c>
      <c r="V222" s="19">
        <f>Registro[[#This Row],[Mes 7]]+Registro[[#This Row],[Mes 8]]+Registro[[#This Row],[Mes 9]]</f>
        <v>0</v>
      </c>
      <c r="W222" s="20">
        <f>Registro[[#This Row],[Mes 10]]+Registro[[#This Row],[Mes 11]]+Registro[[#This Row],[Mes 12]]</f>
        <v>0</v>
      </c>
      <c r="X222" s="20">
        <f>SUM(Registro[[#This Row],[Trim I]],Registro[[#This Row],[Trim II]],Registro[[#This Row],[Trim III]],Registro[[#This Row],[Trim IV]])</f>
        <v>0</v>
      </c>
      <c r="Y222" s="22">
        <f>IFERROR((Registro[[#This Row],[Avance Total]]/Registro[[#This Row],[Meta]]),0)</f>
        <v>0</v>
      </c>
      <c r="Z222" s="22">
        <f>IFERROR((Registro[[#This Row],[Avance Total]]-Registro[[#This Row],[Línea Base 2025]])/Registro[[#This Row],[Línea Base 2025]],0)</f>
        <v>0</v>
      </c>
      <c r="AA222" s="20">
        <v>2026</v>
      </c>
    </row>
    <row r="223" spans="1:27" hidden="1">
      <c r="A223" s="14">
        <v>1018</v>
      </c>
      <c r="B223" s="15" t="s">
        <v>60</v>
      </c>
      <c r="C223" s="16">
        <v>111</v>
      </c>
      <c r="D223" s="16" t="s">
        <v>171</v>
      </c>
      <c r="E223" s="17" t="s">
        <v>172</v>
      </c>
      <c r="F223" s="24">
        <v>62</v>
      </c>
      <c r="G223" s="24">
        <v>336</v>
      </c>
      <c r="H223" s="19">
        <v>0</v>
      </c>
      <c r="I223" s="19">
        <v>3</v>
      </c>
      <c r="T223" s="19">
        <f>Registro[[#This Row],[Mes 1]]+Registro[[#This Row],[Mes 2]]+Registro[[#This Row],[Mes 3]]</f>
        <v>3</v>
      </c>
      <c r="U223" s="19">
        <f>Registro[[#This Row],[Mes 4]]+Registro[[#This Row],[Mes 5]]+Registro[[#This Row],[Mes 6]]</f>
        <v>0</v>
      </c>
      <c r="V223" s="19">
        <f>Registro[[#This Row],[Mes 7]]+Registro[[#This Row],[Mes 8]]+Registro[[#This Row],[Mes 9]]</f>
        <v>0</v>
      </c>
      <c r="W223" s="20">
        <f>Registro[[#This Row],[Mes 10]]+Registro[[#This Row],[Mes 11]]+Registro[[#This Row],[Mes 12]]</f>
        <v>0</v>
      </c>
      <c r="X223" s="20">
        <f>SUM(Registro[[#This Row],[Trim I]],Registro[[#This Row],[Trim II]],Registro[[#This Row],[Trim III]],Registro[[#This Row],[Trim IV]])</f>
        <v>3</v>
      </c>
      <c r="Y223" s="22">
        <f>IFERROR((Registro[[#This Row],[Avance Total]]/Registro[[#This Row],[Meta]]),0)</f>
        <v>8.9285714285714281E-3</v>
      </c>
      <c r="Z223" s="22">
        <f>IFERROR((Registro[[#This Row],[Avance Total]]-Registro[[#This Row],[Línea Base 2025]])/Registro[[#This Row],[Línea Base 2025]],0)</f>
        <v>-0.95161290322580649</v>
      </c>
      <c r="AA223" s="20">
        <v>2026</v>
      </c>
    </row>
    <row r="224" spans="1:27" hidden="1">
      <c r="A224" s="14">
        <v>1018</v>
      </c>
      <c r="B224" s="15" t="s">
        <v>60</v>
      </c>
      <c r="C224" s="16">
        <v>112</v>
      </c>
      <c r="D224" s="16" t="s">
        <v>173</v>
      </c>
      <c r="E224" s="17" t="s">
        <v>7</v>
      </c>
      <c r="F224" s="24">
        <v>35</v>
      </c>
      <c r="G224" s="24">
        <v>97</v>
      </c>
      <c r="H224" s="19">
        <v>0</v>
      </c>
      <c r="I224" s="19">
        <v>0</v>
      </c>
      <c r="T224" s="19">
        <f>Registro[[#This Row],[Mes 1]]+Registro[[#This Row],[Mes 2]]+Registro[[#This Row],[Mes 3]]</f>
        <v>0</v>
      </c>
      <c r="U224" s="19">
        <f>Registro[[#This Row],[Mes 4]]+Registro[[#This Row],[Mes 5]]+Registro[[#This Row],[Mes 6]]</f>
        <v>0</v>
      </c>
      <c r="V224" s="19">
        <f>Registro[[#This Row],[Mes 7]]+Registro[[#This Row],[Mes 8]]+Registro[[#This Row],[Mes 9]]</f>
        <v>0</v>
      </c>
      <c r="W224" s="20">
        <f>Registro[[#This Row],[Mes 10]]+Registro[[#This Row],[Mes 11]]+Registro[[#This Row],[Mes 12]]</f>
        <v>0</v>
      </c>
      <c r="X224" s="20">
        <f>SUM(Registro[[#This Row],[Trim I]],Registro[[#This Row],[Trim II]],Registro[[#This Row],[Trim III]],Registro[[#This Row],[Trim IV]])</f>
        <v>0</v>
      </c>
      <c r="Y224" s="22">
        <f>IFERROR((Registro[[#This Row],[Avance Total]]/Registro[[#This Row],[Meta]]),0)</f>
        <v>0</v>
      </c>
      <c r="Z224" s="22">
        <f>IFERROR((Registro[[#This Row],[Avance Total]]-Registro[[#This Row],[Línea Base 2025]])/Registro[[#This Row],[Línea Base 2025]],0)</f>
        <v>-1</v>
      </c>
      <c r="AA224" s="20">
        <v>2026</v>
      </c>
    </row>
    <row r="225" spans="1:27" hidden="1">
      <c r="A225" s="14">
        <v>1018</v>
      </c>
      <c r="B225" s="15" t="s">
        <v>60</v>
      </c>
      <c r="C225" s="16">
        <v>113</v>
      </c>
      <c r="D225" s="16" t="s">
        <v>179</v>
      </c>
      <c r="E225" s="17" t="s">
        <v>178</v>
      </c>
      <c r="F225" s="24">
        <v>66</v>
      </c>
      <c r="G225" s="24">
        <v>441</v>
      </c>
      <c r="H225" s="19">
        <v>0</v>
      </c>
      <c r="I225" s="19">
        <v>1</v>
      </c>
      <c r="T225" s="19">
        <f>Registro[[#This Row],[Mes 1]]+Registro[[#This Row],[Mes 2]]+Registro[[#This Row],[Mes 3]]</f>
        <v>1</v>
      </c>
      <c r="U225" s="19">
        <f>Registro[[#This Row],[Mes 4]]+Registro[[#This Row],[Mes 5]]+Registro[[#This Row],[Mes 6]]</f>
        <v>0</v>
      </c>
      <c r="V225" s="19">
        <f>Registro[[#This Row],[Mes 7]]+Registro[[#This Row],[Mes 8]]+Registro[[#This Row],[Mes 9]]</f>
        <v>0</v>
      </c>
      <c r="W225" s="20">
        <f>Registro[[#This Row],[Mes 10]]+Registro[[#This Row],[Mes 11]]+Registro[[#This Row],[Mes 12]]</f>
        <v>0</v>
      </c>
      <c r="X225" s="20">
        <f>SUM(Registro[[#This Row],[Trim I]],Registro[[#This Row],[Trim II]],Registro[[#This Row],[Trim III]],Registro[[#This Row],[Trim IV]])</f>
        <v>1</v>
      </c>
      <c r="Y225" s="22">
        <f>IFERROR((Registro[[#This Row],[Avance Total]]/Registro[[#This Row],[Meta]]),0)</f>
        <v>2.2675736961451248E-3</v>
      </c>
      <c r="Z225" s="22">
        <f>IFERROR((Registro[[#This Row],[Avance Total]]-Registro[[#This Row],[Línea Base 2025]])/Registro[[#This Row],[Línea Base 2025]],0)</f>
        <v>-0.98484848484848486</v>
      </c>
      <c r="AA225" s="20">
        <v>2026</v>
      </c>
    </row>
    <row r="226" spans="1:27" hidden="1">
      <c r="A226" s="14">
        <v>1018</v>
      </c>
      <c r="B226" s="15" t="s">
        <v>60</v>
      </c>
      <c r="C226" s="16">
        <v>114</v>
      </c>
      <c r="D226" s="16" t="s">
        <v>181</v>
      </c>
      <c r="E226" s="17" t="s">
        <v>180</v>
      </c>
      <c r="F226" s="24">
        <v>0</v>
      </c>
      <c r="G226" s="24">
        <v>49.949999999999996</v>
      </c>
      <c r="H226" s="19">
        <v>0</v>
      </c>
      <c r="I226" s="19">
        <v>0</v>
      </c>
      <c r="T226" s="19">
        <f>Registro[[#This Row],[Mes 1]]+Registro[[#This Row],[Mes 2]]+Registro[[#This Row],[Mes 3]]</f>
        <v>0</v>
      </c>
      <c r="U226" s="19">
        <f>Registro[[#This Row],[Mes 4]]+Registro[[#This Row],[Mes 5]]+Registro[[#This Row],[Mes 6]]</f>
        <v>0</v>
      </c>
      <c r="V226" s="19">
        <f>Registro[[#This Row],[Mes 7]]+Registro[[#This Row],[Mes 8]]+Registro[[#This Row],[Mes 9]]</f>
        <v>0</v>
      </c>
      <c r="W226" s="20">
        <f>Registro[[#This Row],[Mes 10]]+Registro[[#This Row],[Mes 11]]+Registro[[#This Row],[Mes 12]]</f>
        <v>0</v>
      </c>
      <c r="X226" s="20">
        <f>SUM(Registro[[#This Row],[Trim I]],Registro[[#This Row],[Trim II]],Registro[[#This Row],[Trim III]],Registro[[#This Row],[Trim IV]])</f>
        <v>0</v>
      </c>
      <c r="Y226" s="22">
        <f>IFERROR((Registro[[#This Row],[Avance Total]]/Registro[[#This Row],[Meta]]),0)</f>
        <v>0</v>
      </c>
      <c r="Z226" s="22">
        <f>IFERROR((Registro[[#This Row],[Avance Total]]-Registro[[#This Row],[Línea Base 2025]])/Registro[[#This Row],[Línea Base 2025]],0)</f>
        <v>0</v>
      </c>
      <c r="AA226" s="20">
        <v>2026</v>
      </c>
    </row>
    <row r="227" spans="1:27" hidden="1">
      <c r="A227" s="14">
        <v>1018</v>
      </c>
      <c r="B227" s="15" t="s">
        <v>60</v>
      </c>
      <c r="C227" s="16">
        <v>115</v>
      </c>
      <c r="D227" s="16" t="s">
        <v>183</v>
      </c>
      <c r="E227" s="17" t="s">
        <v>182</v>
      </c>
      <c r="F227" s="24">
        <v>12</v>
      </c>
      <c r="G227" s="24">
        <v>44.954999999999998</v>
      </c>
      <c r="H227" s="19">
        <v>0</v>
      </c>
      <c r="I227" s="19">
        <v>0</v>
      </c>
      <c r="T227" s="19">
        <f>Registro[[#This Row],[Mes 1]]+Registro[[#This Row],[Mes 2]]+Registro[[#This Row],[Mes 3]]</f>
        <v>0</v>
      </c>
      <c r="U227" s="19">
        <f>Registro[[#This Row],[Mes 4]]+Registro[[#This Row],[Mes 5]]+Registro[[#This Row],[Mes 6]]</f>
        <v>0</v>
      </c>
      <c r="V227" s="19">
        <f>Registro[[#This Row],[Mes 7]]+Registro[[#This Row],[Mes 8]]+Registro[[#This Row],[Mes 9]]</f>
        <v>0</v>
      </c>
      <c r="W227" s="20">
        <f>Registro[[#This Row],[Mes 10]]+Registro[[#This Row],[Mes 11]]+Registro[[#This Row],[Mes 12]]</f>
        <v>0</v>
      </c>
      <c r="X227" s="20">
        <f>SUM(Registro[[#This Row],[Trim I]],Registro[[#This Row],[Trim II]],Registro[[#This Row],[Trim III]],Registro[[#This Row],[Trim IV]])</f>
        <v>0</v>
      </c>
      <c r="Y227" s="22">
        <f>IFERROR((Registro[[#This Row],[Avance Total]]/Registro[[#This Row],[Meta]]),0)</f>
        <v>0</v>
      </c>
      <c r="Z227" s="22">
        <f>IFERROR((Registro[[#This Row],[Avance Total]]-Registro[[#This Row],[Línea Base 2025]])/Registro[[#This Row],[Línea Base 2025]],0)</f>
        <v>-1</v>
      </c>
      <c r="AA227" s="20">
        <v>2026</v>
      </c>
    </row>
    <row r="228" spans="1:27">
      <c r="A228" s="14">
        <v>1018</v>
      </c>
      <c r="B228" s="15" t="s">
        <v>60</v>
      </c>
      <c r="C228" s="16">
        <v>116</v>
      </c>
      <c r="D228" s="16" t="s">
        <v>185</v>
      </c>
      <c r="E228" s="17" t="s">
        <v>184</v>
      </c>
      <c r="F228" s="24">
        <v>2</v>
      </c>
      <c r="G228" s="24">
        <v>8.74</v>
      </c>
      <c r="H228" s="19">
        <v>0</v>
      </c>
      <c r="I228" s="19">
        <v>0</v>
      </c>
      <c r="T228" s="19">
        <f>Registro[[#This Row],[Mes 1]]+Registro[[#This Row],[Mes 2]]+Registro[[#This Row],[Mes 3]]</f>
        <v>0</v>
      </c>
      <c r="U228" s="19">
        <f>Registro[[#This Row],[Mes 4]]+Registro[[#This Row],[Mes 5]]+Registro[[#This Row],[Mes 6]]</f>
        <v>0</v>
      </c>
      <c r="V228" s="19">
        <f>Registro[[#This Row],[Mes 7]]+Registro[[#This Row],[Mes 8]]+Registro[[#This Row],[Mes 9]]</f>
        <v>0</v>
      </c>
      <c r="W228" s="20">
        <f>Registro[[#This Row],[Mes 10]]+Registro[[#This Row],[Mes 11]]+Registro[[#This Row],[Mes 12]]</f>
        <v>0</v>
      </c>
      <c r="X228" s="20">
        <f>SUM(Registro[[#This Row],[Trim I]],Registro[[#This Row],[Trim II]],Registro[[#This Row],[Trim III]],Registro[[#This Row],[Trim IV]])</f>
        <v>0</v>
      </c>
      <c r="Y228" s="22">
        <f>IFERROR((Registro[[#This Row],[Avance Total]]/Registro[[#This Row],[Meta]]),0)</f>
        <v>0</v>
      </c>
      <c r="Z228" s="22">
        <f>IFERROR((Registro[[#This Row],[Avance Total]]-Registro[[#This Row],[Línea Base 2025]])/Registro[[#This Row],[Línea Base 2025]],0)</f>
        <v>-1</v>
      </c>
      <c r="AA228" s="20">
        <v>2026</v>
      </c>
    </row>
    <row r="229" spans="1:27" hidden="1">
      <c r="A229" s="14">
        <v>1018</v>
      </c>
      <c r="B229" s="15" t="s">
        <v>60</v>
      </c>
      <c r="C229" s="16">
        <v>117</v>
      </c>
      <c r="D229" s="16" t="s">
        <v>187</v>
      </c>
      <c r="E229" s="17" t="s">
        <v>186</v>
      </c>
      <c r="F229" s="24">
        <v>3</v>
      </c>
      <c r="G229" s="24">
        <v>5</v>
      </c>
      <c r="H229" s="19">
        <v>0</v>
      </c>
      <c r="I229" s="19">
        <v>0</v>
      </c>
      <c r="T229" s="19">
        <f>Registro[[#This Row],[Mes 1]]+Registro[[#This Row],[Mes 2]]+Registro[[#This Row],[Mes 3]]</f>
        <v>0</v>
      </c>
      <c r="U229" s="19">
        <f>Registro[[#This Row],[Mes 4]]+Registro[[#This Row],[Mes 5]]+Registro[[#This Row],[Mes 6]]</f>
        <v>0</v>
      </c>
      <c r="V229" s="19">
        <f>Registro[[#This Row],[Mes 7]]+Registro[[#This Row],[Mes 8]]+Registro[[#This Row],[Mes 9]]</f>
        <v>0</v>
      </c>
      <c r="W229" s="20">
        <f>Registro[[#This Row],[Mes 10]]+Registro[[#This Row],[Mes 11]]+Registro[[#This Row],[Mes 12]]</f>
        <v>0</v>
      </c>
      <c r="X229" s="20">
        <f>SUM(Registro[[#This Row],[Trim I]],Registro[[#This Row],[Trim II]],Registro[[#This Row],[Trim III]],Registro[[#This Row],[Trim IV]])</f>
        <v>0</v>
      </c>
      <c r="Y229" s="22">
        <f>IFERROR((Registro[[#This Row],[Avance Total]]/Registro[[#This Row],[Meta]]),0)</f>
        <v>0</v>
      </c>
      <c r="Z229" s="22">
        <f>IFERROR((Registro[[#This Row],[Avance Total]]-Registro[[#This Row],[Línea Base 2025]])/Registro[[#This Row],[Línea Base 2025]],0)</f>
        <v>-1</v>
      </c>
      <c r="AA229" s="20">
        <v>2026</v>
      </c>
    </row>
    <row r="230" spans="1:27" hidden="1">
      <c r="A230" s="14">
        <v>1018</v>
      </c>
      <c r="B230" s="15" t="s">
        <v>60</v>
      </c>
      <c r="C230" s="16">
        <v>118</v>
      </c>
      <c r="D230" s="16" t="s">
        <v>188</v>
      </c>
      <c r="E230" s="17" t="s">
        <v>9</v>
      </c>
      <c r="F230" s="24">
        <v>0</v>
      </c>
      <c r="G230" s="24">
        <v>0</v>
      </c>
      <c r="H230" s="19">
        <v>0</v>
      </c>
      <c r="I230" s="19">
        <v>0</v>
      </c>
      <c r="T230" s="19">
        <f>Registro[[#This Row],[Mes 1]]+Registro[[#This Row],[Mes 2]]+Registro[[#This Row],[Mes 3]]</f>
        <v>0</v>
      </c>
      <c r="U230" s="19">
        <f>Registro[[#This Row],[Mes 4]]+Registro[[#This Row],[Mes 5]]+Registro[[#This Row],[Mes 6]]</f>
        <v>0</v>
      </c>
      <c r="V230" s="19">
        <f>Registro[[#This Row],[Mes 7]]+Registro[[#This Row],[Mes 8]]+Registro[[#This Row],[Mes 9]]</f>
        <v>0</v>
      </c>
      <c r="W230" s="20">
        <f>Registro[[#This Row],[Mes 10]]+Registro[[#This Row],[Mes 11]]+Registro[[#This Row],[Mes 12]]</f>
        <v>0</v>
      </c>
      <c r="X230" s="20">
        <f>SUM(Registro[[#This Row],[Trim I]],Registro[[#This Row],[Trim II]],Registro[[#This Row],[Trim III]],Registro[[#This Row],[Trim IV]])</f>
        <v>0</v>
      </c>
      <c r="Y230" s="22">
        <f>IFERROR((Registro[[#This Row],[Avance Total]]/Registro[[#This Row],[Meta]]),0)</f>
        <v>0</v>
      </c>
      <c r="Z230" s="22">
        <f>IFERROR((Registro[[#This Row],[Avance Total]]-Registro[[#This Row],[Línea Base 2025]])/Registro[[#This Row],[Línea Base 2025]],0)</f>
        <v>0</v>
      </c>
      <c r="AA230" s="20">
        <v>2026</v>
      </c>
    </row>
    <row r="231" spans="1:27" hidden="1">
      <c r="A231" s="14">
        <v>1018</v>
      </c>
      <c r="B231" s="15" t="s">
        <v>60</v>
      </c>
      <c r="C231" s="16">
        <v>119</v>
      </c>
      <c r="D231" s="16" t="s">
        <v>190</v>
      </c>
      <c r="E231" s="17" t="s">
        <v>189</v>
      </c>
      <c r="F231" s="24">
        <v>0</v>
      </c>
      <c r="G231" s="24">
        <v>6.9920000000000009</v>
      </c>
      <c r="H231" s="19">
        <v>0</v>
      </c>
      <c r="I231" s="19">
        <v>0</v>
      </c>
      <c r="T231" s="19">
        <f>Registro[[#This Row],[Mes 1]]+Registro[[#This Row],[Mes 2]]+Registro[[#This Row],[Mes 3]]</f>
        <v>0</v>
      </c>
      <c r="U231" s="19">
        <f>Registro[[#This Row],[Mes 4]]+Registro[[#This Row],[Mes 5]]+Registro[[#This Row],[Mes 6]]</f>
        <v>0</v>
      </c>
      <c r="V231" s="19">
        <f>Registro[[#This Row],[Mes 7]]+Registro[[#This Row],[Mes 8]]+Registro[[#This Row],[Mes 9]]</f>
        <v>0</v>
      </c>
      <c r="W231" s="20">
        <f>Registro[[#This Row],[Mes 10]]+Registro[[#This Row],[Mes 11]]+Registro[[#This Row],[Mes 12]]</f>
        <v>0</v>
      </c>
      <c r="X231" s="20">
        <f>SUM(Registro[[#This Row],[Trim I]],Registro[[#This Row],[Trim II]],Registro[[#This Row],[Trim III]],Registro[[#This Row],[Trim IV]])</f>
        <v>0</v>
      </c>
      <c r="Y231" s="22">
        <f>IFERROR((Registro[[#This Row],[Avance Total]]/Registro[[#This Row],[Meta]]),0)</f>
        <v>0</v>
      </c>
      <c r="Z231" s="22">
        <f>IFERROR((Registro[[#This Row],[Avance Total]]-Registro[[#This Row],[Línea Base 2025]])/Registro[[#This Row],[Línea Base 2025]],0)</f>
        <v>0</v>
      </c>
      <c r="AA231" s="20">
        <v>2026</v>
      </c>
    </row>
    <row r="232" spans="1:27" hidden="1">
      <c r="A232" s="14">
        <v>1018</v>
      </c>
      <c r="B232" s="15" t="s">
        <v>60</v>
      </c>
      <c r="C232" s="16">
        <v>120</v>
      </c>
      <c r="D232" s="16" t="s">
        <v>192</v>
      </c>
      <c r="E232" s="17" t="s">
        <v>191</v>
      </c>
      <c r="F232" s="24">
        <v>6</v>
      </c>
      <c r="G232" s="24">
        <v>36</v>
      </c>
      <c r="H232" s="19">
        <v>0</v>
      </c>
      <c r="I232" s="19">
        <v>9</v>
      </c>
      <c r="T232" s="19">
        <f>Registro[[#This Row],[Mes 1]]+Registro[[#This Row],[Mes 2]]+Registro[[#This Row],[Mes 3]]</f>
        <v>9</v>
      </c>
      <c r="U232" s="19">
        <f>Registro[[#This Row],[Mes 4]]+Registro[[#This Row],[Mes 5]]+Registro[[#This Row],[Mes 6]]</f>
        <v>0</v>
      </c>
      <c r="V232" s="19">
        <f>Registro[[#This Row],[Mes 7]]+Registro[[#This Row],[Mes 8]]+Registro[[#This Row],[Mes 9]]</f>
        <v>0</v>
      </c>
      <c r="W232" s="20">
        <f>Registro[[#This Row],[Mes 10]]+Registro[[#This Row],[Mes 11]]+Registro[[#This Row],[Mes 12]]</f>
        <v>0</v>
      </c>
      <c r="X232" s="20">
        <f>SUM(Registro[[#This Row],[Trim I]],Registro[[#This Row],[Trim II]],Registro[[#This Row],[Trim III]],Registro[[#This Row],[Trim IV]])</f>
        <v>9</v>
      </c>
      <c r="Y232" s="22">
        <f>IFERROR((Registro[[#This Row],[Avance Total]]/Registro[[#This Row],[Meta]]),0)</f>
        <v>0.25</v>
      </c>
      <c r="Z232" s="22">
        <f>IFERROR((Registro[[#This Row],[Avance Total]]-Registro[[#This Row],[Línea Base 2025]])/Registro[[#This Row],[Línea Base 2025]],0)</f>
        <v>0.5</v>
      </c>
      <c r="AA232" s="20">
        <v>2026</v>
      </c>
    </row>
    <row r="233" spans="1:27" hidden="1">
      <c r="A233" s="14">
        <v>1018</v>
      </c>
      <c r="B233" s="15" t="s">
        <v>60</v>
      </c>
      <c r="C233" s="16">
        <v>121</v>
      </c>
      <c r="D233" s="16" t="s">
        <v>194</v>
      </c>
      <c r="E233" s="17" t="s">
        <v>193</v>
      </c>
      <c r="F233" s="24">
        <v>0</v>
      </c>
      <c r="G233" s="24">
        <v>0</v>
      </c>
      <c r="H233" s="19">
        <v>0</v>
      </c>
      <c r="I233" s="19">
        <v>0</v>
      </c>
      <c r="T233" s="19">
        <f>Registro[[#This Row],[Mes 1]]+Registro[[#This Row],[Mes 2]]+Registro[[#This Row],[Mes 3]]</f>
        <v>0</v>
      </c>
      <c r="U233" s="19">
        <f>Registro[[#This Row],[Mes 4]]+Registro[[#This Row],[Mes 5]]+Registro[[#This Row],[Mes 6]]</f>
        <v>0</v>
      </c>
      <c r="V233" s="19">
        <f>Registro[[#This Row],[Mes 7]]+Registro[[#This Row],[Mes 8]]+Registro[[#This Row],[Mes 9]]</f>
        <v>0</v>
      </c>
      <c r="W233" s="20">
        <f>Registro[[#This Row],[Mes 10]]+Registro[[#This Row],[Mes 11]]+Registro[[#This Row],[Mes 12]]</f>
        <v>0</v>
      </c>
      <c r="X233" s="20">
        <f>SUM(Registro[[#This Row],[Trim I]],Registro[[#This Row],[Trim II]],Registro[[#This Row],[Trim III]],Registro[[#This Row],[Trim IV]])</f>
        <v>0</v>
      </c>
      <c r="Y233" s="22">
        <f>IFERROR((Registro[[#This Row],[Avance Total]]/Registro[[#This Row],[Meta]]),0)</f>
        <v>0</v>
      </c>
      <c r="Z233" s="22">
        <f>IFERROR((Registro[[#This Row],[Avance Total]]-Registro[[#This Row],[Línea Base 2025]])/Registro[[#This Row],[Línea Base 2025]],0)</f>
        <v>0</v>
      </c>
      <c r="AA233" s="20">
        <v>2026</v>
      </c>
    </row>
    <row r="234" spans="1:27" hidden="1">
      <c r="A234" s="14">
        <v>1018</v>
      </c>
      <c r="B234" s="15" t="s">
        <v>60</v>
      </c>
      <c r="C234" s="16">
        <v>122</v>
      </c>
      <c r="D234" s="16" t="s">
        <v>196</v>
      </c>
      <c r="E234" s="17" t="s">
        <v>195</v>
      </c>
      <c r="F234" s="24">
        <v>0</v>
      </c>
      <c r="G234" s="24">
        <v>13.486499999999999</v>
      </c>
      <c r="H234" s="19">
        <v>0</v>
      </c>
      <c r="I234" s="19">
        <v>0</v>
      </c>
      <c r="T234" s="19">
        <f>Registro[[#This Row],[Mes 1]]+Registro[[#This Row],[Mes 2]]+Registro[[#This Row],[Mes 3]]</f>
        <v>0</v>
      </c>
      <c r="U234" s="19">
        <f>Registro[[#This Row],[Mes 4]]+Registro[[#This Row],[Mes 5]]+Registro[[#This Row],[Mes 6]]</f>
        <v>0</v>
      </c>
      <c r="V234" s="19">
        <f>Registro[[#This Row],[Mes 7]]+Registro[[#This Row],[Mes 8]]+Registro[[#This Row],[Mes 9]]</f>
        <v>0</v>
      </c>
      <c r="W234" s="20">
        <f>Registro[[#This Row],[Mes 10]]+Registro[[#This Row],[Mes 11]]+Registro[[#This Row],[Mes 12]]</f>
        <v>0</v>
      </c>
      <c r="X234" s="20">
        <f>SUM(Registro[[#This Row],[Trim I]],Registro[[#This Row],[Trim II]],Registro[[#This Row],[Trim III]],Registro[[#This Row],[Trim IV]])</f>
        <v>0</v>
      </c>
      <c r="Y234" s="22">
        <f>IFERROR((Registro[[#This Row],[Avance Total]]/Registro[[#This Row],[Meta]]),0)</f>
        <v>0</v>
      </c>
      <c r="Z234" s="22">
        <f>IFERROR((Registro[[#This Row],[Avance Total]]-Registro[[#This Row],[Línea Base 2025]])/Registro[[#This Row],[Línea Base 2025]],0)</f>
        <v>0</v>
      </c>
      <c r="AA234" s="20">
        <v>2026</v>
      </c>
    </row>
    <row r="235" spans="1:27" hidden="1">
      <c r="A235" s="14">
        <v>1018</v>
      </c>
      <c r="B235" s="15" t="s">
        <v>60</v>
      </c>
      <c r="C235" s="16">
        <v>123</v>
      </c>
      <c r="D235" s="16" t="s">
        <v>198</v>
      </c>
      <c r="E235" s="17" t="s">
        <v>197</v>
      </c>
      <c r="F235" s="24">
        <v>0</v>
      </c>
      <c r="G235" s="24">
        <v>13</v>
      </c>
      <c r="H235" s="19">
        <v>0</v>
      </c>
      <c r="I235" s="19">
        <v>0</v>
      </c>
      <c r="T235" s="19">
        <f>Registro[[#This Row],[Mes 1]]+Registro[[#This Row],[Mes 2]]+Registro[[#This Row],[Mes 3]]</f>
        <v>0</v>
      </c>
      <c r="U235" s="19">
        <f>Registro[[#This Row],[Mes 4]]+Registro[[#This Row],[Mes 5]]+Registro[[#This Row],[Mes 6]]</f>
        <v>0</v>
      </c>
      <c r="V235" s="19">
        <f>Registro[[#This Row],[Mes 7]]+Registro[[#This Row],[Mes 8]]+Registro[[#This Row],[Mes 9]]</f>
        <v>0</v>
      </c>
      <c r="W235" s="20">
        <f>Registro[[#This Row],[Mes 10]]+Registro[[#This Row],[Mes 11]]+Registro[[#This Row],[Mes 12]]</f>
        <v>0</v>
      </c>
      <c r="X235" s="20">
        <f>SUM(Registro[[#This Row],[Trim I]],Registro[[#This Row],[Trim II]],Registro[[#This Row],[Trim III]],Registro[[#This Row],[Trim IV]])</f>
        <v>0</v>
      </c>
      <c r="Y235" s="22">
        <f>IFERROR((Registro[[#This Row],[Avance Total]]/Registro[[#This Row],[Meta]]),0)</f>
        <v>0</v>
      </c>
      <c r="Z235" s="22">
        <f>IFERROR((Registro[[#This Row],[Avance Total]]-Registro[[#This Row],[Línea Base 2025]])/Registro[[#This Row],[Línea Base 2025]],0)</f>
        <v>0</v>
      </c>
      <c r="AA235" s="20">
        <v>2026</v>
      </c>
    </row>
    <row r="236" spans="1:27" hidden="1">
      <c r="A236" s="14">
        <v>1019</v>
      </c>
      <c r="B236" s="15" t="s">
        <v>61</v>
      </c>
      <c r="C236" s="16">
        <v>111</v>
      </c>
      <c r="D236" s="16" t="s">
        <v>171</v>
      </c>
      <c r="E236" s="17" t="s">
        <v>172</v>
      </c>
      <c r="F236" s="24">
        <v>32</v>
      </c>
      <c r="G236" s="24">
        <v>176</v>
      </c>
      <c r="H236" s="19">
        <v>0</v>
      </c>
      <c r="I236" s="19">
        <v>3</v>
      </c>
      <c r="T236" s="19">
        <f>Registro[[#This Row],[Mes 1]]+Registro[[#This Row],[Mes 2]]+Registro[[#This Row],[Mes 3]]</f>
        <v>3</v>
      </c>
      <c r="U236" s="19">
        <f>Registro[[#This Row],[Mes 4]]+Registro[[#This Row],[Mes 5]]+Registro[[#This Row],[Mes 6]]</f>
        <v>0</v>
      </c>
      <c r="V236" s="19">
        <f>Registro[[#This Row],[Mes 7]]+Registro[[#This Row],[Mes 8]]+Registro[[#This Row],[Mes 9]]</f>
        <v>0</v>
      </c>
      <c r="W236" s="20">
        <f>Registro[[#This Row],[Mes 10]]+Registro[[#This Row],[Mes 11]]+Registro[[#This Row],[Mes 12]]</f>
        <v>0</v>
      </c>
      <c r="X236" s="20">
        <f>SUM(Registro[[#This Row],[Trim I]],Registro[[#This Row],[Trim II]],Registro[[#This Row],[Trim III]],Registro[[#This Row],[Trim IV]])</f>
        <v>3</v>
      </c>
      <c r="Y236" s="22">
        <f>IFERROR((Registro[[#This Row],[Avance Total]]/Registro[[#This Row],[Meta]]),0)</f>
        <v>1.7045454545454544E-2</v>
      </c>
      <c r="Z236" s="22">
        <f>IFERROR((Registro[[#This Row],[Avance Total]]-Registro[[#This Row],[Línea Base 2025]])/Registro[[#This Row],[Línea Base 2025]],0)</f>
        <v>-0.90625</v>
      </c>
      <c r="AA236" s="20">
        <v>2026</v>
      </c>
    </row>
    <row r="237" spans="1:27" hidden="1">
      <c r="A237" s="14">
        <v>1019</v>
      </c>
      <c r="B237" s="15" t="s">
        <v>61</v>
      </c>
      <c r="C237" s="16">
        <v>112</v>
      </c>
      <c r="D237" s="16" t="s">
        <v>173</v>
      </c>
      <c r="E237" s="17" t="s">
        <v>7</v>
      </c>
      <c r="F237" s="24">
        <v>12</v>
      </c>
      <c r="G237" s="24">
        <v>33</v>
      </c>
      <c r="H237" s="19">
        <v>0</v>
      </c>
      <c r="I237" s="19">
        <v>0</v>
      </c>
      <c r="T237" s="19">
        <f>Registro[[#This Row],[Mes 1]]+Registro[[#This Row],[Mes 2]]+Registro[[#This Row],[Mes 3]]</f>
        <v>0</v>
      </c>
      <c r="U237" s="19">
        <f>Registro[[#This Row],[Mes 4]]+Registro[[#This Row],[Mes 5]]+Registro[[#This Row],[Mes 6]]</f>
        <v>0</v>
      </c>
      <c r="V237" s="19">
        <f>Registro[[#This Row],[Mes 7]]+Registro[[#This Row],[Mes 8]]+Registro[[#This Row],[Mes 9]]</f>
        <v>0</v>
      </c>
      <c r="W237" s="20">
        <f>Registro[[#This Row],[Mes 10]]+Registro[[#This Row],[Mes 11]]+Registro[[#This Row],[Mes 12]]</f>
        <v>0</v>
      </c>
      <c r="X237" s="20">
        <f>SUM(Registro[[#This Row],[Trim I]],Registro[[#This Row],[Trim II]],Registro[[#This Row],[Trim III]],Registro[[#This Row],[Trim IV]])</f>
        <v>0</v>
      </c>
      <c r="Y237" s="22">
        <f>IFERROR((Registro[[#This Row],[Avance Total]]/Registro[[#This Row],[Meta]]),0)</f>
        <v>0</v>
      </c>
      <c r="Z237" s="22">
        <f>IFERROR((Registro[[#This Row],[Avance Total]]-Registro[[#This Row],[Línea Base 2025]])/Registro[[#This Row],[Línea Base 2025]],0)</f>
        <v>-1</v>
      </c>
      <c r="AA237" s="20">
        <v>2026</v>
      </c>
    </row>
    <row r="238" spans="1:27" hidden="1">
      <c r="A238" s="14">
        <v>1019</v>
      </c>
      <c r="B238" s="15" t="s">
        <v>61</v>
      </c>
      <c r="C238" s="16">
        <v>113</v>
      </c>
      <c r="D238" s="16" t="s">
        <v>179</v>
      </c>
      <c r="E238" s="17" t="s">
        <v>178</v>
      </c>
      <c r="F238" s="24">
        <v>21</v>
      </c>
      <c r="G238" s="24">
        <v>195</v>
      </c>
      <c r="H238" s="19">
        <v>4</v>
      </c>
      <c r="I238" s="19">
        <v>4</v>
      </c>
      <c r="T238" s="19">
        <f>Registro[[#This Row],[Mes 1]]+Registro[[#This Row],[Mes 2]]+Registro[[#This Row],[Mes 3]]</f>
        <v>8</v>
      </c>
      <c r="U238" s="19">
        <f>Registro[[#This Row],[Mes 4]]+Registro[[#This Row],[Mes 5]]+Registro[[#This Row],[Mes 6]]</f>
        <v>0</v>
      </c>
      <c r="V238" s="19">
        <f>Registro[[#This Row],[Mes 7]]+Registro[[#This Row],[Mes 8]]+Registro[[#This Row],[Mes 9]]</f>
        <v>0</v>
      </c>
      <c r="W238" s="20">
        <f>Registro[[#This Row],[Mes 10]]+Registro[[#This Row],[Mes 11]]+Registro[[#This Row],[Mes 12]]</f>
        <v>0</v>
      </c>
      <c r="X238" s="20">
        <f>SUM(Registro[[#This Row],[Trim I]],Registro[[#This Row],[Trim II]],Registro[[#This Row],[Trim III]],Registro[[#This Row],[Trim IV]])</f>
        <v>8</v>
      </c>
      <c r="Y238" s="22">
        <f>IFERROR((Registro[[#This Row],[Avance Total]]/Registro[[#This Row],[Meta]]),0)</f>
        <v>4.1025641025641026E-2</v>
      </c>
      <c r="Z238" s="22">
        <f>IFERROR((Registro[[#This Row],[Avance Total]]-Registro[[#This Row],[Línea Base 2025]])/Registro[[#This Row],[Línea Base 2025]],0)</f>
        <v>-0.61904761904761907</v>
      </c>
      <c r="AA238" s="20">
        <v>2026</v>
      </c>
    </row>
    <row r="239" spans="1:27" hidden="1">
      <c r="A239" s="14">
        <v>1019</v>
      </c>
      <c r="B239" s="15" t="s">
        <v>61</v>
      </c>
      <c r="C239" s="16">
        <v>114</v>
      </c>
      <c r="D239" s="16" t="s">
        <v>181</v>
      </c>
      <c r="E239" s="17" t="s">
        <v>180</v>
      </c>
      <c r="F239" s="24">
        <v>0</v>
      </c>
      <c r="G239" s="24">
        <v>15.899999999999999</v>
      </c>
      <c r="H239" s="19">
        <v>2</v>
      </c>
      <c r="I239" s="19">
        <v>0</v>
      </c>
      <c r="T239" s="19">
        <f>Registro[[#This Row],[Mes 1]]+Registro[[#This Row],[Mes 2]]+Registro[[#This Row],[Mes 3]]</f>
        <v>2</v>
      </c>
      <c r="U239" s="19">
        <f>Registro[[#This Row],[Mes 4]]+Registro[[#This Row],[Mes 5]]+Registro[[#This Row],[Mes 6]]</f>
        <v>0</v>
      </c>
      <c r="V239" s="19">
        <f>Registro[[#This Row],[Mes 7]]+Registro[[#This Row],[Mes 8]]+Registro[[#This Row],[Mes 9]]</f>
        <v>0</v>
      </c>
      <c r="W239" s="20">
        <f>Registro[[#This Row],[Mes 10]]+Registro[[#This Row],[Mes 11]]+Registro[[#This Row],[Mes 12]]</f>
        <v>0</v>
      </c>
      <c r="X239" s="20">
        <f>SUM(Registro[[#This Row],[Trim I]],Registro[[#This Row],[Trim II]],Registro[[#This Row],[Trim III]],Registro[[#This Row],[Trim IV]])</f>
        <v>2</v>
      </c>
      <c r="Y239" s="22">
        <f>IFERROR((Registro[[#This Row],[Avance Total]]/Registro[[#This Row],[Meta]]),0)</f>
        <v>0.12578616352201258</v>
      </c>
      <c r="Z239" s="22">
        <f>IFERROR((Registro[[#This Row],[Avance Total]]-Registro[[#This Row],[Línea Base 2025]])/Registro[[#This Row],[Línea Base 2025]],0)</f>
        <v>0</v>
      </c>
      <c r="AA239" s="20">
        <v>2026</v>
      </c>
    </row>
    <row r="240" spans="1:27" hidden="1">
      <c r="A240" s="14">
        <v>1019</v>
      </c>
      <c r="B240" s="15" t="s">
        <v>61</v>
      </c>
      <c r="C240" s="16">
        <v>115</v>
      </c>
      <c r="D240" s="16" t="s">
        <v>183</v>
      </c>
      <c r="E240" s="17" t="s">
        <v>182</v>
      </c>
      <c r="F240" s="24">
        <v>6</v>
      </c>
      <c r="G240" s="24">
        <v>14.309999999999999</v>
      </c>
      <c r="H240" s="19">
        <v>0</v>
      </c>
      <c r="I240" s="19">
        <v>0</v>
      </c>
      <c r="T240" s="19">
        <f>Registro[[#This Row],[Mes 1]]+Registro[[#This Row],[Mes 2]]+Registro[[#This Row],[Mes 3]]</f>
        <v>0</v>
      </c>
      <c r="U240" s="19">
        <f>Registro[[#This Row],[Mes 4]]+Registro[[#This Row],[Mes 5]]+Registro[[#This Row],[Mes 6]]</f>
        <v>0</v>
      </c>
      <c r="V240" s="19">
        <f>Registro[[#This Row],[Mes 7]]+Registro[[#This Row],[Mes 8]]+Registro[[#This Row],[Mes 9]]</f>
        <v>0</v>
      </c>
      <c r="W240" s="20">
        <f>Registro[[#This Row],[Mes 10]]+Registro[[#This Row],[Mes 11]]+Registro[[#This Row],[Mes 12]]</f>
        <v>0</v>
      </c>
      <c r="X240" s="20">
        <f>SUM(Registro[[#This Row],[Trim I]],Registro[[#This Row],[Trim II]],Registro[[#This Row],[Trim III]],Registro[[#This Row],[Trim IV]])</f>
        <v>0</v>
      </c>
      <c r="Y240" s="22">
        <f>IFERROR((Registro[[#This Row],[Avance Total]]/Registro[[#This Row],[Meta]]),0)</f>
        <v>0</v>
      </c>
      <c r="Z240" s="22">
        <f>IFERROR((Registro[[#This Row],[Avance Total]]-Registro[[#This Row],[Línea Base 2025]])/Registro[[#This Row],[Línea Base 2025]],0)</f>
        <v>-1</v>
      </c>
      <c r="AA240" s="20">
        <v>2026</v>
      </c>
    </row>
    <row r="241" spans="1:27">
      <c r="A241" s="14">
        <v>1019</v>
      </c>
      <c r="B241" s="15" t="s">
        <v>61</v>
      </c>
      <c r="C241" s="16">
        <v>116</v>
      </c>
      <c r="D241" s="16" t="s">
        <v>185</v>
      </c>
      <c r="E241" s="17" t="s">
        <v>184</v>
      </c>
      <c r="F241" s="24">
        <v>1</v>
      </c>
      <c r="G241" s="24">
        <v>3.68</v>
      </c>
      <c r="H241" s="19">
        <v>0</v>
      </c>
      <c r="I241" s="19">
        <v>0</v>
      </c>
      <c r="T241" s="19">
        <f>Registro[[#This Row],[Mes 1]]+Registro[[#This Row],[Mes 2]]+Registro[[#This Row],[Mes 3]]</f>
        <v>0</v>
      </c>
      <c r="U241" s="19">
        <f>Registro[[#This Row],[Mes 4]]+Registro[[#This Row],[Mes 5]]+Registro[[#This Row],[Mes 6]]</f>
        <v>0</v>
      </c>
      <c r="V241" s="19">
        <f>Registro[[#This Row],[Mes 7]]+Registro[[#This Row],[Mes 8]]+Registro[[#This Row],[Mes 9]]</f>
        <v>0</v>
      </c>
      <c r="W241" s="20">
        <f>Registro[[#This Row],[Mes 10]]+Registro[[#This Row],[Mes 11]]+Registro[[#This Row],[Mes 12]]</f>
        <v>0</v>
      </c>
      <c r="X241" s="20">
        <f>SUM(Registro[[#This Row],[Trim I]],Registro[[#This Row],[Trim II]],Registro[[#This Row],[Trim III]],Registro[[#This Row],[Trim IV]])</f>
        <v>0</v>
      </c>
      <c r="Y241" s="22">
        <f>IFERROR((Registro[[#This Row],[Avance Total]]/Registro[[#This Row],[Meta]]),0)</f>
        <v>0</v>
      </c>
      <c r="Z241" s="22">
        <f>IFERROR((Registro[[#This Row],[Avance Total]]-Registro[[#This Row],[Línea Base 2025]])/Registro[[#This Row],[Línea Base 2025]],0)</f>
        <v>-1</v>
      </c>
      <c r="AA241" s="20">
        <v>2026</v>
      </c>
    </row>
    <row r="242" spans="1:27" hidden="1">
      <c r="A242" s="14">
        <v>1019</v>
      </c>
      <c r="B242" s="15" t="s">
        <v>61</v>
      </c>
      <c r="C242" s="16">
        <v>117</v>
      </c>
      <c r="D242" s="16" t="s">
        <v>187</v>
      </c>
      <c r="E242" s="17" t="s">
        <v>186</v>
      </c>
      <c r="F242" s="24">
        <v>6</v>
      </c>
      <c r="G242" s="24">
        <v>2.02</v>
      </c>
      <c r="H242" s="19">
        <v>0</v>
      </c>
      <c r="I242" s="19">
        <v>0</v>
      </c>
      <c r="T242" s="19">
        <f>Registro[[#This Row],[Mes 1]]+Registro[[#This Row],[Mes 2]]+Registro[[#This Row],[Mes 3]]</f>
        <v>0</v>
      </c>
      <c r="U242" s="19">
        <f>Registro[[#This Row],[Mes 4]]+Registro[[#This Row],[Mes 5]]+Registro[[#This Row],[Mes 6]]</f>
        <v>0</v>
      </c>
      <c r="V242" s="19">
        <f>Registro[[#This Row],[Mes 7]]+Registro[[#This Row],[Mes 8]]+Registro[[#This Row],[Mes 9]]</f>
        <v>0</v>
      </c>
      <c r="W242" s="20">
        <f>Registro[[#This Row],[Mes 10]]+Registro[[#This Row],[Mes 11]]+Registro[[#This Row],[Mes 12]]</f>
        <v>0</v>
      </c>
      <c r="X242" s="20">
        <f>SUM(Registro[[#This Row],[Trim I]],Registro[[#This Row],[Trim II]],Registro[[#This Row],[Trim III]],Registro[[#This Row],[Trim IV]])</f>
        <v>0</v>
      </c>
      <c r="Y242" s="22">
        <f>IFERROR((Registro[[#This Row],[Avance Total]]/Registro[[#This Row],[Meta]]),0)</f>
        <v>0</v>
      </c>
      <c r="Z242" s="22">
        <f>IFERROR((Registro[[#This Row],[Avance Total]]-Registro[[#This Row],[Línea Base 2025]])/Registro[[#This Row],[Línea Base 2025]],0)</f>
        <v>-1</v>
      </c>
      <c r="AA242" s="20">
        <v>2026</v>
      </c>
    </row>
    <row r="243" spans="1:27" hidden="1">
      <c r="A243" s="14">
        <v>1019</v>
      </c>
      <c r="B243" s="15" t="s">
        <v>61</v>
      </c>
      <c r="C243" s="16">
        <v>118</v>
      </c>
      <c r="D243" s="16" t="s">
        <v>188</v>
      </c>
      <c r="E243" s="17" t="s">
        <v>9</v>
      </c>
      <c r="F243" s="24">
        <v>0</v>
      </c>
      <c r="G243" s="24">
        <v>1</v>
      </c>
      <c r="H243" s="19">
        <v>0</v>
      </c>
      <c r="I243" s="19">
        <v>0</v>
      </c>
      <c r="T243" s="19">
        <f>Registro[[#This Row],[Mes 1]]+Registro[[#This Row],[Mes 2]]+Registro[[#This Row],[Mes 3]]</f>
        <v>0</v>
      </c>
      <c r="U243" s="19">
        <f>Registro[[#This Row],[Mes 4]]+Registro[[#This Row],[Mes 5]]+Registro[[#This Row],[Mes 6]]</f>
        <v>0</v>
      </c>
      <c r="V243" s="19">
        <f>Registro[[#This Row],[Mes 7]]+Registro[[#This Row],[Mes 8]]+Registro[[#This Row],[Mes 9]]</f>
        <v>0</v>
      </c>
      <c r="W243" s="20">
        <f>Registro[[#This Row],[Mes 10]]+Registro[[#This Row],[Mes 11]]+Registro[[#This Row],[Mes 12]]</f>
        <v>0</v>
      </c>
      <c r="X243" s="20">
        <f>SUM(Registro[[#This Row],[Trim I]],Registro[[#This Row],[Trim II]],Registro[[#This Row],[Trim III]],Registro[[#This Row],[Trim IV]])</f>
        <v>0</v>
      </c>
      <c r="Y243" s="22">
        <f>IFERROR((Registro[[#This Row],[Avance Total]]/Registro[[#This Row],[Meta]]),0)</f>
        <v>0</v>
      </c>
      <c r="Z243" s="22">
        <f>IFERROR((Registro[[#This Row],[Avance Total]]-Registro[[#This Row],[Línea Base 2025]])/Registro[[#This Row],[Línea Base 2025]],0)</f>
        <v>0</v>
      </c>
      <c r="AA243" s="20">
        <v>2026</v>
      </c>
    </row>
    <row r="244" spans="1:27" hidden="1">
      <c r="A244" s="14">
        <v>1019</v>
      </c>
      <c r="B244" s="15" t="s">
        <v>61</v>
      </c>
      <c r="C244" s="16">
        <v>119</v>
      </c>
      <c r="D244" s="16" t="s">
        <v>190</v>
      </c>
      <c r="E244" s="17" t="s">
        <v>189</v>
      </c>
      <c r="F244" s="24">
        <v>0</v>
      </c>
      <c r="G244" s="24">
        <v>2.9440000000000004</v>
      </c>
      <c r="H244" s="19">
        <v>0</v>
      </c>
      <c r="I244" s="19">
        <v>0</v>
      </c>
      <c r="T244" s="19">
        <f>Registro[[#This Row],[Mes 1]]+Registro[[#This Row],[Mes 2]]+Registro[[#This Row],[Mes 3]]</f>
        <v>0</v>
      </c>
      <c r="U244" s="19">
        <f>Registro[[#This Row],[Mes 4]]+Registro[[#This Row],[Mes 5]]+Registro[[#This Row],[Mes 6]]</f>
        <v>0</v>
      </c>
      <c r="V244" s="19">
        <f>Registro[[#This Row],[Mes 7]]+Registro[[#This Row],[Mes 8]]+Registro[[#This Row],[Mes 9]]</f>
        <v>0</v>
      </c>
      <c r="W244" s="20">
        <f>Registro[[#This Row],[Mes 10]]+Registro[[#This Row],[Mes 11]]+Registro[[#This Row],[Mes 12]]</f>
        <v>0</v>
      </c>
      <c r="X244" s="20">
        <f>SUM(Registro[[#This Row],[Trim I]],Registro[[#This Row],[Trim II]],Registro[[#This Row],[Trim III]],Registro[[#This Row],[Trim IV]])</f>
        <v>0</v>
      </c>
      <c r="Y244" s="22">
        <f>IFERROR((Registro[[#This Row],[Avance Total]]/Registro[[#This Row],[Meta]]),0)</f>
        <v>0</v>
      </c>
      <c r="Z244" s="22">
        <f>IFERROR((Registro[[#This Row],[Avance Total]]-Registro[[#This Row],[Línea Base 2025]])/Registro[[#This Row],[Línea Base 2025]],0)</f>
        <v>0</v>
      </c>
      <c r="AA244" s="20">
        <v>2026</v>
      </c>
    </row>
    <row r="245" spans="1:27" hidden="1">
      <c r="A245" s="14">
        <v>1019</v>
      </c>
      <c r="B245" s="15" t="s">
        <v>61</v>
      </c>
      <c r="C245" s="16">
        <v>120</v>
      </c>
      <c r="D245" s="16" t="s">
        <v>192</v>
      </c>
      <c r="E245" s="17" t="s">
        <v>191</v>
      </c>
      <c r="F245" s="24">
        <v>23</v>
      </c>
      <c r="G245" s="24">
        <v>15</v>
      </c>
      <c r="H245" s="19">
        <v>0</v>
      </c>
      <c r="I245" s="19">
        <v>0</v>
      </c>
      <c r="T245" s="19">
        <f>Registro[[#This Row],[Mes 1]]+Registro[[#This Row],[Mes 2]]+Registro[[#This Row],[Mes 3]]</f>
        <v>0</v>
      </c>
      <c r="U245" s="19">
        <f>Registro[[#This Row],[Mes 4]]+Registro[[#This Row],[Mes 5]]+Registro[[#This Row],[Mes 6]]</f>
        <v>0</v>
      </c>
      <c r="V245" s="19">
        <f>Registro[[#This Row],[Mes 7]]+Registro[[#This Row],[Mes 8]]+Registro[[#This Row],[Mes 9]]</f>
        <v>0</v>
      </c>
      <c r="W245" s="20">
        <f>Registro[[#This Row],[Mes 10]]+Registro[[#This Row],[Mes 11]]+Registro[[#This Row],[Mes 12]]</f>
        <v>0</v>
      </c>
      <c r="X245" s="20">
        <f>SUM(Registro[[#This Row],[Trim I]],Registro[[#This Row],[Trim II]],Registro[[#This Row],[Trim III]],Registro[[#This Row],[Trim IV]])</f>
        <v>0</v>
      </c>
      <c r="Y245" s="22">
        <f>IFERROR((Registro[[#This Row],[Avance Total]]/Registro[[#This Row],[Meta]]),0)</f>
        <v>0</v>
      </c>
      <c r="Z245" s="22">
        <f>IFERROR((Registro[[#This Row],[Avance Total]]-Registro[[#This Row],[Línea Base 2025]])/Registro[[#This Row],[Línea Base 2025]],0)</f>
        <v>-1</v>
      </c>
      <c r="AA245" s="20">
        <v>2026</v>
      </c>
    </row>
    <row r="246" spans="1:27" hidden="1">
      <c r="A246" s="14">
        <v>1019</v>
      </c>
      <c r="B246" s="15" t="s">
        <v>61</v>
      </c>
      <c r="C246" s="16">
        <v>121</v>
      </c>
      <c r="D246" s="16" t="s">
        <v>194</v>
      </c>
      <c r="E246" s="17" t="s">
        <v>193</v>
      </c>
      <c r="F246" s="24">
        <v>0</v>
      </c>
      <c r="G246" s="24">
        <v>0</v>
      </c>
      <c r="H246" s="19">
        <v>0</v>
      </c>
      <c r="I246" s="19">
        <v>0</v>
      </c>
      <c r="T246" s="19">
        <f>Registro[[#This Row],[Mes 1]]+Registro[[#This Row],[Mes 2]]+Registro[[#This Row],[Mes 3]]</f>
        <v>0</v>
      </c>
      <c r="U246" s="19">
        <f>Registro[[#This Row],[Mes 4]]+Registro[[#This Row],[Mes 5]]+Registro[[#This Row],[Mes 6]]</f>
        <v>0</v>
      </c>
      <c r="V246" s="19">
        <f>Registro[[#This Row],[Mes 7]]+Registro[[#This Row],[Mes 8]]+Registro[[#This Row],[Mes 9]]</f>
        <v>0</v>
      </c>
      <c r="W246" s="20">
        <f>Registro[[#This Row],[Mes 10]]+Registro[[#This Row],[Mes 11]]+Registro[[#This Row],[Mes 12]]</f>
        <v>0</v>
      </c>
      <c r="X246" s="20">
        <f>SUM(Registro[[#This Row],[Trim I]],Registro[[#This Row],[Trim II]],Registro[[#This Row],[Trim III]],Registro[[#This Row],[Trim IV]])</f>
        <v>0</v>
      </c>
      <c r="Y246" s="22">
        <f>IFERROR((Registro[[#This Row],[Avance Total]]/Registro[[#This Row],[Meta]]),0)</f>
        <v>0</v>
      </c>
      <c r="Z246" s="22">
        <f>IFERROR((Registro[[#This Row],[Avance Total]]-Registro[[#This Row],[Línea Base 2025]])/Registro[[#This Row],[Línea Base 2025]],0)</f>
        <v>0</v>
      </c>
      <c r="AA246" s="20">
        <v>2026</v>
      </c>
    </row>
    <row r="247" spans="1:27" hidden="1">
      <c r="A247" s="14">
        <v>1019</v>
      </c>
      <c r="B247" s="15" t="s">
        <v>61</v>
      </c>
      <c r="C247" s="16">
        <v>122</v>
      </c>
      <c r="D247" s="16" t="s">
        <v>196</v>
      </c>
      <c r="E247" s="17" t="s">
        <v>195</v>
      </c>
      <c r="F247" s="24">
        <v>0</v>
      </c>
      <c r="G247" s="24">
        <v>4.2929999999999993</v>
      </c>
      <c r="H247" s="19">
        <v>0</v>
      </c>
      <c r="I247" s="19">
        <v>0</v>
      </c>
      <c r="T247" s="19">
        <f>Registro[[#This Row],[Mes 1]]+Registro[[#This Row],[Mes 2]]+Registro[[#This Row],[Mes 3]]</f>
        <v>0</v>
      </c>
      <c r="U247" s="19">
        <f>Registro[[#This Row],[Mes 4]]+Registro[[#This Row],[Mes 5]]+Registro[[#This Row],[Mes 6]]</f>
        <v>0</v>
      </c>
      <c r="V247" s="19">
        <f>Registro[[#This Row],[Mes 7]]+Registro[[#This Row],[Mes 8]]+Registro[[#This Row],[Mes 9]]</f>
        <v>0</v>
      </c>
      <c r="W247" s="20">
        <f>Registro[[#This Row],[Mes 10]]+Registro[[#This Row],[Mes 11]]+Registro[[#This Row],[Mes 12]]</f>
        <v>0</v>
      </c>
      <c r="X247" s="20">
        <f>SUM(Registro[[#This Row],[Trim I]],Registro[[#This Row],[Trim II]],Registro[[#This Row],[Trim III]],Registro[[#This Row],[Trim IV]])</f>
        <v>0</v>
      </c>
      <c r="Y247" s="22">
        <f>IFERROR((Registro[[#This Row],[Avance Total]]/Registro[[#This Row],[Meta]]),0)</f>
        <v>0</v>
      </c>
      <c r="Z247" s="22">
        <f>IFERROR((Registro[[#This Row],[Avance Total]]-Registro[[#This Row],[Línea Base 2025]])/Registro[[#This Row],[Línea Base 2025]],0)</f>
        <v>0</v>
      </c>
      <c r="AA247" s="20">
        <v>2026</v>
      </c>
    </row>
    <row r="248" spans="1:27" hidden="1">
      <c r="A248" s="14">
        <v>1019</v>
      </c>
      <c r="B248" s="15" t="s">
        <v>61</v>
      </c>
      <c r="C248" s="16">
        <v>123</v>
      </c>
      <c r="D248" s="16" t="s">
        <v>198</v>
      </c>
      <c r="E248" s="17" t="s">
        <v>197</v>
      </c>
      <c r="F248" s="24">
        <v>0</v>
      </c>
      <c r="G248" s="24">
        <v>4</v>
      </c>
      <c r="H248" s="19">
        <v>0</v>
      </c>
      <c r="I248" s="19">
        <v>0</v>
      </c>
      <c r="T248" s="19">
        <f>Registro[[#This Row],[Mes 1]]+Registro[[#This Row],[Mes 2]]+Registro[[#This Row],[Mes 3]]</f>
        <v>0</v>
      </c>
      <c r="U248" s="19">
        <f>Registro[[#This Row],[Mes 4]]+Registro[[#This Row],[Mes 5]]+Registro[[#This Row],[Mes 6]]</f>
        <v>0</v>
      </c>
      <c r="V248" s="19">
        <f>Registro[[#This Row],[Mes 7]]+Registro[[#This Row],[Mes 8]]+Registro[[#This Row],[Mes 9]]</f>
        <v>0</v>
      </c>
      <c r="W248" s="20">
        <f>Registro[[#This Row],[Mes 10]]+Registro[[#This Row],[Mes 11]]+Registro[[#This Row],[Mes 12]]</f>
        <v>0</v>
      </c>
      <c r="X248" s="20">
        <f>SUM(Registro[[#This Row],[Trim I]],Registro[[#This Row],[Trim II]],Registro[[#This Row],[Trim III]],Registro[[#This Row],[Trim IV]])</f>
        <v>0</v>
      </c>
      <c r="Y248" s="22">
        <f>IFERROR((Registro[[#This Row],[Avance Total]]/Registro[[#This Row],[Meta]]),0)</f>
        <v>0</v>
      </c>
      <c r="Z248" s="22">
        <f>IFERROR((Registro[[#This Row],[Avance Total]]-Registro[[#This Row],[Línea Base 2025]])/Registro[[#This Row],[Línea Base 2025]],0)</f>
        <v>0</v>
      </c>
      <c r="AA248" s="20">
        <v>2026</v>
      </c>
    </row>
    <row r="249" spans="1:27" hidden="1">
      <c r="A249" s="14">
        <v>1020</v>
      </c>
      <c r="B249" s="15" t="s">
        <v>13</v>
      </c>
      <c r="C249" s="16">
        <v>111</v>
      </c>
      <c r="D249" s="16" t="s">
        <v>171</v>
      </c>
      <c r="E249" s="17" t="s">
        <v>172</v>
      </c>
      <c r="F249" s="24">
        <v>1</v>
      </c>
      <c r="G249" s="24">
        <v>182</v>
      </c>
      <c r="H249" s="19">
        <v>8</v>
      </c>
      <c r="I249" s="19">
        <v>8</v>
      </c>
      <c r="T249" s="19">
        <f>Registro[[#This Row],[Mes 1]]+Registro[[#This Row],[Mes 2]]+Registro[[#This Row],[Mes 3]]</f>
        <v>16</v>
      </c>
      <c r="U249" s="19">
        <f>Registro[[#This Row],[Mes 4]]+Registro[[#This Row],[Mes 5]]+Registro[[#This Row],[Mes 6]]</f>
        <v>0</v>
      </c>
      <c r="V249" s="19">
        <f>Registro[[#This Row],[Mes 7]]+Registro[[#This Row],[Mes 8]]+Registro[[#This Row],[Mes 9]]</f>
        <v>0</v>
      </c>
      <c r="W249" s="20">
        <f>Registro[[#This Row],[Mes 10]]+Registro[[#This Row],[Mes 11]]+Registro[[#This Row],[Mes 12]]</f>
        <v>0</v>
      </c>
      <c r="X249" s="20">
        <f>SUM(Registro[[#This Row],[Trim I]],Registro[[#This Row],[Trim II]],Registro[[#This Row],[Trim III]],Registro[[#This Row],[Trim IV]])</f>
        <v>16</v>
      </c>
      <c r="Y249" s="22">
        <f>IFERROR((Registro[[#This Row],[Avance Total]]/Registro[[#This Row],[Meta]]),0)</f>
        <v>8.7912087912087919E-2</v>
      </c>
      <c r="Z249" s="22">
        <f>IFERROR((Registro[[#This Row],[Avance Total]]-Registro[[#This Row],[Línea Base 2025]])/Registro[[#This Row],[Línea Base 2025]],0)</f>
        <v>15</v>
      </c>
      <c r="AA249" s="20">
        <v>2026</v>
      </c>
    </row>
    <row r="250" spans="1:27" hidden="1">
      <c r="A250" s="14">
        <v>1020</v>
      </c>
      <c r="B250" s="15" t="s">
        <v>13</v>
      </c>
      <c r="C250" s="16">
        <v>112</v>
      </c>
      <c r="D250" s="16" t="s">
        <v>173</v>
      </c>
      <c r="E250" s="17" t="s">
        <v>7</v>
      </c>
      <c r="F250" s="24">
        <v>0</v>
      </c>
      <c r="G250" s="24">
        <v>1</v>
      </c>
      <c r="H250" s="19">
        <v>0</v>
      </c>
      <c r="I250" s="19">
        <v>0</v>
      </c>
      <c r="T250" s="19">
        <f>Registro[[#This Row],[Mes 1]]+Registro[[#This Row],[Mes 2]]+Registro[[#This Row],[Mes 3]]</f>
        <v>0</v>
      </c>
      <c r="U250" s="19">
        <f>Registro[[#This Row],[Mes 4]]+Registro[[#This Row],[Mes 5]]+Registro[[#This Row],[Mes 6]]</f>
        <v>0</v>
      </c>
      <c r="V250" s="19">
        <f>Registro[[#This Row],[Mes 7]]+Registro[[#This Row],[Mes 8]]+Registro[[#This Row],[Mes 9]]</f>
        <v>0</v>
      </c>
      <c r="W250" s="20">
        <f>Registro[[#This Row],[Mes 10]]+Registro[[#This Row],[Mes 11]]+Registro[[#This Row],[Mes 12]]</f>
        <v>0</v>
      </c>
      <c r="X250" s="20">
        <f>SUM(Registro[[#This Row],[Trim I]],Registro[[#This Row],[Trim II]],Registro[[#This Row],[Trim III]],Registro[[#This Row],[Trim IV]])</f>
        <v>0</v>
      </c>
      <c r="Y250" s="22">
        <f>IFERROR((Registro[[#This Row],[Avance Total]]/Registro[[#This Row],[Meta]]),0)</f>
        <v>0</v>
      </c>
      <c r="Z250" s="22">
        <f>IFERROR((Registro[[#This Row],[Avance Total]]-Registro[[#This Row],[Línea Base 2025]])/Registro[[#This Row],[Línea Base 2025]],0)</f>
        <v>0</v>
      </c>
      <c r="AA250" s="20">
        <v>2026</v>
      </c>
    </row>
    <row r="251" spans="1:27" hidden="1">
      <c r="A251" s="14">
        <v>1020</v>
      </c>
      <c r="B251" s="15" t="s">
        <v>13</v>
      </c>
      <c r="C251" s="16">
        <v>113</v>
      </c>
      <c r="D251" s="16" t="s">
        <v>179</v>
      </c>
      <c r="E251" s="17" t="s">
        <v>178</v>
      </c>
      <c r="F251" s="24">
        <v>22</v>
      </c>
      <c r="G251" s="24">
        <v>71</v>
      </c>
      <c r="H251" s="19">
        <v>0</v>
      </c>
      <c r="I251" s="19">
        <v>3</v>
      </c>
      <c r="T251" s="19">
        <f>Registro[[#This Row],[Mes 1]]+Registro[[#This Row],[Mes 2]]+Registro[[#This Row],[Mes 3]]</f>
        <v>3</v>
      </c>
      <c r="U251" s="19">
        <f>Registro[[#This Row],[Mes 4]]+Registro[[#This Row],[Mes 5]]+Registro[[#This Row],[Mes 6]]</f>
        <v>0</v>
      </c>
      <c r="V251" s="19">
        <f>Registro[[#This Row],[Mes 7]]+Registro[[#This Row],[Mes 8]]+Registro[[#This Row],[Mes 9]]</f>
        <v>0</v>
      </c>
      <c r="W251" s="20">
        <f>Registro[[#This Row],[Mes 10]]+Registro[[#This Row],[Mes 11]]+Registro[[#This Row],[Mes 12]]</f>
        <v>0</v>
      </c>
      <c r="X251" s="20">
        <f>SUM(Registro[[#This Row],[Trim I]],Registro[[#This Row],[Trim II]],Registro[[#This Row],[Trim III]],Registro[[#This Row],[Trim IV]])</f>
        <v>3</v>
      </c>
      <c r="Y251" s="22">
        <f>IFERROR((Registro[[#This Row],[Avance Total]]/Registro[[#This Row],[Meta]]),0)</f>
        <v>4.2253521126760563E-2</v>
      </c>
      <c r="Z251" s="22">
        <f>IFERROR((Registro[[#This Row],[Avance Total]]-Registro[[#This Row],[Línea Base 2025]])/Registro[[#This Row],[Línea Base 2025]],0)</f>
        <v>-0.86363636363636365</v>
      </c>
      <c r="AA251" s="20">
        <v>2026</v>
      </c>
    </row>
    <row r="252" spans="1:27" hidden="1">
      <c r="A252" s="14">
        <v>1020</v>
      </c>
      <c r="B252" s="15" t="s">
        <v>13</v>
      </c>
      <c r="C252" s="16">
        <v>114</v>
      </c>
      <c r="D252" s="16" t="s">
        <v>181</v>
      </c>
      <c r="E252" s="17" t="s">
        <v>180</v>
      </c>
      <c r="F252" s="24">
        <v>0</v>
      </c>
      <c r="G252" s="24">
        <v>0</v>
      </c>
      <c r="H252" s="19">
        <v>3</v>
      </c>
      <c r="I252" s="19">
        <v>0</v>
      </c>
      <c r="T252" s="19">
        <f>Registro[[#This Row],[Mes 1]]+Registro[[#This Row],[Mes 2]]+Registro[[#This Row],[Mes 3]]</f>
        <v>3</v>
      </c>
      <c r="U252" s="19">
        <f>Registro[[#This Row],[Mes 4]]+Registro[[#This Row],[Mes 5]]+Registro[[#This Row],[Mes 6]]</f>
        <v>0</v>
      </c>
      <c r="V252" s="19">
        <f>Registro[[#This Row],[Mes 7]]+Registro[[#This Row],[Mes 8]]+Registro[[#This Row],[Mes 9]]</f>
        <v>0</v>
      </c>
      <c r="W252" s="20">
        <f>Registro[[#This Row],[Mes 10]]+Registro[[#This Row],[Mes 11]]+Registro[[#This Row],[Mes 12]]</f>
        <v>0</v>
      </c>
      <c r="X252" s="20">
        <f>SUM(Registro[[#This Row],[Trim I]],Registro[[#This Row],[Trim II]],Registro[[#This Row],[Trim III]],Registro[[#This Row],[Trim IV]])</f>
        <v>3</v>
      </c>
      <c r="Y252" s="22">
        <f>IFERROR((Registro[[#This Row],[Avance Total]]/Registro[[#This Row],[Meta]]),0)</f>
        <v>0</v>
      </c>
      <c r="Z252" s="22">
        <f>IFERROR((Registro[[#This Row],[Avance Total]]-Registro[[#This Row],[Línea Base 2025]])/Registro[[#This Row],[Línea Base 2025]],0)</f>
        <v>0</v>
      </c>
      <c r="AA252" s="20">
        <v>2026</v>
      </c>
    </row>
    <row r="253" spans="1:27" hidden="1">
      <c r="A253" s="14">
        <v>1020</v>
      </c>
      <c r="B253" s="15" t="s">
        <v>13</v>
      </c>
      <c r="C253" s="16">
        <v>115</v>
      </c>
      <c r="D253" s="16" t="s">
        <v>183</v>
      </c>
      <c r="E253" s="17" t="s">
        <v>182</v>
      </c>
      <c r="F253" s="24">
        <v>0</v>
      </c>
      <c r="G253" s="24">
        <v>0</v>
      </c>
      <c r="H253" s="19">
        <v>0</v>
      </c>
      <c r="I253" s="19">
        <v>0</v>
      </c>
      <c r="T253" s="19">
        <f>Registro[[#This Row],[Mes 1]]+Registro[[#This Row],[Mes 2]]+Registro[[#This Row],[Mes 3]]</f>
        <v>0</v>
      </c>
      <c r="U253" s="19">
        <f>Registro[[#This Row],[Mes 4]]+Registro[[#This Row],[Mes 5]]+Registro[[#This Row],[Mes 6]]</f>
        <v>0</v>
      </c>
      <c r="V253" s="19">
        <f>Registro[[#This Row],[Mes 7]]+Registro[[#This Row],[Mes 8]]+Registro[[#This Row],[Mes 9]]</f>
        <v>0</v>
      </c>
      <c r="W253" s="20">
        <f>Registro[[#This Row],[Mes 10]]+Registro[[#This Row],[Mes 11]]+Registro[[#This Row],[Mes 12]]</f>
        <v>0</v>
      </c>
      <c r="X253" s="20">
        <f>SUM(Registro[[#This Row],[Trim I]],Registro[[#This Row],[Trim II]],Registro[[#This Row],[Trim III]],Registro[[#This Row],[Trim IV]])</f>
        <v>0</v>
      </c>
      <c r="Y253" s="22">
        <f>IFERROR((Registro[[#This Row],[Avance Total]]/Registro[[#This Row],[Meta]]),0)</f>
        <v>0</v>
      </c>
      <c r="Z253" s="22">
        <f>IFERROR((Registro[[#This Row],[Avance Total]]-Registro[[#This Row],[Línea Base 2025]])/Registro[[#This Row],[Línea Base 2025]],0)</f>
        <v>0</v>
      </c>
      <c r="AA253" s="20">
        <v>2026</v>
      </c>
    </row>
    <row r="254" spans="1:27">
      <c r="A254" s="14">
        <v>1020</v>
      </c>
      <c r="B254" s="15" t="s">
        <v>13</v>
      </c>
      <c r="C254" s="16">
        <v>116</v>
      </c>
      <c r="D254" s="16" t="s">
        <v>185</v>
      </c>
      <c r="E254" s="17" t="s">
        <v>184</v>
      </c>
      <c r="F254" s="24">
        <v>0</v>
      </c>
      <c r="G254" s="24">
        <v>1.3800000000000001</v>
      </c>
      <c r="H254" s="19">
        <v>1</v>
      </c>
      <c r="I254" s="19">
        <v>0</v>
      </c>
      <c r="T254" s="19">
        <f>Registro[[#This Row],[Mes 1]]+Registro[[#This Row],[Mes 2]]+Registro[[#This Row],[Mes 3]]</f>
        <v>1</v>
      </c>
      <c r="U254" s="19">
        <f>Registro[[#This Row],[Mes 4]]+Registro[[#This Row],[Mes 5]]+Registro[[#This Row],[Mes 6]]</f>
        <v>0</v>
      </c>
      <c r="V254" s="19">
        <f>Registro[[#This Row],[Mes 7]]+Registro[[#This Row],[Mes 8]]+Registro[[#This Row],[Mes 9]]</f>
        <v>0</v>
      </c>
      <c r="W254" s="20">
        <f>Registro[[#This Row],[Mes 10]]+Registro[[#This Row],[Mes 11]]+Registro[[#This Row],[Mes 12]]</f>
        <v>0</v>
      </c>
      <c r="X254" s="20">
        <f>SUM(Registro[[#This Row],[Trim I]],Registro[[#This Row],[Trim II]],Registro[[#This Row],[Trim III]],Registro[[#This Row],[Trim IV]])</f>
        <v>1</v>
      </c>
      <c r="Y254" s="22">
        <f>IFERROR((Registro[[#This Row],[Avance Total]]/Registro[[#This Row],[Meta]]),0)</f>
        <v>0.72463768115942018</v>
      </c>
      <c r="Z254" s="22">
        <f>IFERROR((Registro[[#This Row],[Avance Total]]-Registro[[#This Row],[Línea Base 2025]])/Registro[[#This Row],[Línea Base 2025]],0)</f>
        <v>0</v>
      </c>
      <c r="AA254" s="20">
        <v>2026</v>
      </c>
    </row>
    <row r="255" spans="1:27" hidden="1">
      <c r="A255" s="14">
        <v>1020</v>
      </c>
      <c r="B255" s="15" t="s">
        <v>13</v>
      </c>
      <c r="C255" s="16">
        <v>117</v>
      </c>
      <c r="D255" s="16" t="s">
        <v>187</v>
      </c>
      <c r="E255" s="17" t="s">
        <v>186</v>
      </c>
      <c r="F255" s="24">
        <v>1</v>
      </c>
      <c r="G255" s="24">
        <v>0</v>
      </c>
      <c r="H255" s="19">
        <v>0</v>
      </c>
      <c r="I255" s="19">
        <v>0</v>
      </c>
      <c r="T255" s="19">
        <f>Registro[[#This Row],[Mes 1]]+Registro[[#This Row],[Mes 2]]+Registro[[#This Row],[Mes 3]]</f>
        <v>0</v>
      </c>
      <c r="U255" s="19">
        <f>Registro[[#This Row],[Mes 4]]+Registro[[#This Row],[Mes 5]]+Registro[[#This Row],[Mes 6]]</f>
        <v>0</v>
      </c>
      <c r="V255" s="19">
        <f>Registro[[#This Row],[Mes 7]]+Registro[[#This Row],[Mes 8]]+Registro[[#This Row],[Mes 9]]</f>
        <v>0</v>
      </c>
      <c r="W255" s="20">
        <f>Registro[[#This Row],[Mes 10]]+Registro[[#This Row],[Mes 11]]+Registro[[#This Row],[Mes 12]]</f>
        <v>0</v>
      </c>
      <c r="X255" s="20">
        <f>SUM(Registro[[#This Row],[Trim I]],Registro[[#This Row],[Trim II]],Registro[[#This Row],[Trim III]],Registro[[#This Row],[Trim IV]])</f>
        <v>0</v>
      </c>
      <c r="Y255" s="22">
        <f>IFERROR((Registro[[#This Row],[Avance Total]]/Registro[[#This Row],[Meta]]),0)</f>
        <v>0</v>
      </c>
      <c r="Z255" s="22">
        <f>IFERROR((Registro[[#This Row],[Avance Total]]-Registro[[#This Row],[Línea Base 2025]])/Registro[[#This Row],[Línea Base 2025]],0)</f>
        <v>-1</v>
      </c>
      <c r="AA255" s="20">
        <v>2026</v>
      </c>
    </row>
    <row r="256" spans="1:27" hidden="1">
      <c r="A256" s="14">
        <v>1020</v>
      </c>
      <c r="B256" s="15" t="s">
        <v>13</v>
      </c>
      <c r="C256" s="16">
        <v>118</v>
      </c>
      <c r="D256" s="16" t="s">
        <v>188</v>
      </c>
      <c r="E256" s="17" t="s">
        <v>9</v>
      </c>
      <c r="F256" s="24">
        <v>0</v>
      </c>
      <c r="G256" s="24">
        <v>0</v>
      </c>
      <c r="H256" s="19">
        <v>0</v>
      </c>
      <c r="I256" s="19">
        <v>0</v>
      </c>
      <c r="T256" s="19">
        <f>Registro[[#This Row],[Mes 1]]+Registro[[#This Row],[Mes 2]]+Registro[[#This Row],[Mes 3]]</f>
        <v>0</v>
      </c>
      <c r="U256" s="19">
        <f>Registro[[#This Row],[Mes 4]]+Registro[[#This Row],[Mes 5]]+Registro[[#This Row],[Mes 6]]</f>
        <v>0</v>
      </c>
      <c r="V256" s="19">
        <f>Registro[[#This Row],[Mes 7]]+Registro[[#This Row],[Mes 8]]+Registro[[#This Row],[Mes 9]]</f>
        <v>0</v>
      </c>
      <c r="W256" s="20">
        <f>Registro[[#This Row],[Mes 10]]+Registro[[#This Row],[Mes 11]]+Registro[[#This Row],[Mes 12]]</f>
        <v>0</v>
      </c>
      <c r="X256" s="20">
        <f>SUM(Registro[[#This Row],[Trim I]],Registro[[#This Row],[Trim II]],Registro[[#This Row],[Trim III]],Registro[[#This Row],[Trim IV]])</f>
        <v>0</v>
      </c>
      <c r="Y256" s="22">
        <f>IFERROR((Registro[[#This Row],[Avance Total]]/Registro[[#This Row],[Meta]]),0)</f>
        <v>0</v>
      </c>
      <c r="Z256" s="22">
        <f>IFERROR((Registro[[#This Row],[Avance Total]]-Registro[[#This Row],[Línea Base 2025]])/Registro[[#This Row],[Línea Base 2025]],0)</f>
        <v>0</v>
      </c>
      <c r="AA256" s="20">
        <v>2026</v>
      </c>
    </row>
    <row r="257" spans="1:27" hidden="1">
      <c r="A257" s="14">
        <v>1020</v>
      </c>
      <c r="B257" s="15" t="s">
        <v>13</v>
      </c>
      <c r="C257" s="16">
        <v>119</v>
      </c>
      <c r="D257" s="16" t="s">
        <v>190</v>
      </c>
      <c r="E257" s="17" t="s">
        <v>189</v>
      </c>
      <c r="F257" s="24">
        <v>0</v>
      </c>
      <c r="G257" s="24">
        <v>1.1040000000000001</v>
      </c>
      <c r="H257" s="19">
        <v>0</v>
      </c>
      <c r="I257" s="19">
        <v>0</v>
      </c>
      <c r="T257" s="19">
        <f>Registro[[#This Row],[Mes 1]]+Registro[[#This Row],[Mes 2]]+Registro[[#This Row],[Mes 3]]</f>
        <v>0</v>
      </c>
      <c r="U257" s="19">
        <f>Registro[[#This Row],[Mes 4]]+Registro[[#This Row],[Mes 5]]+Registro[[#This Row],[Mes 6]]</f>
        <v>0</v>
      </c>
      <c r="V257" s="19">
        <f>Registro[[#This Row],[Mes 7]]+Registro[[#This Row],[Mes 8]]+Registro[[#This Row],[Mes 9]]</f>
        <v>0</v>
      </c>
      <c r="W257" s="20">
        <f>Registro[[#This Row],[Mes 10]]+Registro[[#This Row],[Mes 11]]+Registro[[#This Row],[Mes 12]]</f>
        <v>0</v>
      </c>
      <c r="X257" s="20">
        <f>SUM(Registro[[#This Row],[Trim I]],Registro[[#This Row],[Trim II]],Registro[[#This Row],[Trim III]],Registro[[#This Row],[Trim IV]])</f>
        <v>0</v>
      </c>
      <c r="Y257" s="22">
        <f>IFERROR((Registro[[#This Row],[Avance Total]]/Registro[[#This Row],[Meta]]),0)</f>
        <v>0</v>
      </c>
      <c r="Z257" s="22">
        <f>IFERROR((Registro[[#This Row],[Avance Total]]-Registro[[#This Row],[Línea Base 2025]])/Registro[[#This Row],[Línea Base 2025]],0)</f>
        <v>0</v>
      </c>
      <c r="AA257" s="20">
        <v>2026</v>
      </c>
    </row>
    <row r="258" spans="1:27" hidden="1">
      <c r="A258" s="14">
        <v>1020</v>
      </c>
      <c r="B258" s="15" t="s">
        <v>13</v>
      </c>
      <c r="C258" s="16">
        <v>120</v>
      </c>
      <c r="D258" s="16" t="s">
        <v>192</v>
      </c>
      <c r="E258" s="17" t="s">
        <v>191</v>
      </c>
      <c r="F258" s="24">
        <v>0</v>
      </c>
      <c r="G258" s="24">
        <v>0</v>
      </c>
      <c r="H258" s="19">
        <v>0</v>
      </c>
      <c r="I258" s="19">
        <v>0</v>
      </c>
      <c r="T258" s="19">
        <f>Registro[[#This Row],[Mes 1]]+Registro[[#This Row],[Mes 2]]+Registro[[#This Row],[Mes 3]]</f>
        <v>0</v>
      </c>
      <c r="U258" s="19">
        <f>Registro[[#This Row],[Mes 4]]+Registro[[#This Row],[Mes 5]]+Registro[[#This Row],[Mes 6]]</f>
        <v>0</v>
      </c>
      <c r="V258" s="19">
        <f>Registro[[#This Row],[Mes 7]]+Registro[[#This Row],[Mes 8]]+Registro[[#This Row],[Mes 9]]</f>
        <v>0</v>
      </c>
      <c r="W258" s="20">
        <f>Registro[[#This Row],[Mes 10]]+Registro[[#This Row],[Mes 11]]+Registro[[#This Row],[Mes 12]]</f>
        <v>0</v>
      </c>
      <c r="X258" s="20">
        <f>SUM(Registro[[#This Row],[Trim I]],Registro[[#This Row],[Trim II]],Registro[[#This Row],[Trim III]],Registro[[#This Row],[Trim IV]])</f>
        <v>0</v>
      </c>
      <c r="Y258" s="22">
        <f>IFERROR((Registro[[#This Row],[Avance Total]]/Registro[[#This Row],[Meta]]),0)</f>
        <v>0</v>
      </c>
      <c r="Z258" s="22">
        <f>IFERROR((Registro[[#This Row],[Avance Total]]-Registro[[#This Row],[Línea Base 2025]])/Registro[[#This Row],[Línea Base 2025]],0)</f>
        <v>0</v>
      </c>
      <c r="AA258" s="20">
        <v>2026</v>
      </c>
    </row>
    <row r="259" spans="1:27" hidden="1">
      <c r="A259" s="14">
        <v>1020</v>
      </c>
      <c r="B259" s="15" t="s">
        <v>13</v>
      </c>
      <c r="C259" s="16">
        <v>121</v>
      </c>
      <c r="D259" s="16" t="s">
        <v>194</v>
      </c>
      <c r="E259" s="17" t="s">
        <v>193</v>
      </c>
      <c r="F259" s="24">
        <v>0</v>
      </c>
      <c r="G259" s="24">
        <v>0</v>
      </c>
      <c r="H259" s="19">
        <v>0</v>
      </c>
      <c r="I259" s="19">
        <v>0</v>
      </c>
      <c r="T259" s="19">
        <f>Registro[[#This Row],[Mes 1]]+Registro[[#This Row],[Mes 2]]+Registro[[#This Row],[Mes 3]]</f>
        <v>0</v>
      </c>
      <c r="U259" s="19">
        <f>Registro[[#This Row],[Mes 4]]+Registro[[#This Row],[Mes 5]]+Registro[[#This Row],[Mes 6]]</f>
        <v>0</v>
      </c>
      <c r="V259" s="19">
        <f>Registro[[#This Row],[Mes 7]]+Registro[[#This Row],[Mes 8]]+Registro[[#This Row],[Mes 9]]</f>
        <v>0</v>
      </c>
      <c r="W259" s="20">
        <f>Registro[[#This Row],[Mes 10]]+Registro[[#This Row],[Mes 11]]+Registro[[#This Row],[Mes 12]]</f>
        <v>0</v>
      </c>
      <c r="X259" s="20">
        <f>SUM(Registro[[#This Row],[Trim I]],Registro[[#This Row],[Trim II]],Registro[[#This Row],[Trim III]],Registro[[#This Row],[Trim IV]])</f>
        <v>0</v>
      </c>
      <c r="Y259" s="22">
        <f>IFERROR((Registro[[#This Row],[Avance Total]]/Registro[[#This Row],[Meta]]),0)</f>
        <v>0</v>
      </c>
      <c r="Z259" s="22">
        <f>IFERROR((Registro[[#This Row],[Avance Total]]-Registro[[#This Row],[Línea Base 2025]])/Registro[[#This Row],[Línea Base 2025]],0)</f>
        <v>0</v>
      </c>
      <c r="AA259" s="20">
        <v>2026</v>
      </c>
    </row>
    <row r="260" spans="1:27" hidden="1">
      <c r="A260" s="14">
        <v>1020</v>
      </c>
      <c r="B260" s="15" t="s">
        <v>13</v>
      </c>
      <c r="C260" s="16">
        <v>122</v>
      </c>
      <c r="D260" s="16" t="s">
        <v>196</v>
      </c>
      <c r="E260" s="17" t="s">
        <v>195</v>
      </c>
      <c r="F260" s="24">
        <v>0</v>
      </c>
      <c r="G260" s="24">
        <v>0</v>
      </c>
      <c r="H260" s="19">
        <v>0</v>
      </c>
      <c r="I260" s="19">
        <v>0</v>
      </c>
      <c r="T260" s="19">
        <f>Registro[[#This Row],[Mes 1]]+Registro[[#This Row],[Mes 2]]+Registro[[#This Row],[Mes 3]]</f>
        <v>0</v>
      </c>
      <c r="U260" s="19">
        <f>Registro[[#This Row],[Mes 4]]+Registro[[#This Row],[Mes 5]]+Registro[[#This Row],[Mes 6]]</f>
        <v>0</v>
      </c>
      <c r="V260" s="19">
        <f>Registro[[#This Row],[Mes 7]]+Registro[[#This Row],[Mes 8]]+Registro[[#This Row],[Mes 9]]</f>
        <v>0</v>
      </c>
      <c r="W260" s="20">
        <f>Registro[[#This Row],[Mes 10]]+Registro[[#This Row],[Mes 11]]+Registro[[#This Row],[Mes 12]]</f>
        <v>0</v>
      </c>
      <c r="X260" s="20">
        <f>SUM(Registro[[#This Row],[Trim I]],Registro[[#This Row],[Trim II]],Registro[[#This Row],[Trim III]],Registro[[#This Row],[Trim IV]])</f>
        <v>0</v>
      </c>
      <c r="Y260" s="22">
        <f>IFERROR((Registro[[#This Row],[Avance Total]]/Registro[[#This Row],[Meta]]),0)</f>
        <v>0</v>
      </c>
      <c r="Z260" s="22">
        <f>IFERROR((Registro[[#This Row],[Avance Total]]-Registro[[#This Row],[Línea Base 2025]])/Registro[[#This Row],[Línea Base 2025]],0)</f>
        <v>0</v>
      </c>
      <c r="AA260" s="20">
        <v>2026</v>
      </c>
    </row>
    <row r="261" spans="1:27" hidden="1">
      <c r="A261" s="14">
        <v>1020</v>
      </c>
      <c r="B261" s="15" t="s">
        <v>13</v>
      </c>
      <c r="C261" s="16">
        <v>123</v>
      </c>
      <c r="D261" s="16" t="s">
        <v>198</v>
      </c>
      <c r="E261" s="17" t="s">
        <v>197</v>
      </c>
      <c r="F261" s="24">
        <v>0</v>
      </c>
      <c r="G261" s="24">
        <v>0</v>
      </c>
      <c r="H261" s="19">
        <v>0</v>
      </c>
      <c r="I261" s="19">
        <v>0</v>
      </c>
      <c r="T261" s="19">
        <f>Registro[[#This Row],[Mes 1]]+Registro[[#This Row],[Mes 2]]+Registro[[#This Row],[Mes 3]]</f>
        <v>0</v>
      </c>
      <c r="U261" s="19">
        <f>Registro[[#This Row],[Mes 4]]+Registro[[#This Row],[Mes 5]]+Registro[[#This Row],[Mes 6]]</f>
        <v>0</v>
      </c>
      <c r="V261" s="19">
        <f>Registro[[#This Row],[Mes 7]]+Registro[[#This Row],[Mes 8]]+Registro[[#This Row],[Mes 9]]</f>
        <v>0</v>
      </c>
      <c r="W261" s="20">
        <f>Registro[[#This Row],[Mes 10]]+Registro[[#This Row],[Mes 11]]+Registro[[#This Row],[Mes 12]]</f>
        <v>0</v>
      </c>
      <c r="X261" s="20">
        <f>SUM(Registro[[#This Row],[Trim I]],Registro[[#This Row],[Trim II]],Registro[[#This Row],[Trim III]],Registro[[#This Row],[Trim IV]])</f>
        <v>0</v>
      </c>
      <c r="Y261" s="22">
        <f>IFERROR((Registro[[#This Row],[Avance Total]]/Registro[[#This Row],[Meta]]),0)</f>
        <v>0</v>
      </c>
      <c r="Z261" s="22">
        <f>IFERROR((Registro[[#This Row],[Avance Total]]-Registro[[#This Row],[Línea Base 2025]])/Registro[[#This Row],[Línea Base 2025]],0)</f>
        <v>0</v>
      </c>
      <c r="AA261" s="20">
        <v>2026</v>
      </c>
    </row>
    <row r="262" spans="1:27" hidden="1">
      <c r="A262" s="14">
        <v>1021</v>
      </c>
      <c r="B262" s="15" t="s">
        <v>13</v>
      </c>
      <c r="C262" s="16">
        <v>111</v>
      </c>
      <c r="D262" s="16" t="s">
        <v>171</v>
      </c>
      <c r="E262" s="17" t="s">
        <v>172</v>
      </c>
      <c r="F262" s="24">
        <v>43</v>
      </c>
      <c r="G262" s="24">
        <v>694</v>
      </c>
      <c r="H262" s="19">
        <v>3</v>
      </c>
      <c r="I262" s="19">
        <v>1</v>
      </c>
      <c r="T262" s="19">
        <f>Registro[[#This Row],[Mes 1]]+Registro[[#This Row],[Mes 2]]+Registro[[#This Row],[Mes 3]]</f>
        <v>4</v>
      </c>
      <c r="U262" s="19">
        <f>Registro[[#This Row],[Mes 4]]+Registro[[#This Row],[Mes 5]]+Registro[[#This Row],[Mes 6]]</f>
        <v>0</v>
      </c>
      <c r="V262" s="19">
        <f>Registro[[#This Row],[Mes 7]]+Registro[[#This Row],[Mes 8]]+Registro[[#This Row],[Mes 9]]</f>
        <v>0</v>
      </c>
      <c r="W262" s="20">
        <f>Registro[[#This Row],[Mes 10]]+Registro[[#This Row],[Mes 11]]+Registro[[#This Row],[Mes 12]]</f>
        <v>0</v>
      </c>
      <c r="X262" s="20">
        <f>SUM(Registro[[#This Row],[Trim I]],Registro[[#This Row],[Trim II]],Registro[[#This Row],[Trim III]],Registro[[#This Row],[Trim IV]])</f>
        <v>4</v>
      </c>
      <c r="Y262" s="22">
        <f>IFERROR((Registro[[#This Row],[Avance Total]]/Registro[[#This Row],[Meta]]),0)</f>
        <v>5.763688760806916E-3</v>
      </c>
      <c r="Z262" s="22">
        <f>IFERROR((Registro[[#This Row],[Avance Total]]-Registro[[#This Row],[Línea Base 2025]])/Registro[[#This Row],[Línea Base 2025]],0)</f>
        <v>-0.90697674418604646</v>
      </c>
      <c r="AA262" s="20">
        <v>2026</v>
      </c>
    </row>
    <row r="263" spans="1:27" hidden="1">
      <c r="A263" s="14">
        <v>1021</v>
      </c>
      <c r="B263" s="15" t="s">
        <v>13</v>
      </c>
      <c r="C263" s="16">
        <v>112</v>
      </c>
      <c r="D263" s="16" t="s">
        <v>173</v>
      </c>
      <c r="E263" s="17" t="s">
        <v>7</v>
      </c>
      <c r="F263" s="24">
        <v>1</v>
      </c>
      <c r="G263" s="24">
        <v>10</v>
      </c>
      <c r="H263" s="19">
        <v>0</v>
      </c>
      <c r="I263" s="19">
        <v>0</v>
      </c>
      <c r="T263" s="19">
        <f>Registro[[#This Row],[Mes 1]]+Registro[[#This Row],[Mes 2]]+Registro[[#This Row],[Mes 3]]</f>
        <v>0</v>
      </c>
      <c r="U263" s="19">
        <f>Registro[[#This Row],[Mes 4]]+Registro[[#This Row],[Mes 5]]+Registro[[#This Row],[Mes 6]]</f>
        <v>0</v>
      </c>
      <c r="V263" s="19">
        <f>Registro[[#This Row],[Mes 7]]+Registro[[#This Row],[Mes 8]]+Registro[[#This Row],[Mes 9]]</f>
        <v>0</v>
      </c>
      <c r="W263" s="20">
        <f>Registro[[#This Row],[Mes 10]]+Registro[[#This Row],[Mes 11]]+Registro[[#This Row],[Mes 12]]</f>
        <v>0</v>
      </c>
      <c r="X263" s="20">
        <f>SUM(Registro[[#This Row],[Trim I]],Registro[[#This Row],[Trim II]],Registro[[#This Row],[Trim III]],Registro[[#This Row],[Trim IV]])</f>
        <v>0</v>
      </c>
      <c r="Y263" s="22">
        <f>IFERROR((Registro[[#This Row],[Avance Total]]/Registro[[#This Row],[Meta]]),0)</f>
        <v>0</v>
      </c>
      <c r="Z263" s="22">
        <f>IFERROR((Registro[[#This Row],[Avance Total]]-Registro[[#This Row],[Línea Base 2025]])/Registro[[#This Row],[Línea Base 2025]],0)</f>
        <v>-1</v>
      </c>
      <c r="AA263" s="20">
        <v>2026</v>
      </c>
    </row>
    <row r="264" spans="1:27" hidden="1">
      <c r="A264" s="14">
        <v>1021</v>
      </c>
      <c r="B264" s="15" t="s">
        <v>13</v>
      </c>
      <c r="C264" s="16">
        <v>113</v>
      </c>
      <c r="D264" s="16" t="s">
        <v>179</v>
      </c>
      <c r="E264" s="17" t="s">
        <v>178</v>
      </c>
      <c r="F264" s="24">
        <v>53</v>
      </c>
      <c r="G264" s="24">
        <v>442</v>
      </c>
      <c r="H264" s="19">
        <v>0</v>
      </c>
      <c r="I264" s="19">
        <v>0</v>
      </c>
      <c r="T264" s="19">
        <f>Registro[[#This Row],[Mes 1]]+Registro[[#This Row],[Mes 2]]+Registro[[#This Row],[Mes 3]]</f>
        <v>0</v>
      </c>
      <c r="U264" s="19">
        <f>Registro[[#This Row],[Mes 4]]+Registro[[#This Row],[Mes 5]]+Registro[[#This Row],[Mes 6]]</f>
        <v>0</v>
      </c>
      <c r="V264" s="19">
        <f>Registro[[#This Row],[Mes 7]]+Registro[[#This Row],[Mes 8]]+Registro[[#This Row],[Mes 9]]</f>
        <v>0</v>
      </c>
      <c r="W264" s="20">
        <f>Registro[[#This Row],[Mes 10]]+Registro[[#This Row],[Mes 11]]+Registro[[#This Row],[Mes 12]]</f>
        <v>0</v>
      </c>
      <c r="X264" s="20">
        <f>SUM(Registro[[#This Row],[Trim I]],Registro[[#This Row],[Trim II]],Registro[[#This Row],[Trim III]],Registro[[#This Row],[Trim IV]])</f>
        <v>0</v>
      </c>
      <c r="Y264" s="22">
        <f>IFERROR((Registro[[#This Row],[Avance Total]]/Registro[[#This Row],[Meta]]),0)</f>
        <v>0</v>
      </c>
      <c r="Z264" s="22">
        <f>IFERROR((Registro[[#This Row],[Avance Total]]-Registro[[#This Row],[Línea Base 2025]])/Registro[[#This Row],[Línea Base 2025]],0)</f>
        <v>-1</v>
      </c>
      <c r="AA264" s="20">
        <v>2026</v>
      </c>
    </row>
    <row r="265" spans="1:27" hidden="1">
      <c r="A265" s="14">
        <v>1021</v>
      </c>
      <c r="B265" s="15" t="s">
        <v>13</v>
      </c>
      <c r="C265" s="16">
        <v>114</v>
      </c>
      <c r="D265" s="16" t="s">
        <v>181</v>
      </c>
      <c r="E265" s="17" t="s">
        <v>180</v>
      </c>
      <c r="F265" s="24">
        <v>0</v>
      </c>
      <c r="G265" s="24">
        <v>0</v>
      </c>
      <c r="H265" s="19">
        <v>1</v>
      </c>
      <c r="I265" s="19">
        <v>0</v>
      </c>
      <c r="T265" s="19">
        <f>Registro[[#This Row],[Mes 1]]+Registro[[#This Row],[Mes 2]]+Registro[[#This Row],[Mes 3]]</f>
        <v>1</v>
      </c>
      <c r="U265" s="19">
        <f>Registro[[#This Row],[Mes 4]]+Registro[[#This Row],[Mes 5]]+Registro[[#This Row],[Mes 6]]</f>
        <v>0</v>
      </c>
      <c r="V265" s="19">
        <f>Registro[[#This Row],[Mes 7]]+Registro[[#This Row],[Mes 8]]+Registro[[#This Row],[Mes 9]]</f>
        <v>0</v>
      </c>
      <c r="W265" s="20">
        <f>Registro[[#This Row],[Mes 10]]+Registro[[#This Row],[Mes 11]]+Registro[[#This Row],[Mes 12]]</f>
        <v>0</v>
      </c>
      <c r="X265" s="20">
        <f>SUM(Registro[[#This Row],[Trim I]],Registro[[#This Row],[Trim II]],Registro[[#This Row],[Trim III]],Registro[[#This Row],[Trim IV]])</f>
        <v>1</v>
      </c>
      <c r="Y265" s="22">
        <f>IFERROR((Registro[[#This Row],[Avance Total]]/Registro[[#This Row],[Meta]]),0)</f>
        <v>0</v>
      </c>
      <c r="Z265" s="22">
        <f>IFERROR((Registro[[#This Row],[Avance Total]]-Registro[[#This Row],[Línea Base 2025]])/Registro[[#This Row],[Línea Base 2025]],0)</f>
        <v>0</v>
      </c>
      <c r="AA265" s="20">
        <v>2026</v>
      </c>
    </row>
    <row r="266" spans="1:27" hidden="1">
      <c r="A266" s="14">
        <v>1021</v>
      </c>
      <c r="B266" s="15" t="s">
        <v>13</v>
      </c>
      <c r="C266" s="16">
        <v>115</v>
      </c>
      <c r="D266" s="16" t="s">
        <v>183</v>
      </c>
      <c r="E266" s="17" t="s">
        <v>182</v>
      </c>
      <c r="F266" s="24">
        <v>0</v>
      </c>
      <c r="G266" s="24">
        <v>0</v>
      </c>
      <c r="H266" s="19">
        <v>0</v>
      </c>
      <c r="I266" s="19">
        <v>0</v>
      </c>
      <c r="T266" s="19">
        <f>Registro[[#This Row],[Mes 1]]+Registro[[#This Row],[Mes 2]]+Registro[[#This Row],[Mes 3]]</f>
        <v>0</v>
      </c>
      <c r="U266" s="19">
        <f>Registro[[#This Row],[Mes 4]]+Registro[[#This Row],[Mes 5]]+Registro[[#This Row],[Mes 6]]</f>
        <v>0</v>
      </c>
      <c r="V266" s="19">
        <f>Registro[[#This Row],[Mes 7]]+Registro[[#This Row],[Mes 8]]+Registro[[#This Row],[Mes 9]]</f>
        <v>0</v>
      </c>
      <c r="W266" s="20">
        <f>Registro[[#This Row],[Mes 10]]+Registro[[#This Row],[Mes 11]]+Registro[[#This Row],[Mes 12]]</f>
        <v>0</v>
      </c>
      <c r="X266" s="20">
        <f>SUM(Registro[[#This Row],[Trim I]],Registro[[#This Row],[Trim II]],Registro[[#This Row],[Trim III]],Registro[[#This Row],[Trim IV]])</f>
        <v>0</v>
      </c>
      <c r="Y266" s="22">
        <f>IFERROR((Registro[[#This Row],[Avance Total]]/Registro[[#This Row],[Meta]]),0)</f>
        <v>0</v>
      </c>
      <c r="Z266" s="22">
        <f>IFERROR((Registro[[#This Row],[Avance Total]]-Registro[[#This Row],[Línea Base 2025]])/Registro[[#This Row],[Línea Base 2025]],0)</f>
        <v>0</v>
      </c>
      <c r="AA266" s="20">
        <v>2026</v>
      </c>
    </row>
    <row r="267" spans="1:27">
      <c r="A267" s="14">
        <v>1021</v>
      </c>
      <c r="B267" s="15" t="s">
        <v>13</v>
      </c>
      <c r="C267" s="16">
        <v>116</v>
      </c>
      <c r="D267" s="16" t="s">
        <v>185</v>
      </c>
      <c r="E267" s="17" t="s">
        <v>184</v>
      </c>
      <c r="F267" s="24">
        <v>1</v>
      </c>
      <c r="G267" s="24">
        <v>5.98</v>
      </c>
      <c r="H267" s="19">
        <v>0</v>
      </c>
      <c r="I267" s="19">
        <v>0</v>
      </c>
      <c r="T267" s="19">
        <f>Registro[[#This Row],[Mes 1]]+Registro[[#This Row],[Mes 2]]+Registro[[#This Row],[Mes 3]]</f>
        <v>0</v>
      </c>
      <c r="U267" s="19">
        <f>Registro[[#This Row],[Mes 4]]+Registro[[#This Row],[Mes 5]]+Registro[[#This Row],[Mes 6]]</f>
        <v>0</v>
      </c>
      <c r="V267" s="19">
        <f>Registro[[#This Row],[Mes 7]]+Registro[[#This Row],[Mes 8]]+Registro[[#This Row],[Mes 9]]</f>
        <v>0</v>
      </c>
      <c r="W267" s="20">
        <f>Registro[[#This Row],[Mes 10]]+Registro[[#This Row],[Mes 11]]+Registro[[#This Row],[Mes 12]]</f>
        <v>0</v>
      </c>
      <c r="X267" s="20">
        <f>SUM(Registro[[#This Row],[Trim I]],Registro[[#This Row],[Trim II]],Registro[[#This Row],[Trim III]],Registro[[#This Row],[Trim IV]])</f>
        <v>0</v>
      </c>
      <c r="Y267" s="22">
        <f>IFERROR((Registro[[#This Row],[Avance Total]]/Registro[[#This Row],[Meta]]),0)</f>
        <v>0</v>
      </c>
      <c r="Z267" s="22">
        <f>IFERROR((Registro[[#This Row],[Avance Total]]-Registro[[#This Row],[Línea Base 2025]])/Registro[[#This Row],[Línea Base 2025]],0)</f>
        <v>-1</v>
      </c>
      <c r="AA267" s="20">
        <v>2026</v>
      </c>
    </row>
    <row r="268" spans="1:27" hidden="1">
      <c r="A268" s="14">
        <v>1021</v>
      </c>
      <c r="B268" s="15" t="s">
        <v>13</v>
      </c>
      <c r="C268" s="16">
        <v>117</v>
      </c>
      <c r="D268" s="16" t="s">
        <v>187</v>
      </c>
      <c r="E268" s="17" t="s">
        <v>186</v>
      </c>
      <c r="F268" s="24">
        <v>0</v>
      </c>
      <c r="G268" s="24">
        <v>0</v>
      </c>
      <c r="H268" s="19">
        <v>0</v>
      </c>
      <c r="I268" s="19">
        <v>0</v>
      </c>
      <c r="T268" s="19">
        <f>Registro[[#This Row],[Mes 1]]+Registro[[#This Row],[Mes 2]]+Registro[[#This Row],[Mes 3]]</f>
        <v>0</v>
      </c>
      <c r="U268" s="19">
        <f>Registro[[#This Row],[Mes 4]]+Registro[[#This Row],[Mes 5]]+Registro[[#This Row],[Mes 6]]</f>
        <v>0</v>
      </c>
      <c r="V268" s="19">
        <f>Registro[[#This Row],[Mes 7]]+Registro[[#This Row],[Mes 8]]+Registro[[#This Row],[Mes 9]]</f>
        <v>0</v>
      </c>
      <c r="W268" s="20">
        <f>Registro[[#This Row],[Mes 10]]+Registro[[#This Row],[Mes 11]]+Registro[[#This Row],[Mes 12]]</f>
        <v>0</v>
      </c>
      <c r="X268" s="20">
        <f>SUM(Registro[[#This Row],[Trim I]],Registro[[#This Row],[Trim II]],Registro[[#This Row],[Trim III]],Registro[[#This Row],[Trim IV]])</f>
        <v>0</v>
      </c>
      <c r="Y268" s="22">
        <f>IFERROR((Registro[[#This Row],[Avance Total]]/Registro[[#This Row],[Meta]]),0)</f>
        <v>0</v>
      </c>
      <c r="Z268" s="22">
        <f>IFERROR((Registro[[#This Row],[Avance Total]]-Registro[[#This Row],[Línea Base 2025]])/Registro[[#This Row],[Línea Base 2025]],0)</f>
        <v>0</v>
      </c>
      <c r="AA268" s="20">
        <v>2026</v>
      </c>
    </row>
    <row r="269" spans="1:27" hidden="1">
      <c r="A269" s="14">
        <v>1021</v>
      </c>
      <c r="B269" s="15" t="s">
        <v>13</v>
      </c>
      <c r="C269" s="16">
        <v>118</v>
      </c>
      <c r="D269" s="16" t="s">
        <v>188</v>
      </c>
      <c r="E269" s="17" t="s">
        <v>9</v>
      </c>
      <c r="F269" s="24">
        <v>0</v>
      </c>
      <c r="G269" s="24">
        <v>0</v>
      </c>
      <c r="H269" s="19">
        <v>0</v>
      </c>
      <c r="I269" s="19">
        <v>0</v>
      </c>
      <c r="T269" s="19">
        <f>Registro[[#This Row],[Mes 1]]+Registro[[#This Row],[Mes 2]]+Registro[[#This Row],[Mes 3]]</f>
        <v>0</v>
      </c>
      <c r="U269" s="19">
        <f>Registro[[#This Row],[Mes 4]]+Registro[[#This Row],[Mes 5]]+Registro[[#This Row],[Mes 6]]</f>
        <v>0</v>
      </c>
      <c r="V269" s="19">
        <f>Registro[[#This Row],[Mes 7]]+Registro[[#This Row],[Mes 8]]+Registro[[#This Row],[Mes 9]]</f>
        <v>0</v>
      </c>
      <c r="W269" s="20">
        <f>Registro[[#This Row],[Mes 10]]+Registro[[#This Row],[Mes 11]]+Registro[[#This Row],[Mes 12]]</f>
        <v>0</v>
      </c>
      <c r="X269" s="20">
        <f>SUM(Registro[[#This Row],[Trim I]],Registro[[#This Row],[Trim II]],Registro[[#This Row],[Trim III]],Registro[[#This Row],[Trim IV]])</f>
        <v>0</v>
      </c>
      <c r="Y269" s="22">
        <f>IFERROR((Registro[[#This Row],[Avance Total]]/Registro[[#This Row],[Meta]]),0)</f>
        <v>0</v>
      </c>
      <c r="Z269" s="22">
        <f>IFERROR((Registro[[#This Row],[Avance Total]]-Registro[[#This Row],[Línea Base 2025]])/Registro[[#This Row],[Línea Base 2025]],0)</f>
        <v>0</v>
      </c>
      <c r="AA269" s="20">
        <v>2026</v>
      </c>
    </row>
    <row r="270" spans="1:27" hidden="1">
      <c r="A270" s="14">
        <v>1021</v>
      </c>
      <c r="B270" s="15" t="s">
        <v>13</v>
      </c>
      <c r="C270" s="16">
        <v>119</v>
      </c>
      <c r="D270" s="16" t="s">
        <v>190</v>
      </c>
      <c r="E270" s="17" t="s">
        <v>189</v>
      </c>
      <c r="F270" s="24">
        <v>0</v>
      </c>
      <c r="G270" s="24">
        <v>4.7840000000000007</v>
      </c>
      <c r="H270" s="19">
        <v>0</v>
      </c>
      <c r="I270" s="19">
        <v>0</v>
      </c>
      <c r="T270" s="19">
        <f>Registro[[#This Row],[Mes 1]]+Registro[[#This Row],[Mes 2]]+Registro[[#This Row],[Mes 3]]</f>
        <v>0</v>
      </c>
      <c r="U270" s="19">
        <f>Registro[[#This Row],[Mes 4]]+Registro[[#This Row],[Mes 5]]+Registro[[#This Row],[Mes 6]]</f>
        <v>0</v>
      </c>
      <c r="V270" s="19">
        <f>Registro[[#This Row],[Mes 7]]+Registro[[#This Row],[Mes 8]]+Registro[[#This Row],[Mes 9]]</f>
        <v>0</v>
      </c>
      <c r="W270" s="20">
        <f>Registro[[#This Row],[Mes 10]]+Registro[[#This Row],[Mes 11]]+Registro[[#This Row],[Mes 12]]</f>
        <v>0</v>
      </c>
      <c r="X270" s="20">
        <f>SUM(Registro[[#This Row],[Trim I]],Registro[[#This Row],[Trim II]],Registro[[#This Row],[Trim III]],Registro[[#This Row],[Trim IV]])</f>
        <v>0</v>
      </c>
      <c r="Y270" s="22">
        <f>IFERROR((Registro[[#This Row],[Avance Total]]/Registro[[#This Row],[Meta]]),0)</f>
        <v>0</v>
      </c>
      <c r="Z270" s="22">
        <f>IFERROR((Registro[[#This Row],[Avance Total]]-Registro[[#This Row],[Línea Base 2025]])/Registro[[#This Row],[Línea Base 2025]],0)</f>
        <v>0</v>
      </c>
      <c r="AA270" s="20">
        <v>2026</v>
      </c>
    </row>
    <row r="271" spans="1:27" hidden="1">
      <c r="A271" s="14">
        <v>1021</v>
      </c>
      <c r="B271" s="15" t="s">
        <v>13</v>
      </c>
      <c r="C271" s="16">
        <v>120</v>
      </c>
      <c r="D271" s="16" t="s">
        <v>192</v>
      </c>
      <c r="E271" s="17" t="s">
        <v>191</v>
      </c>
      <c r="F271" s="24">
        <v>0</v>
      </c>
      <c r="G271" s="24">
        <v>0</v>
      </c>
      <c r="H271" s="19">
        <v>0</v>
      </c>
      <c r="I271" s="19">
        <v>0</v>
      </c>
      <c r="T271" s="19">
        <f>Registro[[#This Row],[Mes 1]]+Registro[[#This Row],[Mes 2]]+Registro[[#This Row],[Mes 3]]</f>
        <v>0</v>
      </c>
      <c r="U271" s="19">
        <f>Registro[[#This Row],[Mes 4]]+Registro[[#This Row],[Mes 5]]+Registro[[#This Row],[Mes 6]]</f>
        <v>0</v>
      </c>
      <c r="V271" s="19">
        <f>Registro[[#This Row],[Mes 7]]+Registro[[#This Row],[Mes 8]]+Registro[[#This Row],[Mes 9]]</f>
        <v>0</v>
      </c>
      <c r="W271" s="20">
        <f>Registro[[#This Row],[Mes 10]]+Registro[[#This Row],[Mes 11]]+Registro[[#This Row],[Mes 12]]</f>
        <v>0</v>
      </c>
      <c r="X271" s="20">
        <f>SUM(Registro[[#This Row],[Trim I]],Registro[[#This Row],[Trim II]],Registro[[#This Row],[Trim III]],Registro[[#This Row],[Trim IV]])</f>
        <v>0</v>
      </c>
      <c r="Y271" s="22">
        <f>IFERROR((Registro[[#This Row],[Avance Total]]/Registro[[#This Row],[Meta]]),0)</f>
        <v>0</v>
      </c>
      <c r="Z271" s="22">
        <f>IFERROR((Registro[[#This Row],[Avance Total]]-Registro[[#This Row],[Línea Base 2025]])/Registro[[#This Row],[Línea Base 2025]],0)</f>
        <v>0</v>
      </c>
      <c r="AA271" s="20">
        <v>2026</v>
      </c>
    </row>
    <row r="272" spans="1:27" hidden="1">
      <c r="A272" s="14">
        <v>1021</v>
      </c>
      <c r="B272" s="15" t="s">
        <v>13</v>
      </c>
      <c r="C272" s="16">
        <v>121</v>
      </c>
      <c r="D272" s="16" t="s">
        <v>194</v>
      </c>
      <c r="E272" s="17" t="s">
        <v>193</v>
      </c>
      <c r="F272" s="24">
        <v>0</v>
      </c>
      <c r="G272" s="24">
        <v>0</v>
      </c>
      <c r="H272" s="19">
        <v>0</v>
      </c>
      <c r="I272" s="19">
        <v>0</v>
      </c>
      <c r="T272" s="19">
        <f>Registro[[#This Row],[Mes 1]]+Registro[[#This Row],[Mes 2]]+Registro[[#This Row],[Mes 3]]</f>
        <v>0</v>
      </c>
      <c r="U272" s="19">
        <f>Registro[[#This Row],[Mes 4]]+Registro[[#This Row],[Mes 5]]+Registro[[#This Row],[Mes 6]]</f>
        <v>0</v>
      </c>
      <c r="V272" s="19">
        <f>Registro[[#This Row],[Mes 7]]+Registro[[#This Row],[Mes 8]]+Registro[[#This Row],[Mes 9]]</f>
        <v>0</v>
      </c>
      <c r="W272" s="20">
        <f>Registro[[#This Row],[Mes 10]]+Registro[[#This Row],[Mes 11]]+Registro[[#This Row],[Mes 12]]</f>
        <v>0</v>
      </c>
      <c r="X272" s="20">
        <f>SUM(Registro[[#This Row],[Trim I]],Registro[[#This Row],[Trim II]],Registro[[#This Row],[Trim III]],Registro[[#This Row],[Trim IV]])</f>
        <v>0</v>
      </c>
      <c r="Y272" s="22">
        <f>IFERROR((Registro[[#This Row],[Avance Total]]/Registro[[#This Row],[Meta]]),0)</f>
        <v>0</v>
      </c>
      <c r="Z272" s="22">
        <f>IFERROR((Registro[[#This Row],[Avance Total]]-Registro[[#This Row],[Línea Base 2025]])/Registro[[#This Row],[Línea Base 2025]],0)</f>
        <v>0</v>
      </c>
      <c r="AA272" s="20">
        <v>2026</v>
      </c>
    </row>
    <row r="273" spans="1:27" hidden="1">
      <c r="A273" s="14">
        <v>1021</v>
      </c>
      <c r="B273" s="15" t="s">
        <v>13</v>
      </c>
      <c r="C273" s="16">
        <v>122</v>
      </c>
      <c r="D273" s="16" t="s">
        <v>196</v>
      </c>
      <c r="E273" s="17" t="s">
        <v>195</v>
      </c>
      <c r="F273" s="24">
        <v>0</v>
      </c>
      <c r="G273" s="24">
        <v>0</v>
      </c>
      <c r="H273" s="19">
        <v>0</v>
      </c>
      <c r="I273" s="19">
        <v>0</v>
      </c>
      <c r="T273" s="19">
        <f>Registro[[#This Row],[Mes 1]]+Registro[[#This Row],[Mes 2]]+Registro[[#This Row],[Mes 3]]</f>
        <v>0</v>
      </c>
      <c r="U273" s="19">
        <f>Registro[[#This Row],[Mes 4]]+Registro[[#This Row],[Mes 5]]+Registro[[#This Row],[Mes 6]]</f>
        <v>0</v>
      </c>
      <c r="V273" s="19">
        <f>Registro[[#This Row],[Mes 7]]+Registro[[#This Row],[Mes 8]]+Registro[[#This Row],[Mes 9]]</f>
        <v>0</v>
      </c>
      <c r="W273" s="20">
        <f>Registro[[#This Row],[Mes 10]]+Registro[[#This Row],[Mes 11]]+Registro[[#This Row],[Mes 12]]</f>
        <v>0</v>
      </c>
      <c r="X273" s="20">
        <f>SUM(Registro[[#This Row],[Trim I]],Registro[[#This Row],[Trim II]],Registro[[#This Row],[Trim III]],Registro[[#This Row],[Trim IV]])</f>
        <v>0</v>
      </c>
      <c r="Y273" s="22">
        <f>IFERROR((Registro[[#This Row],[Avance Total]]/Registro[[#This Row],[Meta]]),0)</f>
        <v>0</v>
      </c>
      <c r="Z273" s="22">
        <f>IFERROR((Registro[[#This Row],[Avance Total]]-Registro[[#This Row],[Línea Base 2025]])/Registro[[#This Row],[Línea Base 2025]],0)</f>
        <v>0</v>
      </c>
      <c r="AA273" s="20">
        <v>2026</v>
      </c>
    </row>
    <row r="274" spans="1:27" hidden="1">
      <c r="A274" s="14">
        <v>1021</v>
      </c>
      <c r="B274" s="15" t="s">
        <v>13</v>
      </c>
      <c r="C274" s="16">
        <v>123</v>
      </c>
      <c r="D274" s="16" t="s">
        <v>198</v>
      </c>
      <c r="E274" s="17" t="s">
        <v>197</v>
      </c>
      <c r="F274" s="24">
        <v>0</v>
      </c>
      <c r="G274" s="24">
        <v>0</v>
      </c>
      <c r="H274" s="19">
        <v>0</v>
      </c>
      <c r="I274" s="19">
        <v>0</v>
      </c>
      <c r="T274" s="19">
        <f>Registro[[#This Row],[Mes 1]]+Registro[[#This Row],[Mes 2]]+Registro[[#This Row],[Mes 3]]</f>
        <v>0</v>
      </c>
      <c r="U274" s="19">
        <f>Registro[[#This Row],[Mes 4]]+Registro[[#This Row],[Mes 5]]+Registro[[#This Row],[Mes 6]]</f>
        <v>0</v>
      </c>
      <c r="V274" s="19">
        <f>Registro[[#This Row],[Mes 7]]+Registro[[#This Row],[Mes 8]]+Registro[[#This Row],[Mes 9]]</f>
        <v>0</v>
      </c>
      <c r="W274" s="20">
        <f>Registro[[#This Row],[Mes 10]]+Registro[[#This Row],[Mes 11]]+Registro[[#This Row],[Mes 12]]</f>
        <v>0</v>
      </c>
      <c r="X274" s="20">
        <f>SUM(Registro[[#This Row],[Trim I]],Registro[[#This Row],[Trim II]],Registro[[#This Row],[Trim III]],Registro[[#This Row],[Trim IV]])</f>
        <v>0</v>
      </c>
      <c r="Y274" s="22">
        <f>IFERROR((Registro[[#This Row],[Avance Total]]/Registro[[#This Row],[Meta]]),0)</f>
        <v>0</v>
      </c>
      <c r="Z274" s="22">
        <f>IFERROR((Registro[[#This Row],[Avance Total]]-Registro[[#This Row],[Línea Base 2025]])/Registro[[#This Row],[Línea Base 2025]],0)</f>
        <v>0</v>
      </c>
      <c r="AA274" s="20">
        <v>2026</v>
      </c>
    </row>
    <row r="275" spans="1:27" hidden="1">
      <c r="A275" s="14">
        <v>1022</v>
      </c>
      <c r="B275" s="15" t="s">
        <v>62</v>
      </c>
      <c r="C275" s="16">
        <v>111</v>
      </c>
      <c r="D275" s="16" t="s">
        <v>171</v>
      </c>
      <c r="E275" s="17" t="s">
        <v>172</v>
      </c>
      <c r="F275" s="24">
        <v>10</v>
      </c>
      <c r="G275" s="24">
        <v>405</v>
      </c>
      <c r="H275" s="19">
        <v>2</v>
      </c>
      <c r="I275" s="19">
        <v>2</v>
      </c>
      <c r="T275" s="19">
        <f>Registro[[#This Row],[Mes 1]]+Registro[[#This Row],[Mes 2]]+Registro[[#This Row],[Mes 3]]</f>
        <v>4</v>
      </c>
      <c r="U275" s="19">
        <f>Registro[[#This Row],[Mes 4]]+Registro[[#This Row],[Mes 5]]+Registro[[#This Row],[Mes 6]]</f>
        <v>0</v>
      </c>
      <c r="V275" s="19">
        <f>Registro[[#This Row],[Mes 7]]+Registro[[#This Row],[Mes 8]]+Registro[[#This Row],[Mes 9]]</f>
        <v>0</v>
      </c>
      <c r="W275" s="20">
        <f>Registro[[#This Row],[Mes 10]]+Registro[[#This Row],[Mes 11]]+Registro[[#This Row],[Mes 12]]</f>
        <v>0</v>
      </c>
      <c r="X275" s="20">
        <f>SUM(Registro[[#This Row],[Trim I]],Registro[[#This Row],[Trim II]],Registro[[#This Row],[Trim III]],Registro[[#This Row],[Trim IV]])</f>
        <v>4</v>
      </c>
      <c r="Y275" s="22">
        <f>IFERROR((Registro[[#This Row],[Avance Total]]/Registro[[#This Row],[Meta]]),0)</f>
        <v>9.876543209876543E-3</v>
      </c>
      <c r="Z275" s="22">
        <f>IFERROR((Registro[[#This Row],[Avance Total]]-Registro[[#This Row],[Línea Base 2025]])/Registro[[#This Row],[Línea Base 2025]],0)</f>
        <v>-0.6</v>
      </c>
      <c r="AA275" s="20">
        <v>2026</v>
      </c>
    </row>
    <row r="276" spans="1:27" hidden="1">
      <c r="A276" s="14">
        <v>1022</v>
      </c>
      <c r="B276" s="15" t="s">
        <v>62</v>
      </c>
      <c r="C276" s="16">
        <v>112</v>
      </c>
      <c r="D276" s="16" t="s">
        <v>173</v>
      </c>
      <c r="E276" s="17" t="s">
        <v>7</v>
      </c>
      <c r="F276" s="24">
        <v>8</v>
      </c>
      <c r="G276" s="24">
        <v>20</v>
      </c>
      <c r="H276" s="19">
        <v>0</v>
      </c>
      <c r="I276" s="19">
        <v>0</v>
      </c>
      <c r="T276" s="19">
        <f>Registro[[#This Row],[Mes 1]]+Registro[[#This Row],[Mes 2]]+Registro[[#This Row],[Mes 3]]</f>
        <v>0</v>
      </c>
      <c r="U276" s="19">
        <f>Registro[[#This Row],[Mes 4]]+Registro[[#This Row],[Mes 5]]+Registro[[#This Row],[Mes 6]]</f>
        <v>0</v>
      </c>
      <c r="V276" s="19">
        <f>Registro[[#This Row],[Mes 7]]+Registro[[#This Row],[Mes 8]]+Registro[[#This Row],[Mes 9]]</f>
        <v>0</v>
      </c>
      <c r="W276" s="20">
        <f>Registro[[#This Row],[Mes 10]]+Registro[[#This Row],[Mes 11]]+Registro[[#This Row],[Mes 12]]</f>
        <v>0</v>
      </c>
      <c r="X276" s="20">
        <f>SUM(Registro[[#This Row],[Trim I]],Registro[[#This Row],[Trim II]],Registro[[#This Row],[Trim III]],Registro[[#This Row],[Trim IV]])</f>
        <v>0</v>
      </c>
      <c r="Y276" s="22">
        <f>IFERROR((Registro[[#This Row],[Avance Total]]/Registro[[#This Row],[Meta]]),0)</f>
        <v>0</v>
      </c>
      <c r="Z276" s="22">
        <f>IFERROR((Registro[[#This Row],[Avance Total]]-Registro[[#This Row],[Línea Base 2025]])/Registro[[#This Row],[Línea Base 2025]],0)</f>
        <v>-1</v>
      </c>
      <c r="AA276" s="20">
        <v>2026</v>
      </c>
    </row>
    <row r="277" spans="1:27" hidden="1">
      <c r="A277" s="14">
        <v>1022</v>
      </c>
      <c r="B277" s="15" t="s">
        <v>62</v>
      </c>
      <c r="C277" s="16">
        <v>113</v>
      </c>
      <c r="D277" s="16" t="s">
        <v>179</v>
      </c>
      <c r="E277" s="17" t="s">
        <v>178</v>
      </c>
      <c r="F277" s="24">
        <v>22</v>
      </c>
      <c r="G277" s="24">
        <v>403</v>
      </c>
      <c r="H277" s="19">
        <v>0</v>
      </c>
      <c r="I277" s="19">
        <v>2</v>
      </c>
      <c r="T277" s="19">
        <f>Registro[[#This Row],[Mes 1]]+Registro[[#This Row],[Mes 2]]+Registro[[#This Row],[Mes 3]]</f>
        <v>2</v>
      </c>
      <c r="U277" s="19">
        <f>Registro[[#This Row],[Mes 4]]+Registro[[#This Row],[Mes 5]]+Registro[[#This Row],[Mes 6]]</f>
        <v>0</v>
      </c>
      <c r="V277" s="19">
        <f>Registro[[#This Row],[Mes 7]]+Registro[[#This Row],[Mes 8]]+Registro[[#This Row],[Mes 9]]</f>
        <v>0</v>
      </c>
      <c r="W277" s="20">
        <f>Registro[[#This Row],[Mes 10]]+Registro[[#This Row],[Mes 11]]+Registro[[#This Row],[Mes 12]]</f>
        <v>0</v>
      </c>
      <c r="X277" s="20">
        <f>SUM(Registro[[#This Row],[Trim I]],Registro[[#This Row],[Trim II]],Registro[[#This Row],[Trim III]],Registro[[#This Row],[Trim IV]])</f>
        <v>2</v>
      </c>
      <c r="Y277" s="22">
        <f>IFERROR((Registro[[#This Row],[Avance Total]]/Registro[[#This Row],[Meta]]),0)</f>
        <v>4.9627791563275434E-3</v>
      </c>
      <c r="Z277" s="22">
        <f>IFERROR((Registro[[#This Row],[Avance Total]]-Registro[[#This Row],[Línea Base 2025]])/Registro[[#This Row],[Línea Base 2025]],0)</f>
        <v>-0.90909090909090906</v>
      </c>
      <c r="AA277" s="20">
        <v>2026</v>
      </c>
    </row>
    <row r="278" spans="1:27" hidden="1">
      <c r="A278" s="14">
        <v>1022</v>
      </c>
      <c r="B278" s="15" t="s">
        <v>62</v>
      </c>
      <c r="C278" s="16">
        <v>114</v>
      </c>
      <c r="D278" s="16" t="s">
        <v>181</v>
      </c>
      <c r="E278" s="17" t="s">
        <v>180</v>
      </c>
      <c r="F278" s="24">
        <v>46</v>
      </c>
      <c r="G278" s="24">
        <v>14.399999999999999</v>
      </c>
      <c r="H278" s="19">
        <v>0</v>
      </c>
      <c r="I278" s="19">
        <v>0</v>
      </c>
      <c r="T278" s="19">
        <f>Registro[[#This Row],[Mes 1]]+Registro[[#This Row],[Mes 2]]+Registro[[#This Row],[Mes 3]]</f>
        <v>0</v>
      </c>
      <c r="U278" s="19">
        <f>Registro[[#This Row],[Mes 4]]+Registro[[#This Row],[Mes 5]]+Registro[[#This Row],[Mes 6]]</f>
        <v>0</v>
      </c>
      <c r="V278" s="19">
        <f>Registro[[#This Row],[Mes 7]]+Registro[[#This Row],[Mes 8]]+Registro[[#This Row],[Mes 9]]</f>
        <v>0</v>
      </c>
      <c r="W278" s="20">
        <f>Registro[[#This Row],[Mes 10]]+Registro[[#This Row],[Mes 11]]+Registro[[#This Row],[Mes 12]]</f>
        <v>0</v>
      </c>
      <c r="X278" s="20">
        <f>SUM(Registro[[#This Row],[Trim I]],Registro[[#This Row],[Trim II]],Registro[[#This Row],[Trim III]],Registro[[#This Row],[Trim IV]])</f>
        <v>0</v>
      </c>
      <c r="Y278" s="22">
        <f>IFERROR((Registro[[#This Row],[Avance Total]]/Registro[[#This Row],[Meta]]),0)</f>
        <v>0</v>
      </c>
      <c r="Z278" s="22">
        <f>IFERROR((Registro[[#This Row],[Avance Total]]-Registro[[#This Row],[Línea Base 2025]])/Registro[[#This Row],[Línea Base 2025]],0)</f>
        <v>-1</v>
      </c>
      <c r="AA278" s="20">
        <v>2026</v>
      </c>
    </row>
    <row r="279" spans="1:27" hidden="1">
      <c r="A279" s="14">
        <v>1022</v>
      </c>
      <c r="B279" s="15" t="s">
        <v>62</v>
      </c>
      <c r="C279" s="16">
        <v>115</v>
      </c>
      <c r="D279" s="16" t="s">
        <v>183</v>
      </c>
      <c r="E279" s="17" t="s">
        <v>182</v>
      </c>
      <c r="F279" s="24">
        <v>0</v>
      </c>
      <c r="G279" s="24">
        <v>12.959999999999999</v>
      </c>
      <c r="H279" s="19">
        <v>0</v>
      </c>
      <c r="I279" s="19">
        <v>0</v>
      </c>
      <c r="T279" s="19">
        <f>Registro[[#This Row],[Mes 1]]+Registro[[#This Row],[Mes 2]]+Registro[[#This Row],[Mes 3]]</f>
        <v>0</v>
      </c>
      <c r="U279" s="19">
        <f>Registro[[#This Row],[Mes 4]]+Registro[[#This Row],[Mes 5]]+Registro[[#This Row],[Mes 6]]</f>
        <v>0</v>
      </c>
      <c r="V279" s="19">
        <f>Registro[[#This Row],[Mes 7]]+Registro[[#This Row],[Mes 8]]+Registro[[#This Row],[Mes 9]]</f>
        <v>0</v>
      </c>
      <c r="W279" s="20">
        <f>Registro[[#This Row],[Mes 10]]+Registro[[#This Row],[Mes 11]]+Registro[[#This Row],[Mes 12]]</f>
        <v>0</v>
      </c>
      <c r="X279" s="20">
        <f>SUM(Registro[[#This Row],[Trim I]],Registro[[#This Row],[Trim II]],Registro[[#This Row],[Trim III]],Registro[[#This Row],[Trim IV]])</f>
        <v>0</v>
      </c>
      <c r="Y279" s="22">
        <f>IFERROR((Registro[[#This Row],[Avance Total]]/Registro[[#This Row],[Meta]]),0)</f>
        <v>0</v>
      </c>
      <c r="Z279" s="22">
        <f>IFERROR((Registro[[#This Row],[Avance Total]]-Registro[[#This Row],[Línea Base 2025]])/Registro[[#This Row],[Línea Base 2025]],0)</f>
        <v>0</v>
      </c>
      <c r="AA279" s="20">
        <v>2026</v>
      </c>
    </row>
    <row r="280" spans="1:27">
      <c r="A280" s="14">
        <v>1022</v>
      </c>
      <c r="B280" s="15" t="s">
        <v>62</v>
      </c>
      <c r="C280" s="16">
        <v>116</v>
      </c>
      <c r="D280" s="16" t="s">
        <v>185</v>
      </c>
      <c r="E280" s="17" t="s">
        <v>184</v>
      </c>
      <c r="F280" s="24">
        <v>0</v>
      </c>
      <c r="G280" s="24">
        <v>4.6000000000000005</v>
      </c>
      <c r="H280" s="19">
        <v>0</v>
      </c>
      <c r="I280" s="19">
        <v>0</v>
      </c>
      <c r="T280" s="19">
        <f>Registro[[#This Row],[Mes 1]]+Registro[[#This Row],[Mes 2]]+Registro[[#This Row],[Mes 3]]</f>
        <v>0</v>
      </c>
      <c r="U280" s="19">
        <f>Registro[[#This Row],[Mes 4]]+Registro[[#This Row],[Mes 5]]+Registro[[#This Row],[Mes 6]]</f>
        <v>0</v>
      </c>
      <c r="V280" s="19">
        <f>Registro[[#This Row],[Mes 7]]+Registro[[#This Row],[Mes 8]]+Registro[[#This Row],[Mes 9]]</f>
        <v>0</v>
      </c>
      <c r="W280" s="20">
        <f>Registro[[#This Row],[Mes 10]]+Registro[[#This Row],[Mes 11]]+Registro[[#This Row],[Mes 12]]</f>
        <v>0</v>
      </c>
      <c r="X280" s="20">
        <f>SUM(Registro[[#This Row],[Trim I]],Registro[[#This Row],[Trim II]],Registro[[#This Row],[Trim III]],Registro[[#This Row],[Trim IV]])</f>
        <v>0</v>
      </c>
      <c r="Y280" s="22">
        <f>IFERROR((Registro[[#This Row],[Avance Total]]/Registro[[#This Row],[Meta]]),0)</f>
        <v>0</v>
      </c>
      <c r="Z280" s="22">
        <f>IFERROR((Registro[[#This Row],[Avance Total]]-Registro[[#This Row],[Línea Base 2025]])/Registro[[#This Row],[Línea Base 2025]],0)</f>
        <v>0</v>
      </c>
      <c r="AA280" s="20">
        <v>2026</v>
      </c>
    </row>
    <row r="281" spans="1:27" hidden="1">
      <c r="A281" s="14">
        <v>1022</v>
      </c>
      <c r="B281" s="15" t="s">
        <v>62</v>
      </c>
      <c r="C281" s="16">
        <v>117</v>
      </c>
      <c r="D281" s="16" t="s">
        <v>187</v>
      </c>
      <c r="E281" s="17" t="s">
        <v>186</v>
      </c>
      <c r="F281" s="24">
        <v>0</v>
      </c>
      <c r="G281" s="24">
        <v>12.4</v>
      </c>
      <c r="H281" s="19">
        <v>0</v>
      </c>
      <c r="I281" s="19">
        <v>0</v>
      </c>
      <c r="T281" s="19">
        <f>Registro[[#This Row],[Mes 1]]+Registro[[#This Row],[Mes 2]]+Registro[[#This Row],[Mes 3]]</f>
        <v>0</v>
      </c>
      <c r="U281" s="19">
        <f>Registro[[#This Row],[Mes 4]]+Registro[[#This Row],[Mes 5]]+Registro[[#This Row],[Mes 6]]</f>
        <v>0</v>
      </c>
      <c r="V281" s="19">
        <f>Registro[[#This Row],[Mes 7]]+Registro[[#This Row],[Mes 8]]+Registro[[#This Row],[Mes 9]]</f>
        <v>0</v>
      </c>
      <c r="W281" s="20">
        <f>Registro[[#This Row],[Mes 10]]+Registro[[#This Row],[Mes 11]]+Registro[[#This Row],[Mes 12]]</f>
        <v>0</v>
      </c>
      <c r="X281" s="20">
        <f>SUM(Registro[[#This Row],[Trim I]],Registro[[#This Row],[Trim II]],Registro[[#This Row],[Trim III]],Registro[[#This Row],[Trim IV]])</f>
        <v>0</v>
      </c>
      <c r="Y281" s="22">
        <f>IFERROR((Registro[[#This Row],[Avance Total]]/Registro[[#This Row],[Meta]]),0)</f>
        <v>0</v>
      </c>
      <c r="Z281" s="22">
        <f>IFERROR((Registro[[#This Row],[Avance Total]]-Registro[[#This Row],[Línea Base 2025]])/Registro[[#This Row],[Línea Base 2025]],0)</f>
        <v>0</v>
      </c>
      <c r="AA281" s="20">
        <v>2026</v>
      </c>
    </row>
    <row r="282" spans="1:27" hidden="1">
      <c r="A282" s="14">
        <v>1022</v>
      </c>
      <c r="B282" s="15" t="s">
        <v>62</v>
      </c>
      <c r="C282" s="16">
        <v>118</v>
      </c>
      <c r="D282" s="16" t="s">
        <v>188</v>
      </c>
      <c r="E282" s="17" t="s">
        <v>9</v>
      </c>
      <c r="F282" s="24">
        <v>0</v>
      </c>
      <c r="G282" s="24">
        <v>70</v>
      </c>
      <c r="H282" s="19">
        <v>0</v>
      </c>
      <c r="I282" s="19">
        <v>0</v>
      </c>
      <c r="T282" s="19">
        <f>Registro[[#This Row],[Mes 1]]+Registro[[#This Row],[Mes 2]]+Registro[[#This Row],[Mes 3]]</f>
        <v>0</v>
      </c>
      <c r="U282" s="19">
        <f>Registro[[#This Row],[Mes 4]]+Registro[[#This Row],[Mes 5]]+Registro[[#This Row],[Mes 6]]</f>
        <v>0</v>
      </c>
      <c r="V282" s="19">
        <f>Registro[[#This Row],[Mes 7]]+Registro[[#This Row],[Mes 8]]+Registro[[#This Row],[Mes 9]]</f>
        <v>0</v>
      </c>
      <c r="W282" s="20">
        <f>Registro[[#This Row],[Mes 10]]+Registro[[#This Row],[Mes 11]]+Registro[[#This Row],[Mes 12]]</f>
        <v>0</v>
      </c>
      <c r="X282" s="20">
        <f>SUM(Registro[[#This Row],[Trim I]],Registro[[#This Row],[Trim II]],Registro[[#This Row],[Trim III]],Registro[[#This Row],[Trim IV]])</f>
        <v>0</v>
      </c>
      <c r="Y282" s="22">
        <f>IFERROR((Registro[[#This Row],[Avance Total]]/Registro[[#This Row],[Meta]]),0)</f>
        <v>0</v>
      </c>
      <c r="Z282" s="22">
        <f>IFERROR((Registro[[#This Row],[Avance Total]]-Registro[[#This Row],[Línea Base 2025]])/Registro[[#This Row],[Línea Base 2025]],0)</f>
        <v>0</v>
      </c>
      <c r="AA282" s="20">
        <v>2026</v>
      </c>
    </row>
    <row r="283" spans="1:27" hidden="1">
      <c r="A283" s="14">
        <v>1022</v>
      </c>
      <c r="B283" s="15" t="s">
        <v>62</v>
      </c>
      <c r="C283" s="16">
        <v>119</v>
      </c>
      <c r="D283" s="16" t="s">
        <v>190</v>
      </c>
      <c r="E283" s="17" t="s">
        <v>189</v>
      </c>
      <c r="F283" s="24">
        <v>0</v>
      </c>
      <c r="G283" s="24">
        <v>3.6800000000000006</v>
      </c>
      <c r="H283" s="19">
        <v>0</v>
      </c>
      <c r="I283" s="19">
        <v>0</v>
      </c>
      <c r="T283" s="19">
        <f>Registro[[#This Row],[Mes 1]]+Registro[[#This Row],[Mes 2]]+Registro[[#This Row],[Mes 3]]</f>
        <v>0</v>
      </c>
      <c r="U283" s="19">
        <f>Registro[[#This Row],[Mes 4]]+Registro[[#This Row],[Mes 5]]+Registro[[#This Row],[Mes 6]]</f>
        <v>0</v>
      </c>
      <c r="V283" s="19">
        <f>Registro[[#This Row],[Mes 7]]+Registro[[#This Row],[Mes 8]]+Registro[[#This Row],[Mes 9]]</f>
        <v>0</v>
      </c>
      <c r="W283" s="20">
        <f>Registro[[#This Row],[Mes 10]]+Registro[[#This Row],[Mes 11]]+Registro[[#This Row],[Mes 12]]</f>
        <v>0</v>
      </c>
      <c r="X283" s="20">
        <f>SUM(Registro[[#This Row],[Trim I]],Registro[[#This Row],[Trim II]],Registro[[#This Row],[Trim III]],Registro[[#This Row],[Trim IV]])</f>
        <v>0</v>
      </c>
      <c r="Y283" s="22">
        <f>IFERROR((Registro[[#This Row],[Avance Total]]/Registro[[#This Row],[Meta]]),0)</f>
        <v>0</v>
      </c>
      <c r="Z283" s="22">
        <f>IFERROR((Registro[[#This Row],[Avance Total]]-Registro[[#This Row],[Línea Base 2025]])/Registro[[#This Row],[Línea Base 2025]],0)</f>
        <v>0</v>
      </c>
      <c r="AA283" s="20">
        <v>2026</v>
      </c>
    </row>
    <row r="284" spans="1:27" hidden="1">
      <c r="A284" s="14">
        <v>1022</v>
      </c>
      <c r="B284" s="15" t="s">
        <v>62</v>
      </c>
      <c r="C284" s="16">
        <v>120</v>
      </c>
      <c r="D284" s="16" t="s">
        <v>192</v>
      </c>
      <c r="E284" s="17" t="s">
        <v>191</v>
      </c>
      <c r="F284" s="24">
        <v>68</v>
      </c>
      <c r="G284" s="24">
        <v>90</v>
      </c>
      <c r="H284" s="19">
        <v>0</v>
      </c>
      <c r="I284" s="19">
        <v>0</v>
      </c>
      <c r="T284" s="19">
        <f>Registro[[#This Row],[Mes 1]]+Registro[[#This Row],[Mes 2]]+Registro[[#This Row],[Mes 3]]</f>
        <v>0</v>
      </c>
      <c r="U284" s="19">
        <f>Registro[[#This Row],[Mes 4]]+Registro[[#This Row],[Mes 5]]+Registro[[#This Row],[Mes 6]]</f>
        <v>0</v>
      </c>
      <c r="V284" s="19">
        <f>Registro[[#This Row],[Mes 7]]+Registro[[#This Row],[Mes 8]]+Registro[[#This Row],[Mes 9]]</f>
        <v>0</v>
      </c>
      <c r="W284" s="20">
        <f>Registro[[#This Row],[Mes 10]]+Registro[[#This Row],[Mes 11]]+Registro[[#This Row],[Mes 12]]</f>
        <v>0</v>
      </c>
      <c r="X284" s="20">
        <f>SUM(Registro[[#This Row],[Trim I]],Registro[[#This Row],[Trim II]],Registro[[#This Row],[Trim III]],Registro[[#This Row],[Trim IV]])</f>
        <v>0</v>
      </c>
      <c r="Y284" s="22">
        <f>IFERROR((Registro[[#This Row],[Avance Total]]/Registro[[#This Row],[Meta]]),0)</f>
        <v>0</v>
      </c>
      <c r="Z284" s="22">
        <f>IFERROR((Registro[[#This Row],[Avance Total]]-Registro[[#This Row],[Línea Base 2025]])/Registro[[#This Row],[Línea Base 2025]],0)</f>
        <v>-1</v>
      </c>
      <c r="AA284" s="20">
        <v>2026</v>
      </c>
    </row>
    <row r="285" spans="1:27" hidden="1">
      <c r="A285" s="14">
        <v>1022</v>
      </c>
      <c r="B285" s="15" t="s">
        <v>62</v>
      </c>
      <c r="C285" s="16">
        <v>121</v>
      </c>
      <c r="D285" s="16" t="s">
        <v>194</v>
      </c>
      <c r="E285" s="17" t="s">
        <v>193</v>
      </c>
      <c r="F285" s="24">
        <v>2</v>
      </c>
      <c r="G285" s="24">
        <v>16</v>
      </c>
      <c r="H285" s="19">
        <v>0</v>
      </c>
      <c r="I285" s="19">
        <v>0</v>
      </c>
      <c r="T285" s="19">
        <f>Registro[[#This Row],[Mes 1]]+Registro[[#This Row],[Mes 2]]+Registro[[#This Row],[Mes 3]]</f>
        <v>0</v>
      </c>
      <c r="U285" s="19">
        <f>Registro[[#This Row],[Mes 4]]+Registro[[#This Row],[Mes 5]]+Registro[[#This Row],[Mes 6]]</f>
        <v>0</v>
      </c>
      <c r="V285" s="19">
        <f>Registro[[#This Row],[Mes 7]]+Registro[[#This Row],[Mes 8]]+Registro[[#This Row],[Mes 9]]</f>
        <v>0</v>
      </c>
      <c r="W285" s="20">
        <f>Registro[[#This Row],[Mes 10]]+Registro[[#This Row],[Mes 11]]+Registro[[#This Row],[Mes 12]]</f>
        <v>0</v>
      </c>
      <c r="X285" s="20">
        <f>SUM(Registro[[#This Row],[Trim I]],Registro[[#This Row],[Trim II]],Registro[[#This Row],[Trim III]],Registro[[#This Row],[Trim IV]])</f>
        <v>0</v>
      </c>
      <c r="Y285" s="22">
        <f>IFERROR((Registro[[#This Row],[Avance Total]]/Registro[[#This Row],[Meta]]),0)</f>
        <v>0</v>
      </c>
      <c r="Z285" s="22">
        <f>IFERROR((Registro[[#This Row],[Avance Total]]-Registro[[#This Row],[Línea Base 2025]])/Registro[[#This Row],[Línea Base 2025]],0)</f>
        <v>-1</v>
      </c>
      <c r="AA285" s="20">
        <v>2026</v>
      </c>
    </row>
    <row r="286" spans="1:27" hidden="1">
      <c r="A286" s="14">
        <v>1022</v>
      </c>
      <c r="B286" s="15" t="s">
        <v>62</v>
      </c>
      <c r="C286" s="16">
        <v>122</v>
      </c>
      <c r="D286" s="16" t="s">
        <v>196</v>
      </c>
      <c r="E286" s="17" t="s">
        <v>195</v>
      </c>
      <c r="F286" s="24">
        <v>5</v>
      </c>
      <c r="G286" s="24">
        <v>5</v>
      </c>
      <c r="H286" s="19"/>
      <c r="I286" s="19"/>
      <c r="T286" s="19">
        <f>Registro[[#This Row],[Mes 1]]+Registro[[#This Row],[Mes 2]]+Registro[[#This Row],[Mes 3]]</f>
        <v>0</v>
      </c>
      <c r="U286" s="19">
        <f>Registro[[#This Row],[Mes 4]]+Registro[[#This Row],[Mes 5]]+Registro[[#This Row],[Mes 6]]</f>
        <v>0</v>
      </c>
      <c r="V286" s="19">
        <f>Registro[[#This Row],[Mes 7]]+Registro[[#This Row],[Mes 8]]+Registro[[#This Row],[Mes 9]]</f>
        <v>0</v>
      </c>
      <c r="W286" s="20">
        <f>Registro[[#This Row],[Mes 10]]+Registro[[#This Row],[Mes 11]]+Registro[[#This Row],[Mes 12]]</f>
        <v>0</v>
      </c>
      <c r="X286" s="20">
        <f>SUM(Registro[[#This Row],[Trim I]],Registro[[#This Row],[Trim II]],Registro[[#This Row],[Trim III]],Registro[[#This Row],[Trim IV]])</f>
        <v>0</v>
      </c>
      <c r="Y286" s="22">
        <f>IFERROR((Registro[[#This Row],[Avance Total]]/Registro[[#This Row],[Meta]]),0)</f>
        <v>0</v>
      </c>
      <c r="Z286" s="22">
        <f>IFERROR((Registro[[#This Row],[Avance Total]]-Registro[[#This Row],[Línea Base 2025]])/Registro[[#This Row],[Línea Base 2025]],0)</f>
        <v>-1</v>
      </c>
      <c r="AA286" s="20">
        <v>2026</v>
      </c>
    </row>
    <row r="287" spans="1:27" hidden="1">
      <c r="A287" s="14">
        <v>1022</v>
      </c>
      <c r="B287" s="15" t="s">
        <v>62</v>
      </c>
      <c r="C287" s="16">
        <v>123</v>
      </c>
      <c r="D287" s="16" t="s">
        <v>198</v>
      </c>
      <c r="E287" s="17" t="s">
        <v>197</v>
      </c>
      <c r="F287" s="24">
        <v>0</v>
      </c>
      <c r="G287" s="24">
        <v>4</v>
      </c>
      <c r="H287" s="19"/>
      <c r="I287" s="19"/>
      <c r="T287" s="19">
        <f>Registro[[#This Row],[Mes 1]]+Registro[[#This Row],[Mes 2]]+Registro[[#This Row],[Mes 3]]</f>
        <v>0</v>
      </c>
      <c r="U287" s="19">
        <f>Registro[[#This Row],[Mes 4]]+Registro[[#This Row],[Mes 5]]+Registro[[#This Row],[Mes 6]]</f>
        <v>0</v>
      </c>
      <c r="V287" s="19">
        <f>Registro[[#This Row],[Mes 7]]+Registro[[#This Row],[Mes 8]]+Registro[[#This Row],[Mes 9]]</f>
        <v>0</v>
      </c>
      <c r="W287" s="20">
        <f>Registro[[#This Row],[Mes 10]]+Registro[[#This Row],[Mes 11]]+Registro[[#This Row],[Mes 12]]</f>
        <v>0</v>
      </c>
      <c r="X287" s="20">
        <f>SUM(Registro[[#This Row],[Trim I]],Registro[[#This Row],[Trim II]],Registro[[#This Row],[Trim III]],Registro[[#This Row],[Trim IV]])</f>
        <v>0</v>
      </c>
      <c r="Y287" s="22">
        <f>IFERROR((Registro[[#This Row],[Avance Total]]/Registro[[#This Row],[Meta]]),0)</f>
        <v>0</v>
      </c>
      <c r="Z287" s="22">
        <f>IFERROR((Registro[[#This Row],[Avance Total]]-Registro[[#This Row],[Línea Base 2025]])/Registro[[#This Row],[Línea Base 2025]],0)</f>
        <v>0</v>
      </c>
      <c r="AA287" s="20">
        <v>2026</v>
      </c>
    </row>
    <row r="288" spans="1:27" hidden="1">
      <c r="A288" s="14">
        <v>1023</v>
      </c>
      <c r="B288" s="15" t="s">
        <v>63</v>
      </c>
      <c r="C288" s="16">
        <v>111</v>
      </c>
      <c r="D288" s="16" t="s">
        <v>171</v>
      </c>
      <c r="E288" s="17" t="s">
        <v>172</v>
      </c>
      <c r="F288" s="24">
        <v>67</v>
      </c>
      <c r="G288" s="24">
        <v>857</v>
      </c>
      <c r="H288" s="19">
        <v>20</v>
      </c>
      <c r="I288" s="19">
        <v>35</v>
      </c>
      <c r="T288" s="19">
        <f>Registro[[#This Row],[Mes 1]]+Registro[[#This Row],[Mes 2]]+Registro[[#This Row],[Mes 3]]</f>
        <v>55</v>
      </c>
      <c r="U288" s="19">
        <f>Registro[[#This Row],[Mes 4]]+Registro[[#This Row],[Mes 5]]+Registro[[#This Row],[Mes 6]]</f>
        <v>0</v>
      </c>
      <c r="V288" s="19">
        <f>Registro[[#This Row],[Mes 7]]+Registro[[#This Row],[Mes 8]]+Registro[[#This Row],[Mes 9]]</f>
        <v>0</v>
      </c>
      <c r="W288" s="20">
        <f>Registro[[#This Row],[Mes 10]]+Registro[[#This Row],[Mes 11]]+Registro[[#This Row],[Mes 12]]</f>
        <v>0</v>
      </c>
      <c r="X288" s="20">
        <f>SUM(Registro[[#This Row],[Trim I]],Registro[[#This Row],[Trim II]],Registro[[#This Row],[Trim III]],Registro[[#This Row],[Trim IV]])</f>
        <v>55</v>
      </c>
      <c r="Y288" s="22">
        <f>IFERROR((Registro[[#This Row],[Avance Total]]/Registro[[#This Row],[Meta]]),0)</f>
        <v>6.4177362893815634E-2</v>
      </c>
      <c r="Z288" s="22">
        <f>IFERROR((Registro[[#This Row],[Avance Total]]-Registro[[#This Row],[Línea Base 2025]])/Registro[[#This Row],[Línea Base 2025]],0)</f>
        <v>-0.17910447761194029</v>
      </c>
      <c r="AA288" s="20">
        <v>2026</v>
      </c>
    </row>
    <row r="289" spans="1:27" hidden="1">
      <c r="A289" s="14">
        <v>1023</v>
      </c>
      <c r="B289" s="15" t="s">
        <v>63</v>
      </c>
      <c r="C289" s="16">
        <v>112</v>
      </c>
      <c r="D289" s="16" t="s">
        <v>173</v>
      </c>
      <c r="E289" s="17" t="s">
        <v>7</v>
      </c>
      <c r="F289" s="24">
        <v>28</v>
      </c>
      <c r="G289" s="24">
        <v>98</v>
      </c>
      <c r="H289" s="19">
        <v>0</v>
      </c>
      <c r="I289" s="19">
        <v>0</v>
      </c>
      <c r="T289" s="19">
        <f>Registro[[#This Row],[Mes 1]]+Registro[[#This Row],[Mes 2]]+Registro[[#This Row],[Mes 3]]</f>
        <v>0</v>
      </c>
      <c r="U289" s="19">
        <f>Registro[[#This Row],[Mes 4]]+Registro[[#This Row],[Mes 5]]+Registro[[#This Row],[Mes 6]]</f>
        <v>0</v>
      </c>
      <c r="V289" s="19">
        <f>Registro[[#This Row],[Mes 7]]+Registro[[#This Row],[Mes 8]]+Registro[[#This Row],[Mes 9]]</f>
        <v>0</v>
      </c>
      <c r="W289" s="20">
        <f>Registro[[#This Row],[Mes 10]]+Registro[[#This Row],[Mes 11]]+Registro[[#This Row],[Mes 12]]</f>
        <v>0</v>
      </c>
      <c r="X289" s="20">
        <f>SUM(Registro[[#This Row],[Trim I]],Registro[[#This Row],[Trim II]],Registro[[#This Row],[Trim III]],Registro[[#This Row],[Trim IV]])</f>
        <v>0</v>
      </c>
      <c r="Y289" s="22">
        <f>IFERROR((Registro[[#This Row],[Avance Total]]/Registro[[#This Row],[Meta]]),0)</f>
        <v>0</v>
      </c>
      <c r="Z289" s="22">
        <f>IFERROR((Registro[[#This Row],[Avance Total]]-Registro[[#This Row],[Línea Base 2025]])/Registro[[#This Row],[Línea Base 2025]],0)</f>
        <v>-1</v>
      </c>
      <c r="AA289" s="20">
        <v>2026</v>
      </c>
    </row>
    <row r="290" spans="1:27" hidden="1">
      <c r="A290" s="14">
        <v>1023</v>
      </c>
      <c r="B290" s="15" t="s">
        <v>63</v>
      </c>
      <c r="C290" s="16">
        <v>113</v>
      </c>
      <c r="D290" s="16" t="s">
        <v>179</v>
      </c>
      <c r="E290" s="17" t="s">
        <v>178</v>
      </c>
      <c r="F290" s="24">
        <v>70</v>
      </c>
      <c r="G290" s="24">
        <v>905</v>
      </c>
      <c r="H290" s="19">
        <v>5</v>
      </c>
      <c r="I290" s="19">
        <v>19</v>
      </c>
      <c r="T290" s="19">
        <f>Registro[[#This Row],[Mes 1]]+Registro[[#This Row],[Mes 2]]+Registro[[#This Row],[Mes 3]]</f>
        <v>24</v>
      </c>
      <c r="U290" s="19">
        <f>Registro[[#This Row],[Mes 4]]+Registro[[#This Row],[Mes 5]]+Registro[[#This Row],[Mes 6]]</f>
        <v>0</v>
      </c>
      <c r="V290" s="19">
        <f>Registro[[#This Row],[Mes 7]]+Registro[[#This Row],[Mes 8]]+Registro[[#This Row],[Mes 9]]</f>
        <v>0</v>
      </c>
      <c r="W290" s="20">
        <f>Registro[[#This Row],[Mes 10]]+Registro[[#This Row],[Mes 11]]+Registro[[#This Row],[Mes 12]]</f>
        <v>0</v>
      </c>
      <c r="X290" s="20">
        <f>SUM(Registro[[#This Row],[Trim I]],Registro[[#This Row],[Trim II]],Registro[[#This Row],[Trim III]],Registro[[#This Row],[Trim IV]])</f>
        <v>24</v>
      </c>
      <c r="Y290" s="22">
        <f>IFERROR((Registro[[#This Row],[Avance Total]]/Registro[[#This Row],[Meta]]),0)</f>
        <v>2.6519337016574586E-2</v>
      </c>
      <c r="Z290" s="22">
        <f>IFERROR((Registro[[#This Row],[Avance Total]]-Registro[[#This Row],[Línea Base 2025]])/Registro[[#This Row],[Línea Base 2025]],0)</f>
        <v>-0.65714285714285714</v>
      </c>
      <c r="AA290" s="20">
        <v>2026</v>
      </c>
    </row>
    <row r="291" spans="1:27" hidden="1">
      <c r="A291" s="14">
        <v>1023</v>
      </c>
      <c r="B291" s="15" t="s">
        <v>63</v>
      </c>
      <c r="C291" s="16">
        <v>114</v>
      </c>
      <c r="D291" s="16" t="s">
        <v>181</v>
      </c>
      <c r="E291" s="17" t="s">
        <v>180</v>
      </c>
      <c r="F291" s="24">
        <v>27</v>
      </c>
      <c r="G291" s="24">
        <v>64</v>
      </c>
      <c r="H291" s="19">
        <v>20</v>
      </c>
      <c r="I291" s="19">
        <v>20</v>
      </c>
      <c r="T291" s="19">
        <f>Registro[[#This Row],[Mes 1]]+Registro[[#This Row],[Mes 2]]+Registro[[#This Row],[Mes 3]]</f>
        <v>40</v>
      </c>
      <c r="U291" s="19">
        <f>Registro[[#This Row],[Mes 4]]+Registro[[#This Row],[Mes 5]]+Registro[[#This Row],[Mes 6]]</f>
        <v>0</v>
      </c>
      <c r="V291" s="19">
        <f>Registro[[#This Row],[Mes 7]]+Registro[[#This Row],[Mes 8]]+Registro[[#This Row],[Mes 9]]</f>
        <v>0</v>
      </c>
      <c r="W291" s="20">
        <f>Registro[[#This Row],[Mes 10]]+Registro[[#This Row],[Mes 11]]+Registro[[#This Row],[Mes 12]]</f>
        <v>0</v>
      </c>
      <c r="X291" s="20">
        <f>SUM(Registro[[#This Row],[Trim I]],Registro[[#This Row],[Trim II]],Registro[[#This Row],[Trim III]],Registro[[#This Row],[Trim IV]])</f>
        <v>40</v>
      </c>
      <c r="Y291" s="22">
        <f>IFERROR((Registro[[#This Row],[Avance Total]]/Registro[[#This Row],[Meta]]),0)</f>
        <v>0.625</v>
      </c>
      <c r="Z291" s="22">
        <f>IFERROR((Registro[[#This Row],[Avance Total]]-Registro[[#This Row],[Línea Base 2025]])/Registro[[#This Row],[Línea Base 2025]],0)</f>
        <v>0.48148148148148145</v>
      </c>
      <c r="AA291" s="20">
        <v>2026</v>
      </c>
    </row>
    <row r="292" spans="1:27" hidden="1">
      <c r="A292" s="14">
        <v>1023</v>
      </c>
      <c r="B292" s="15" t="s">
        <v>63</v>
      </c>
      <c r="C292" s="16">
        <v>115</v>
      </c>
      <c r="D292" s="16" t="s">
        <v>183</v>
      </c>
      <c r="E292" s="17" t="s">
        <v>182</v>
      </c>
      <c r="F292" s="24">
        <v>6</v>
      </c>
      <c r="G292" s="24">
        <v>140</v>
      </c>
      <c r="H292" s="19">
        <v>0</v>
      </c>
      <c r="I292" s="19">
        <v>85</v>
      </c>
      <c r="T292" s="19">
        <f>Registro[[#This Row],[Mes 1]]+Registro[[#This Row],[Mes 2]]+Registro[[#This Row],[Mes 3]]</f>
        <v>85</v>
      </c>
      <c r="U292" s="19">
        <f>Registro[[#This Row],[Mes 4]]+Registro[[#This Row],[Mes 5]]+Registro[[#This Row],[Mes 6]]</f>
        <v>0</v>
      </c>
      <c r="V292" s="19">
        <f>Registro[[#This Row],[Mes 7]]+Registro[[#This Row],[Mes 8]]+Registro[[#This Row],[Mes 9]]</f>
        <v>0</v>
      </c>
      <c r="W292" s="20">
        <f>Registro[[#This Row],[Mes 10]]+Registro[[#This Row],[Mes 11]]+Registro[[#This Row],[Mes 12]]</f>
        <v>0</v>
      </c>
      <c r="X292" s="20">
        <f>SUM(Registro[[#This Row],[Trim I]],Registro[[#This Row],[Trim II]],Registro[[#This Row],[Trim III]],Registro[[#This Row],[Trim IV]])</f>
        <v>85</v>
      </c>
      <c r="Y292" s="22">
        <f>IFERROR((Registro[[#This Row],[Avance Total]]/Registro[[#This Row],[Meta]]),0)</f>
        <v>0.6071428571428571</v>
      </c>
      <c r="Z292" s="22">
        <f>IFERROR((Registro[[#This Row],[Avance Total]]-Registro[[#This Row],[Línea Base 2025]])/Registro[[#This Row],[Línea Base 2025]],0)</f>
        <v>13.166666666666666</v>
      </c>
      <c r="AA292" s="20">
        <v>2026</v>
      </c>
    </row>
    <row r="293" spans="1:27">
      <c r="A293" s="14">
        <v>1023</v>
      </c>
      <c r="B293" s="15" t="s">
        <v>63</v>
      </c>
      <c r="C293" s="16">
        <v>116</v>
      </c>
      <c r="D293" s="16" t="s">
        <v>185</v>
      </c>
      <c r="E293" s="17" t="s">
        <v>184</v>
      </c>
      <c r="F293" s="24">
        <v>2</v>
      </c>
      <c r="G293" s="24">
        <v>10.120000000000001</v>
      </c>
      <c r="H293" s="19">
        <v>2</v>
      </c>
      <c r="I293" s="19">
        <v>0</v>
      </c>
      <c r="T293" s="19">
        <f>Registro[[#This Row],[Mes 1]]+Registro[[#This Row],[Mes 2]]+Registro[[#This Row],[Mes 3]]</f>
        <v>2</v>
      </c>
      <c r="U293" s="19">
        <f>Registro[[#This Row],[Mes 4]]+Registro[[#This Row],[Mes 5]]+Registro[[#This Row],[Mes 6]]</f>
        <v>0</v>
      </c>
      <c r="V293" s="19">
        <f>Registro[[#This Row],[Mes 7]]+Registro[[#This Row],[Mes 8]]+Registro[[#This Row],[Mes 9]]</f>
        <v>0</v>
      </c>
      <c r="W293" s="20">
        <f>Registro[[#This Row],[Mes 10]]+Registro[[#This Row],[Mes 11]]+Registro[[#This Row],[Mes 12]]</f>
        <v>0</v>
      </c>
      <c r="X293" s="20">
        <f>SUM(Registro[[#This Row],[Trim I]],Registro[[#This Row],[Trim II]],Registro[[#This Row],[Trim III]],Registro[[#This Row],[Trim IV]])</f>
        <v>2</v>
      </c>
      <c r="Y293" s="22">
        <f>IFERROR((Registro[[#This Row],[Avance Total]]/Registro[[#This Row],[Meta]]),0)</f>
        <v>0.19762845849802368</v>
      </c>
      <c r="Z293" s="22">
        <f>IFERROR((Registro[[#This Row],[Avance Total]]-Registro[[#This Row],[Línea Base 2025]])/Registro[[#This Row],[Línea Base 2025]],0)</f>
        <v>0</v>
      </c>
      <c r="AA293" s="20">
        <v>2026</v>
      </c>
    </row>
    <row r="294" spans="1:27" hidden="1">
      <c r="A294" s="14">
        <v>1023</v>
      </c>
      <c r="B294" s="15" t="s">
        <v>63</v>
      </c>
      <c r="C294" s="16">
        <v>117</v>
      </c>
      <c r="D294" s="16" t="s">
        <v>187</v>
      </c>
      <c r="E294" s="17" t="s">
        <v>186</v>
      </c>
      <c r="F294" s="24">
        <v>0</v>
      </c>
      <c r="G294" s="24">
        <v>6.14</v>
      </c>
      <c r="H294" s="19">
        <v>0</v>
      </c>
      <c r="I294" s="19">
        <v>0</v>
      </c>
      <c r="T294" s="19">
        <f>Registro[[#This Row],[Mes 1]]+Registro[[#This Row],[Mes 2]]+Registro[[#This Row],[Mes 3]]</f>
        <v>0</v>
      </c>
      <c r="U294" s="19">
        <f>Registro[[#This Row],[Mes 4]]+Registro[[#This Row],[Mes 5]]+Registro[[#This Row],[Mes 6]]</f>
        <v>0</v>
      </c>
      <c r="V294" s="19">
        <f>Registro[[#This Row],[Mes 7]]+Registro[[#This Row],[Mes 8]]+Registro[[#This Row],[Mes 9]]</f>
        <v>0</v>
      </c>
      <c r="W294" s="20">
        <f>Registro[[#This Row],[Mes 10]]+Registro[[#This Row],[Mes 11]]+Registro[[#This Row],[Mes 12]]</f>
        <v>0</v>
      </c>
      <c r="X294" s="20">
        <f>SUM(Registro[[#This Row],[Trim I]],Registro[[#This Row],[Trim II]],Registro[[#This Row],[Trim III]],Registro[[#This Row],[Trim IV]])</f>
        <v>0</v>
      </c>
      <c r="Y294" s="22">
        <f>IFERROR((Registro[[#This Row],[Avance Total]]/Registro[[#This Row],[Meta]]),0)</f>
        <v>0</v>
      </c>
      <c r="Z294" s="22">
        <f>IFERROR((Registro[[#This Row],[Avance Total]]-Registro[[#This Row],[Línea Base 2025]])/Registro[[#This Row],[Línea Base 2025]],0)</f>
        <v>0</v>
      </c>
      <c r="AA294" s="20">
        <v>2026</v>
      </c>
    </row>
    <row r="295" spans="1:27" hidden="1">
      <c r="A295" s="14">
        <v>1023</v>
      </c>
      <c r="B295" s="15" t="s">
        <v>63</v>
      </c>
      <c r="C295" s="16">
        <v>118</v>
      </c>
      <c r="D295" s="16" t="s">
        <v>188</v>
      </c>
      <c r="E295" s="17" t="s">
        <v>9</v>
      </c>
      <c r="F295" s="24">
        <v>0</v>
      </c>
      <c r="G295" s="24">
        <v>7</v>
      </c>
      <c r="H295" s="19">
        <v>0</v>
      </c>
      <c r="I295" s="19">
        <v>0</v>
      </c>
      <c r="T295" s="19">
        <f>Registro[[#This Row],[Mes 1]]+Registro[[#This Row],[Mes 2]]+Registro[[#This Row],[Mes 3]]</f>
        <v>0</v>
      </c>
      <c r="U295" s="19">
        <f>Registro[[#This Row],[Mes 4]]+Registro[[#This Row],[Mes 5]]+Registro[[#This Row],[Mes 6]]</f>
        <v>0</v>
      </c>
      <c r="V295" s="19">
        <f>Registro[[#This Row],[Mes 7]]+Registro[[#This Row],[Mes 8]]+Registro[[#This Row],[Mes 9]]</f>
        <v>0</v>
      </c>
      <c r="W295" s="20">
        <f>Registro[[#This Row],[Mes 10]]+Registro[[#This Row],[Mes 11]]+Registro[[#This Row],[Mes 12]]</f>
        <v>0</v>
      </c>
      <c r="X295" s="20">
        <f>SUM(Registro[[#This Row],[Trim I]],Registro[[#This Row],[Trim II]],Registro[[#This Row],[Trim III]],Registro[[#This Row],[Trim IV]])</f>
        <v>0</v>
      </c>
      <c r="Y295" s="22">
        <f>IFERROR((Registro[[#This Row],[Avance Total]]/Registro[[#This Row],[Meta]]),0)</f>
        <v>0</v>
      </c>
      <c r="Z295" s="22">
        <f>IFERROR((Registro[[#This Row],[Avance Total]]-Registro[[#This Row],[Línea Base 2025]])/Registro[[#This Row],[Línea Base 2025]],0)</f>
        <v>0</v>
      </c>
      <c r="AA295" s="20">
        <v>2026</v>
      </c>
    </row>
    <row r="296" spans="1:27" hidden="1">
      <c r="A296" s="14">
        <v>1023</v>
      </c>
      <c r="B296" s="15" t="s">
        <v>63</v>
      </c>
      <c r="C296" s="16">
        <v>119</v>
      </c>
      <c r="D296" s="16" t="s">
        <v>190</v>
      </c>
      <c r="E296" s="17" t="s">
        <v>189</v>
      </c>
      <c r="F296" s="24">
        <v>0</v>
      </c>
      <c r="G296" s="24">
        <v>8.0960000000000019</v>
      </c>
      <c r="H296" s="19">
        <v>0</v>
      </c>
      <c r="I296" s="19">
        <v>0</v>
      </c>
      <c r="T296" s="19">
        <f>Registro[[#This Row],[Mes 1]]+Registro[[#This Row],[Mes 2]]+Registro[[#This Row],[Mes 3]]</f>
        <v>0</v>
      </c>
      <c r="U296" s="19">
        <f>Registro[[#This Row],[Mes 4]]+Registro[[#This Row],[Mes 5]]+Registro[[#This Row],[Mes 6]]</f>
        <v>0</v>
      </c>
      <c r="V296" s="19">
        <f>Registro[[#This Row],[Mes 7]]+Registro[[#This Row],[Mes 8]]+Registro[[#This Row],[Mes 9]]</f>
        <v>0</v>
      </c>
      <c r="W296" s="20">
        <f>Registro[[#This Row],[Mes 10]]+Registro[[#This Row],[Mes 11]]+Registro[[#This Row],[Mes 12]]</f>
        <v>0</v>
      </c>
      <c r="X296" s="20">
        <f>SUM(Registro[[#This Row],[Trim I]],Registro[[#This Row],[Trim II]],Registro[[#This Row],[Trim III]],Registro[[#This Row],[Trim IV]])</f>
        <v>0</v>
      </c>
      <c r="Y296" s="22">
        <f>IFERROR((Registro[[#This Row],[Avance Total]]/Registro[[#This Row],[Meta]]),0)</f>
        <v>0</v>
      </c>
      <c r="Z296" s="22">
        <f>IFERROR((Registro[[#This Row],[Avance Total]]-Registro[[#This Row],[Línea Base 2025]])/Registro[[#This Row],[Línea Base 2025]],0)</f>
        <v>0</v>
      </c>
      <c r="AA296" s="20">
        <v>2026</v>
      </c>
    </row>
    <row r="297" spans="1:27" hidden="1">
      <c r="A297" s="14">
        <v>1023</v>
      </c>
      <c r="B297" s="15" t="s">
        <v>63</v>
      </c>
      <c r="C297" s="16">
        <v>120</v>
      </c>
      <c r="D297" s="16" t="s">
        <v>192</v>
      </c>
      <c r="E297" s="17" t="s">
        <v>191</v>
      </c>
      <c r="F297" s="24">
        <v>55</v>
      </c>
      <c r="G297" s="24">
        <v>50</v>
      </c>
      <c r="H297" s="19">
        <v>0</v>
      </c>
      <c r="I297" s="19">
        <v>0</v>
      </c>
      <c r="T297" s="19">
        <f>Registro[[#This Row],[Mes 1]]+Registro[[#This Row],[Mes 2]]+Registro[[#This Row],[Mes 3]]</f>
        <v>0</v>
      </c>
      <c r="U297" s="19">
        <f>Registro[[#This Row],[Mes 4]]+Registro[[#This Row],[Mes 5]]+Registro[[#This Row],[Mes 6]]</f>
        <v>0</v>
      </c>
      <c r="V297" s="19">
        <f>Registro[[#This Row],[Mes 7]]+Registro[[#This Row],[Mes 8]]+Registro[[#This Row],[Mes 9]]</f>
        <v>0</v>
      </c>
      <c r="W297" s="20">
        <f>Registro[[#This Row],[Mes 10]]+Registro[[#This Row],[Mes 11]]+Registro[[#This Row],[Mes 12]]</f>
        <v>0</v>
      </c>
      <c r="X297" s="20">
        <f>SUM(Registro[[#This Row],[Trim I]],Registro[[#This Row],[Trim II]],Registro[[#This Row],[Trim III]],Registro[[#This Row],[Trim IV]])</f>
        <v>0</v>
      </c>
      <c r="Y297" s="22">
        <f>IFERROR((Registro[[#This Row],[Avance Total]]/Registro[[#This Row],[Meta]]),0)</f>
        <v>0</v>
      </c>
      <c r="Z297" s="22">
        <f>IFERROR((Registro[[#This Row],[Avance Total]]-Registro[[#This Row],[Línea Base 2025]])/Registro[[#This Row],[Línea Base 2025]],0)</f>
        <v>-1</v>
      </c>
      <c r="AA297" s="20">
        <v>2026</v>
      </c>
    </row>
    <row r="298" spans="1:27" hidden="1">
      <c r="A298" s="14">
        <v>1023</v>
      </c>
      <c r="B298" s="15" t="s">
        <v>63</v>
      </c>
      <c r="C298" s="16">
        <v>121</v>
      </c>
      <c r="D298" s="16" t="s">
        <v>194</v>
      </c>
      <c r="E298" s="17" t="s">
        <v>193</v>
      </c>
      <c r="F298" s="24">
        <v>4</v>
      </c>
      <c r="G298" s="24">
        <v>7</v>
      </c>
      <c r="H298" s="19">
        <v>0</v>
      </c>
      <c r="I298" s="19">
        <v>3</v>
      </c>
      <c r="T298" s="19">
        <f>Registro[[#This Row],[Mes 1]]+Registro[[#This Row],[Mes 2]]+Registro[[#This Row],[Mes 3]]</f>
        <v>3</v>
      </c>
      <c r="U298" s="19">
        <f>Registro[[#This Row],[Mes 4]]+Registro[[#This Row],[Mes 5]]+Registro[[#This Row],[Mes 6]]</f>
        <v>0</v>
      </c>
      <c r="V298" s="19">
        <f>Registro[[#This Row],[Mes 7]]+Registro[[#This Row],[Mes 8]]+Registro[[#This Row],[Mes 9]]</f>
        <v>0</v>
      </c>
      <c r="W298" s="20">
        <f>Registro[[#This Row],[Mes 10]]+Registro[[#This Row],[Mes 11]]+Registro[[#This Row],[Mes 12]]</f>
        <v>0</v>
      </c>
      <c r="X298" s="20">
        <f>SUM(Registro[[#This Row],[Trim I]],Registro[[#This Row],[Trim II]],Registro[[#This Row],[Trim III]],Registro[[#This Row],[Trim IV]])</f>
        <v>3</v>
      </c>
      <c r="Y298" s="22">
        <f>IFERROR((Registro[[#This Row],[Avance Total]]/Registro[[#This Row],[Meta]]),0)</f>
        <v>0.42857142857142855</v>
      </c>
      <c r="Z298" s="22">
        <f>IFERROR((Registro[[#This Row],[Avance Total]]-Registro[[#This Row],[Línea Base 2025]])/Registro[[#This Row],[Línea Base 2025]],0)</f>
        <v>-0.25</v>
      </c>
      <c r="AA298" s="20">
        <v>2026</v>
      </c>
    </row>
    <row r="299" spans="1:27" hidden="1">
      <c r="A299" s="14">
        <v>1023</v>
      </c>
      <c r="B299" s="15" t="s">
        <v>63</v>
      </c>
      <c r="C299" s="16">
        <v>122</v>
      </c>
      <c r="D299" s="16" t="s">
        <v>196</v>
      </c>
      <c r="E299" s="17" t="s">
        <v>195</v>
      </c>
      <c r="F299" s="24">
        <v>4</v>
      </c>
      <c r="G299" s="24">
        <v>6</v>
      </c>
      <c r="H299" s="19">
        <v>0</v>
      </c>
      <c r="I299" s="19">
        <v>0</v>
      </c>
      <c r="T299" s="19">
        <f>Registro[[#This Row],[Mes 1]]+Registro[[#This Row],[Mes 2]]+Registro[[#This Row],[Mes 3]]</f>
        <v>0</v>
      </c>
      <c r="U299" s="19">
        <f>Registro[[#This Row],[Mes 4]]+Registro[[#This Row],[Mes 5]]+Registro[[#This Row],[Mes 6]]</f>
        <v>0</v>
      </c>
      <c r="V299" s="19">
        <f>Registro[[#This Row],[Mes 7]]+Registro[[#This Row],[Mes 8]]+Registro[[#This Row],[Mes 9]]</f>
        <v>0</v>
      </c>
      <c r="W299" s="20">
        <f>Registro[[#This Row],[Mes 10]]+Registro[[#This Row],[Mes 11]]+Registro[[#This Row],[Mes 12]]</f>
        <v>0</v>
      </c>
      <c r="X299" s="20">
        <f>SUM(Registro[[#This Row],[Trim I]],Registro[[#This Row],[Trim II]],Registro[[#This Row],[Trim III]],Registro[[#This Row],[Trim IV]])</f>
        <v>0</v>
      </c>
      <c r="Y299" s="22">
        <f>IFERROR((Registro[[#This Row],[Avance Total]]/Registro[[#This Row],[Meta]]),0)</f>
        <v>0</v>
      </c>
      <c r="Z299" s="22">
        <f>IFERROR((Registro[[#This Row],[Avance Total]]-Registro[[#This Row],[Línea Base 2025]])/Registro[[#This Row],[Línea Base 2025]],0)</f>
        <v>-1</v>
      </c>
      <c r="AA299" s="20">
        <v>2026</v>
      </c>
    </row>
    <row r="300" spans="1:27" hidden="1">
      <c r="A300" s="14">
        <v>1023</v>
      </c>
      <c r="B300" s="15" t="s">
        <v>63</v>
      </c>
      <c r="C300" s="16">
        <v>123</v>
      </c>
      <c r="D300" s="16" t="s">
        <v>198</v>
      </c>
      <c r="E300" s="17" t="s">
        <v>197</v>
      </c>
      <c r="F300" s="24">
        <v>0</v>
      </c>
      <c r="G300" s="24">
        <v>15</v>
      </c>
      <c r="H300" s="19">
        <v>0</v>
      </c>
      <c r="I300" s="19">
        <v>0</v>
      </c>
      <c r="T300" s="19">
        <f>Registro[[#This Row],[Mes 1]]+Registro[[#This Row],[Mes 2]]+Registro[[#This Row],[Mes 3]]</f>
        <v>0</v>
      </c>
      <c r="U300" s="19">
        <f>Registro[[#This Row],[Mes 4]]+Registro[[#This Row],[Mes 5]]+Registro[[#This Row],[Mes 6]]</f>
        <v>0</v>
      </c>
      <c r="V300" s="19">
        <f>Registro[[#This Row],[Mes 7]]+Registro[[#This Row],[Mes 8]]+Registro[[#This Row],[Mes 9]]</f>
        <v>0</v>
      </c>
      <c r="W300" s="20">
        <f>Registro[[#This Row],[Mes 10]]+Registro[[#This Row],[Mes 11]]+Registro[[#This Row],[Mes 12]]</f>
        <v>0</v>
      </c>
      <c r="X300" s="20">
        <f>SUM(Registro[[#This Row],[Trim I]],Registro[[#This Row],[Trim II]],Registro[[#This Row],[Trim III]],Registro[[#This Row],[Trim IV]])</f>
        <v>0</v>
      </c>
      <c r="Y300" s="22">
        <f>IFERROR((Registro[[#This Row],[Avance Total]]/Registro[[#This Row],[Meta]]),0)</f>
        <v>0</v>
      </c>
      <c r="Z300" s="22">
        <f>IFERROR((Registro[[#This Row],[Avance Total]]-Registro[[#This Row],[Línea Base 2025]])/Registro[[#This Row],[Línea Base 2025]],0)</f>
        <v>0</v>
      </c>
      <c r="AA300" s="20">
        <v>2026</v>
      </c>
    </row>
    <row r="301" spans="1:27" hidden="1">
      <c r="A301" s="14">
        <v>1024</v>
      </c>
      <c r="B301" s="15" t="s">
        <v>64</v>
      </c>
      <c r="C301" s="16">
        <v>111</v>
      </c>
      <c r="D301" s="16" t="s">
        <v>171</v>
      </c>
      <c r="E301" s="17" t="s">
        <v>172</v>
      </c>
      <c r="F301" s="24">
        <v>18</v>
      </c>
      <c r="G301" s="24">
        <v>213</v>
      </c>
      <c r="H301" s="19">
        <v>3</v>
      </c>
      <c r="I301" s="19">
        <v>3</v>
      </c>
      <c r="T301" s="19">
        <f>Registro[[#This Row],[Mes 1]]+Registro[[#This Row],[Mes 2]]+Registro[[#This Row],[Mes 3]]</f>
        <v>6</v>
      </c>
      <c r="U301" s="19">
        <f>Registro[[#This Row],[Mes 4]]+Registro[[#This Row],[Mes 5]]+Registro[[#This Row],[Mes 6]]</f>
        <v>0</v>
      </c>
      <c r="V301" s="19">
        <f>Registro[[#This Row],[Mes 7]]+Registro[[#This Row],[Mes 8]]+Registro[[#This Row],[Mes 9]]</f>
        <v>0</v>
      </c>
      <c r="W301" s="20">
        <f>Registro[[#This Row],[Mes 10]]+Registro[[#This Row],[Mes 11]]+Registro[[#This Row],[Mes 12]]</f>
        <v>0</v>
      </c>
      <c r="X301" s="20">
        <f>SUM(Registro[[#This Row],[Trim I]],Registro[[#This Row],[Trim II]],Registro[[#This Row],[Trim III]],Registro[[#This Row],[Trim IV]])</f>
        <v>6</v>
      </c>
      <c r="Y301" s="22">
        <f>IFERROR((Registro[[#This Row],[Avance Total]]/Registro[[#This Row],[Meta]]),0)</f>
        <v>2.8169014084507043E-2</v>
      </c>
      <c r="Z301" s="22">
        <f>IFERROR((Registro[[#This Row],[Avance Total]]-Registro[[#This Row],[Línea Base 2025]])/Registro[[#This Row],[Línea Base 2025]],0)</f>
        <v>-0.66666666666666663</v>
      </c>
      <c r="AA301" s="20">
        <v>2026</v>
      </c>
    </row>
    <row r="302" spans="1:27" hidden="1">
      <c r="A302" s="14">
        <v>1024</v>
      </c>
      <c r="B302" s="15" t="s">
        <v>64</v>
      </c>
      <c r="C302" s="16">
        <v>112</v>
      </c>
      <c r="D302" s="16" t="s">
        <v>173</v>
      </c>
      <c r="E302" s="17" t="s">
        <v>7</v>
      </c>
      <c r="F302" s="24">
        <v>25</v>
      </c>
      <c r="G302" s="24">
        <v>46</v>
      </c>
      <c r="H302" s="19">
        <v>0</v>
      </c>
      <c r="I302" s="19">
        <v>0</v>
      </c>
      <c r="T302" s="19">
        <f>Registro[[#This Row],[Mes 1]]+Registro[[#This Row],[Mes 2]]+Registro[[#This Row],[Mes 3]]</f>
        <v>0</v>
      </c>
      <c r="U302" s="19">
        <f>Registro[[#This Row],[Mes 4]]+Registro[[#This Row],[Mes 5]]+Registro[[#This Row],[Mes 6]]</f>
        <v>0</v>
      </c>
      <c r="V302" s="19">
        <f>Registro[[#This Row],[Mes 7]]+Registro[[#This Row],[Mes 8]]+Registro[[#This Row],[Mes 9]]</f>
        <v>0</v>
      </c>
      <c r="W302" s="20">
        <f>Registro[[#This Row],[Mes 10]]+Registro[[#This Row],[Mes 11]]+Registro[[#This Row],[Mes 12]]</f>
        <v>0</v>
      </c>
      <c r="X302" s="20">
        <f>SUM(Registro[[#This Row],[Trim I]],Registro[[#This Row],[Trim II]],Registro[[#This Row],[Trim III]],Registro[[#This Row],[Trim IV]])</f>
        <v>0</v>
      </c>
      <c r="Y302" s="22">
        <f>IFERROR((Registro[[#This Row],[Avance Total]]/Registro[[#This Row],[Meta]]),0)</f>
        <v>0</v>
      </c>
      <c r="Z302" s="22">
        <f>IFERROR((Registro[[#This Row],[Avance Total]]-Registro[[#This Row],[Línea Base 2025]])/Registro[[#This Row],[Línea Base 2025]],0)</f>
        <v>-1</v>
      </c>
      <c r="AA302" s="20">
        <v>2026</v>
      </c>
    </row>
    <row r="303" spans="1:27" hidden="1">
      <c r="A303" s="14">
        <v>1024</v>
      </c>
      <c r="B303" s="15" t="s">
        <v>64</v>
      </c>
      <c r="C303" s="16">
        <v>113</v>
      </c>
      <c r="D303" s="16" t="s">
        <v>179</v>
      </c>
      <c r="E303" s="17" t="s">
        <v>178</v>
      </c>
      <c r="F303" s="24">
        <v>12</v>
      </c>
      <c r="G303" s="24">
        <v>296</v>
      </c>
      <c r="H303" s="19">
        <v>1</v>
      </c>
      <c r="I303" s="19">
        <v>4</v>
      </c>
      <c r="T303" s="19">
        <f>Registro[[#This Row],[Mes 1]]+Registro[[#This Row],[Mes 2]]+Registro[[#This Row],[Mes 3]]</f>
        <v>5</v>
      </c>
      <c r="U303" s="19">
        <f>Registro[[#This Row],[Mes 4]]+Registro[[#This Row],[Mes 5]]+Registro[[#This Row],[Mes 6]]</f>
        <v>0</v>
      </c>
      <c r="V303" s="19">
        <f>Registro[[#This Row],[Mes 7]]+Registro[[#This Row],[Mes 8]]+Registro[[#This Row],[Mes 9]]</f>
        <v>0</v>
      </c>
      <c r="W303" s="20">
        <f>Registro[[#This Row],[Mes 10]]+Registro[[#This Row],[Mes 11]]+Registro[[#This Row],[Mes 12]]</f>
        <v>0</v>
      </c>
      <c r="X303" s="20">
        <f>SUM(Registro[[#This Row],[Trim I]],Registro[[#This Row],[Trim II]],Registro[[#This Row],[Trim III]],Registro[[#This Row],[Trim IV]])</f>
        <v>5</v>
      </c>
      <c r="Y303" s="22">
        <f>IFERROR((Registro[[#This Row],[Avance Total]]/Registro[[#This Row],[Meta]]),0)</f>
        <v>1.6891891891891893E-2</v>
      </c>
      <c r="Z303" s="22">
        <f>IFERROR((Registro[[#This Row],[Avance Total]]-Registro[[#This Row],[Línea Base 2025]])/Registro[[#This Row],[Línea Base 2025]],0)</f>
        <v>-0.58333333333333337</v>
      </c>
      <c r="AA303" s="20">
        <v>2026</v>
      </c>
    </row>
    <row r="304" spans="1:27" hidden="1">
      <c r="A304" s="14">
        <v>1024</v>
      </c>
      <c r="B304" s="15" t="s">
        <v>64</v>
      </c>
      <c r="C304" s="16">
        <v>114</v>
      </c>
      <c r="D304" s="16" t="s">
        <v>181</v>
      </c>
      <c r="E304" s="17" t="s">
        <v>180</v>
      </c>
      <c r="F304" s="24">
        <v>13</v>
      </c>
      <c r="G304" s="24">
        <v>10.799999999999999</v>
      </c>
      <c r="H304" s="19">
        <v>0</v>
      </c>
      <c r="I304" s="19">
        <v>0</v>
      </c>
      <c r="T304" s="19">
        <f>Registro[[#This Row],[Mes 1]]+Registro[[#This Row],[Mes 2]]+Registro[[#This Row],[Mes 3]]</f>
        <v>0</v>
      </c>
      <c r="U304" s="19">
        <f>Registro[[#This Row],[Mes 4]]+Registro[[#This Row],[Mes 5]]+Registro[[#This Row],[Mes 6]]</f>
        <v>0</v>
      </c>
      <c r="V304" s="19">
        <f>Registro[[#This Row],[Mes 7]]+Registro[[#This Row],[Mes 8]]+Registro[[#This Row],[Mes 9]]</f>
        <v>0</v>
      </c>
      <c r="W304" s="20">
        <f>Registro[[#This Row],[Mes 10]]+Registro[[#This Row],[Mes 11]]+Registro[[#This Row],[Mes 12]]</f>
        <v>0</v>
      </c>
      <c r="X304" s="20">
        <f>SUM(Registro[[#This Row],[Trim I]],Registro[[#This Row],[Trim II]],Registro[[#This Row],[Trim III]],Registro[[#This Row],[Trim IV]])</f>
        <v>0</v>
      </c>
      <c r="Y304" s="22">
        <f>IFERROR((Registro[[#This Row],[Avance Total]]/Registro[[#This Row],[Meta]]),0)</f>
        <v>0</v>
      </c>
      <c r="Z304" s="22">
        <f>IFERROR((Registro[[#This Row],[Avance Total]]-Registro[[#This Row],[Línea Base 2025]])/Registro[[#This Row],[Línea Base 2025]],0)</f>
        <v>-1</v>
      </c>
      <c r="AA304" s="20">
        <v>2026</v>
      </c>
    </row>
    <row r="305" spans="1:27" hidden="1">
      <c r="A305" s="14">
        <v>1024</v>
      </c>
      <c r="B305" s="15" t="s">
        <v>64</v>
      </c>
      <c r="C305" s="16">
        <v>115</v>
      </c>
      <c r="D305" s="16" t="s">
        <v>183</v>
      </c>
      <c r="E305" s="17" t="s">
        <v>182</v>
      </c>
      <c r="F305" s="24">
        <v>18</v>
      </c>
      <c r="G305" s="24">
        <v>80</v>
      </c>
      <c r="H305" s="19">
        <v>0</v>
      </c>
      <c r="I305" s="19">
        <v>50</v>
      </c>
      <c r="T305" s="19">
        <f>Registro[[#This Row],[Mes 1]]+Registro[[#This Row],[Mes 2]]+Registro[[#This Row],[Mes 3]]</f>
        <v>50</v>
      </c>
      <c r="U305" s="19">
        <f>Registro[[#This Row],[Mes 4]]+Registro[[#This Row],[Mes 5]]+Registro[[#This Row],[Mes 6]]</f>
        <v>0</v>
      </c>
      <c r="V305" s="19">
        <f>Registro[[#This Row],[Mes 7]]+Registro[[#This Row],[Mes 8]]+Registro[[#This Row],[Mes 9]]</f>
        <v>0</v>
      </c>
      <c r="W305" s="20">
        <f>Registro[[#This Row],[Mes 10]]+Registro[[#This Row],[Mes 11]]+Registro[[#This Row],[Mes 12]]</f>
        <v>0</v>
      </c>
      <c r="X305" s="20">
        <f>SUM(Registro[[#This Row],[Trim I]],Registro[[#This Row],[Trim II]],Registro[[#This Row],[Trim III]],Registro[[#This Row],[Trim IV]])</f>
        <v>50</v>
      </c>
      <c r="Y305" s="22">
        <f>IFERROR((Registro[[#This Row],[Avance Total]]/Registro[[#This Row],[Meta]]),0)</f>
        <v>0.625</v>
      </c>
      <c r="Z305" s="22">
        <f>IFERROR((Registro[[#This Row],[Avance Total]]-Registro[[#This Row],[Línea Base 2025]])/Registro[[#This Row],[Línea Base 2025]],0)</f>
        <v>1.7777777777777777</v>
      </c>
      <c r="AA305" s="20">
        <v>2026</v>
      </c>
    </row>
    <row r="306" spans="1:27">
      <c r="A306" s="14">
        <v>1024</v>
      </c>
      <c r="B306" s="15" t="s">
        <v>64</v>
      </c>
      <c r="C306" s="16">
        <v>116</v>
      </c>
      <c r="D306" s="16" t="s">
        <v>185</v>
      </c>
      <c r="E306" s="17" t="s">
        <v>184</v>
      </c>
      <c r="F306" s="24">
        <v>1</v>
      </c>
      <c r="G306" s="24">
        <v>5.0600000000000005</v>
      </c>
      <c r="H306" s="19">
        <v>1</v>
      </c>
      <c r="I306" s="19">
        <v>0</v>
      </c>
      <c r="T306" s="19">
        <f>Registro[[#This Row],[Mes 1]]+Registro[[#This Row],[Mes 2]]+Registro[[#This Row],[Mes 3]]</f>
        <v>1</v>
      </c>
      <c r="U306" s="19">
        <f>Registro[[#This Row],[Mes 4]]+Registro[[#This Row],[Mes 5]]+Registro[[#This Row],[Mes 6]]</f>
        <v>0</v>
      </c>
      <c r="V306" s="19">
        <f>Registro[[#This Row],[Mes 7]]+Registro[[#This Row],[Mes 8]]+Registro[[#This Row],[Mes 9]]</f>
        <v>0</v>
      </c>
      <c r="W306" s="20">
        <f>Registro[[#This Row],[Mes 10]]+Registro[[#This Row],[Mes 11]]+Registro[[#This Row],[Mes 12]]</f>
        <v>0</v>
      </c>
      <c r="X306" s="20">
        <f>SUM(Registro[[#This Row],[Trim I]],Registro[[#This Row],[Trim II]],Registro[[#This Row],[Trim III]],Registro[[#This Row],[Trim IV]])</f>
        <v>1</v>
      </c>
      <c r="Y306" s="22">
        <f>IFERROR((Registro[[#This Row],[Avance Total]]/Registro[[#This Row],[Meta]]),0)</f>
        <v>0.19762845849802368</v>
      </c>
      <c r="Z306" s="22">
        <f>IFERROR((Registro[[#This Row],[Avance Total]]-Registro[[#This Row],[Línea Base 2025]])/Registro[[#This Row],[Línea Base 2025]],0)</f>
        <v>0</v>
      </c>
      <c r="AA306" s="20">
        <v>2026</v>
      </c>
    </row>
    <row r="307" spans="1:27" hidden="1">
      <c r="A307" s="14">
        <v>1024</v>
      </c>
      <c r="B307" s="15" t="s">
        <v>64</v>
      </c>
      <c r="C307" s="16">
        <v>117</v>
      </c>
      <c r="D307" s="16" t="s">
        <v>187</v>
      </c>
      <c r="E307" s="17" t="s">
        <v>186</v>
      </c>
      <c r="F307" s="24">
        <v>0</v>
      </c>
      <c r="G307" s="24">
        <v>2.08</v>
      </c>
      <c r="H307" s="19">
        <v>0</v>
      </c>
      <c r="I307" s="19">
        <v>0</v>
      </c>
      <c r="T307" s="19">
        <f>Registro[[#This Row],[Mes 1]]+Registro[[#This Row],[Mes 2]]+Registro[[#This Row],[Mes 3]]</f>
        <v>0</v>
      </c>
      <c r="U307" s="19">
        <f>Registro[[#This Row],[Mes 4]]+Registro[[#This Row],[Mes 5]]+Registro[[#This Row],[Mes 6]]</f>
        <v>0</v>
      </c>
      <c r="V307" s="19">
        <f>Registro[[#This Row],[Mes 7]]+Registro[[#This Row],[Mes 8]]+Registro[[#This Row],[Mes 9]]</f>
        <v>0</v>
      </c>
      <c r="W307" s="20">
        <f>Registro[[#This Row],[Mes 10]]+Registro[[#This Row],[Mes 11]]+Registro[[#This Row],[Mes 12]]</f>
        <v>0</v>
      </c>
      <c r="X307" s="20">
        <f>SUM(Registro[[#This Row],[Trim I]],Registro[[#This Row],[Trim II]],Registro[[#This Row],[Trim III]],Registro[[#This Row],[Trim IV]])</f>
        <v>0</v>
      </c>
      <c r="Y307" s="22">
        <f>IFERROR((Registro[[#This Row],[Avance Total]]/Registro[[#This Row],[Meta]]),0)</f>
        <v>0</v>
      </c>
      <c r="Z307" s="22">
        <f>IFERROR((Registro[[#This Row],[Avance Total]]-Registro[[#This Row],[Línea Base 2025]])/Registro[[#This Row],[Línea Base 2025]],0)</f>
        <v>0</v>
      </c>
      <c r="AA307" s="20">
        <v>2026</v>
      </c>
    </row>
    <row r="308" spans="1:27" hidden="1">
      <c r="A308" s="14">
        <v>1024</v>
      </c>
      <c r="B308" s="15" t="s">
        <v>64</v>
      </c>
      <c r="C308" s="16">
        <v>118</v>
      </c>
      <c r="D308" s="16" t="s">
        <v>188</v>
      </c>
      <c r="E308" s="17" t="s">
        <v>9</v>
      </c>
      <c r="F308" s="24">
        <v>0</v>
      </c>
      <c r="G308" s="24">
        <v>4</v>
      </c>
      <c r="H308" s="19">
        <v>0</v>
      </c>
      <c r="I308" s="19">
        <v>0</v>
      </c>
      <c r="T308" s="19">
        <f>Registro[[#This Row],[Mes 1]]+Registro[[#This Row],[Mes 2]]+Registro[[#This Row],[Mes 3]]</f>
        <v>0</v>
      </c>
      <c r="U308" s="19">
        <f>Registro[[#This Row],[Mes 4]]+Registro[[#This Row],[Mes 5]]+Registro[[#This Row],[Mes 6]]</f>
        <v>0</v>
      </c>
      <c r="V308" s="19">
        <f>Registro[[#This Row],[Mes 7]]+Registro[[#This Row],[Mes 8]]+Registro[[#This Row],[Mes 9]]</f>
        <v>0</v>
      </c>
      <c r="W308" s="20">
        <f>Registro[[#This Row],[Mes 10]]+Registro[[#This Row],[Mes 11]]+Registro[[#This Row],[Mes 12]]</f>
        <v>0</v>
      </c>
      <c r="X308" s="20">
        <f>SUM(Registro[[#This Row],[Trim I]],Registro[[#This Row],[Trim II]],Registro[[#This Row],[Trim III]],Registro[[#This Row],[Trim IV]])</f>
        <v>0</v>
      </c>
      <c r="Y308" s="22">
        <f>IFERROR((Registro[[#This Row],[Avance Total]]/Registro[[#This Row],[Meta]]),0)</f>
        <v>0</v>
      </c>
      <c r="Z308" s="22">
        <f>IFERROR((Registro[[#This Row],[Avance Total]]-Registro[[#This Row],[Línea Base 2025]])/Registro[[#This Row],[Línea Base 2025]],0)</f>
        <v>0</v>
      </c>
      <c r="AA308" s="20">
        <v>2026</v>
      </c>
    </row>
    <row r="309" spans="1:27" hidden="1">
      <c r="A309" s="14">
        <v>1024</v>
      </c>
      <c r="B309" s="15" t="s">
        <v>64</v>
      </c>
      <c r="C309" s="16">
        <v>119</v>
      </c>
      <c r="D309" s="16" t="s">
        <v>190</v>
      </c>
      <c r="E309" s="17" t="s">
        <v>189</v>
      </c>
      <c r="F309" s="24">
        <v>0</v>
      </c>
      <c r="G309" s="24">
        <v>4.0480000000000009</v>
      </c>
      <c r="H309" s="19">
        <v>0</v>
      </c>
      <c r="I309" s="19">
        <v>0</v>
      </c>
      <c r="T309" s="19">
        <f>Registro[[#This Row],[Mes 1]]+Registro[[#This Row],[Mes 2]]+Registro[[#This Row],[Mes 3]]</f>
        <v>0</v>
      </c>
      <c r="U309" s="19">
        <f>Registro[[#This Row],[Mes 4]]+Registro[[#This Row],[Mes 5]]+Registro[[#This Row],[Mes 6]]</f>
        <v>0</v>
      </c>
      <c r="V309" s="19">
        <f>Registro[[#This Row],[Mes 7]]+Registro[[#This Row],[Mes 8]]+Registro[[#This Row],[Mes 9]]</f>
        <v>0</v>
      </c>
      <c r="W309" s="20">
        <f>Registro[[#This Row],[Mes 10]]+Registro[[#This Row],[Mes 11]]+Registro[[#This Row],[Mes 12]]</f>
        <v>0</v>
      </c>
      <c r="X309" s="20">
        <f>SUM(Registro[[#This Row],[Trim I]],Registro[[#This Row],[Trim II]],Registro[[#This Row],[Trim III]],Registro[[#This Row],[Trim IV]])</f>
        <v>0</v>
      </c>
      <c r="Y309" s="22">
        <f>IFERROR((Registro[[#This Row],[Avance Total]]/Registro[[#This Row],[Meta]]),0)</f>
        <v>0</v>
      </c>
      <c r="Z309" s="22">
        <f>IFERROR((Registro[[#This Row],[Avance Total]]-Registro[[#This Row],[Línea Base 2025]])/Registro[[#This Row],[Línea Base 2025]],0)</f>
        <v>0</v>
      </c>
      <c r="AA309" s="20">
        <v>2026</v>
      </c>
    </row>
    <row r="310" spans="1:27" hidden="1">
      <c r="A310" s="14">
        <v>1024</v>
      </c>
      <c r="B310" s="15" t="s">
        <v>64</v>
      </c>
      <c r="C310" s="16">
        <v>120</v>
      </c>
      <c r="D310" s="16" t="s">
        <v>192</v>
      </c>
      <c r="E310" s="17" t="s">
        <v>191</v>
      </c>
      <c r="F310" s="24">
        <v>29</v>
      </c>
      <c r="G310" s="24">
        <v>16</v>
      </c>
      <c r="H310" s="19">
        <v>0</v>
      </c>
      <c r="I310" s="19">
        <v>0</v>
      </c>
      <c r="T310" s="19">
        <f>Registro[[#This Row],[Mes 1]]+Registro[[#This Row],[Mes 2]]+Registro[[#This Row],[Mes 3]]</f>
        <v>0</v>
      </c>
      <c r="U310" s="19">
        <f>Registro[[#This Row],[Mes 4]]+Registro[[#This Row],[Mes 5]]+Registro[[#This Row],[Mes 6]]</f>
        <v>0</v>
      </c>
      <c r="V310" s="19">
        <f>Registro[[#This Row],[Mes 7]]+Registro[[#This Row],[Mes 8]]+Registro[[#This Row],[Mes 9]]</f>
        <v>0</v>
      </c>
      <c r="W310" s="20">
        <f>Registro[[#This Row],[Mes 10]]+Registro[[#This Row],[Mes 11]]+Registro[[#This Row],[Mes 12]]</f>
        <v>0</v>
      </c>
      <c r="X310" s="20">
        <f>SUM(Registro[[#This Row],[Trim I]],Registro[[#This Row],[Trim II]],Registro[[#This Row],[Trim III]],Registro[[#This Row],[Trim IV]])</f>
        <v>0</v>
      </c>
      <c r="Y310" s="22">
        <f>IFERROR((Registro[[#This Row],[Avance Total]]/Registro[[#This Row],[Meta]]),0)</f>
        <v>0</v>
      </c>
      <c r="Z310" s="22">
        <f>IFERROR((Registro[[#This Row],[Avance Total]]-Registro[[#This Row],[Línea Base 2025]])/Registro[[#This Row],[Línea Base 2025]],0)</f>
        <v>-1</v>
      </c>
      <c r="AA310" s="20">
        <v>2026</v>
      </c>
    </row>
    <row r="311" spans="1:27" hidden="1">
      <c r="A311" s="14">
        <v>1024</v>
      </c>
      <c r="B311" s="15" t="s">
        <v>64</v>
      </c>
      <c r="C311" s="16">
        <v>121</v>
      </c>
      <c r="D311" s="16" t="s">
        <v>194</v>
      </c>
      <c r="E311" s="17" t="s">
        <v>193</v>
      </c>
      <c r="F311" s="24">
        <v>13</v>
      </c>
      <c r="G311" s="24">
        <v>9</v>
      </c>
      <c r="H311" s="19">
        <v>0</v>
      </c>
      <c r="I311" s="19">
        <v>0</v>
      </c>
      <c r="T311" s="19">
        <f>Registro[[#This Row],[Mes 1]]+Registro[[#This Row],[Mes 2]]+Registro[[#This Row],[Mes 3]]</f>
        <v>0</v>
      </c>
      <c r="U311" s="19">
        <f>Registro[[#This Row],[Mes 4]]+Registro[[#This Row],[Mes 5]]+Registro[[#This Row],[Mes 6]]</f>
        <v>0</v>
      </c>
      <c r="V311" s="19">
        <f>Registro[[#This Row],[Mes 7]]+Registro[[#This Row],[Mes 8]]+Registro[[#This Row],[Mes 9]]</f>
        <v>0</v>
      </c>
      <c r="W311" s="20">
        <f>Registro[[#This Row],[Mes 10]]+Registro[[#This Row],[Mes 11]]+Registro[[#This Row],[Mes 12]]</f>
        <v>0</v>
      </c>
      <c r="X311" s="20">
        <f>SUM(Registro[[#This Row],[Trim I]],Registro[[#This Row],[Trim II]],Registro[[#This Row],[Trim III]],Registro[[#This Row],[Trim IV]])</f>
        <v>0</v>
      </c>
      <c r="Y311" s="22">
        <f>IFERROR((Registro[[#This Row],[Avance Total]]/Registro[[#This Row],[Meta]]),0)</f>
        <v>0</v>
      </c>
      <c r="Z311" s="22">
        <f>IFERROR((Registro[[#This Row],[Avance Total]]-Registro[[#This Row],[Línea Base 2025]])/Registro[[#This Row],[Línea Base 2025]],0)</f>
        <v>-1</v>
      </c>
      <c r="AA311" s="20">
        <v>2026</v>
      </c>
    </row>
    <row r="312" spans="1:27" hidden="1">
      <c r="A312" s="14">
        <v>1024</v>
      </c>
      <c r="B312" s="15" t="s">
        <v>64</v>
      </c>
      <c r="C312" s="16">
        <v>122</v>
      </c>
      <c r="D312" s="16" t="s">
        <v>196</v>
      </c>
      <c r="E312" s="17" t="s">
        <v>195</v>
      </c>
      <c r="F312" s="24">
        <v>3</v>
      </c>
      <c r="G312" s="24">
        <v>8</v>
      </c>
      <c r="H312" s="19">
        <v>0</v>
      </c>
      <c r="I312" s="19">
        <v>0</v>
      </c>
      <c r="T312" s="19">
        <f>Registro[[#This Row],[Mes 1]]+Registro[[#This Row],[Mes 2]]+Registro[[#This Row],[Mes 3]]</f>
        <v>0</v>
      </c>
      <c r="U312" s="19">
        <f>Registro[[#This Row],[Mes 4]]+Registro[[#This Row],[Mes 5]]+Registro[[#This Row],[Mes 6]]</f>
        <v>0</v>
      </c>
      <c r="V312" s="19">
        <f>Registro[[#This Row],[Mes 7]]+Registro[[#This Row],[Mes 8]]+Registro[[#This Row],[Mes 9]]</f>
        <v>0</v>
      </c>
      <c r="W312" s="20">
        <f>Registro[[#This Row],[Mes 10]]+Registro[[#This Row],[Mes 11]]+Registro[[#This Row],[Mes 12]]</f>
        <v>0</v>
      </c>
      <c r="X312" s="20">
        <f>SUM(Registro[[#This Row],[Trim I]],Registro[[#This Row],[Trim II]],Registro[[#This Row],[Trim III]],Registro[[#This Row],[Trim IV]])</f>
        <v>0</v>
      </c>
      <c r="Y312" s="22">
        <f>IFERROR((Registro[[#This Row],[Avance Total]]/Registro[[#This Row],[Meta]]),0)</f>
        <v>0</v>
      </c>
      <c r="Z312" s="22">
        <f>IFERROR((Registro[[#This Row],[Avance Total]]-Registro[[#This Row],[Línea Base 2025]])/Registro[[#This Row],[Línea Base 2025]],0)</f>
        <v>-1</v>
      </c>
      <c r="AA312" s="20">
        <v>2026</v>
      </c>
    </row>
    <row r="313" spans="1:27" hidden="1">
      <c r="A313" s="14">
        <v>1024</v>
      </c>
      <c r="B313" s="15" t="s">
        <v>64</v>
      </c>
      <c r="C313" s="16">
        <v>123</v>
      </c>
      <c r="D313" s="16" t="s">
        <v>198</v>
      </c>
      <c r="E313" s="17" t="s">
        <v>197</v>
      </c>
      <c r="F313" s="24">
        <v>0</v>
      </c>
      <c r="G313" s="24">
        <v>5</v>
      </c>
      <c r="H313" s="19">
        <v>0</v>
      </c>
      <c r="I313" s="19">
        <v>0</v>
      </c>
      <c r="T313" s="19">
        <f>Registro[[#This Row],[Mes 1]]+Registro[[#This Row],[Mes 2]]+Registro[[#This Row],[Mes 3]]</f>
        <v>0</v>
      </c>
      <c r="U313" s="19">
        <f>Registro[[#This Row],[Mes 4]]+Registro[[#This Row],[Mes 5]]+Registro[[#This Row],[Mes 6]]</f>
        <v>0</v>
      </c>
      <c r="V313" s="19">
        <f>Registro[[#This Row],[Mes 7]]+Registro[[#This Row],[Mes 8]]+Registro[[#This Row],[Mes 9]]</f>
        <v>0</v>
      </c>
      <c r="W313" s="20">
        <f>Registro[[#This Row],[Mes 10]]+Registro[[#This Row],[Mes 11]]+Registro[[#This Row],[Mes 12]]</f>
        <v>0</v>
      </c>
      <c r="X313" s="20">
        <f>SUM(Registro[[#This Row],[Trim I]],Registro[[#This Row],[Trim II]],Registro[[#This Row],[Trim III]],Registro[[#This Row],[Trim IV]])</f>
        <v>0</v>
      </c>
      <c r="Y313" s="22">
        <f>IFERROR((Registro[[#This Row],[Avance Total]]/Registro[[#This Row],[Meta]]),0)</f>
        <v>0</v>
      </c>
      <c r="Z313" s="22">
        <f>IFERROR((Registro[[#This Row],[Avance Total]]-Registro[[#This Row],[Línea Base 2025]])/Registro[[#This Row],[Línea Base 2025]],0)</f>
        <v>0</v>
      </c>
      <c r="AA313" s="20">
        <v>2026</v>
      </c>
    </row>
    <row r="314" spans="1:27" hidden="1">
      <c r="A314" s="14">
        <v>1025</v>
      </c>
      <c r="B314" s="15" t="s">
        <v>224</v>
      </c>
      <c r="C314" s="16">
        <v>111</v>
      </c>
      <c r="D314" s="16" t="s">
        <v>171</v>
      </c>
      <c r="E314" s="17" t="s">
        <v>172</v>
      </c>
      <c r="F314" s="24">
        <v>69</v>
      </c>
      <c r="G314" s="24">
        <v>1100</v>
      </c>
      <c r="H314" s="19">
        <v>4</v>
      </c>
      <c r="I314" s="19">
        <v>13</v>
      </c>
      <c r="T314" s="19">
        <f>Registro[[#This Row],[Mes 1]]+Registro[[#This Row],[Mes 2]]+Registro[[#This Row],[Mes 3]]</f>
        <v>17</v>
      </c>
      <c r="U314" s="19">
        <f>Registro[[#This Row],[Mes 4]]+Registro[[#This Row],[Mes 5]]+Registro[[#This Row],[Mes 6]]</f>
        <v>0</v>
      </c>
      <c r="V314" s="19">
        <f>Registro[[#This Row],[Mes 7]]+Registro[[#This Row],[Mes 8]]+Registro[[#This Row],[Mes 9]]</f>
        <v>0</v>
      </c>
      <c r="W314" s="20">
        <f>Registro[[#This Row],[Mes 10]]+Registro[[#This Row],[Mes 11]]+Registro[[#This Row],[Mes 12]]</f>
        <v>0</v>
      </c>
      <c r="X314" s="20">
        <f>SUM(Registro[[#This Row],[Trim I]],Registro[[#This Row],[Trim II]],Registro[[#This Row],[Trim III]],Registro[[#This Row],[Trim IV]])</f>
        <v>17</v>
      </c>
      <c r="Y314" s="22">
        <f>IFERROR((Registro[[#This Row],[Avance Total]]/Registro[[#This Row],[Meta]]),0)</f>
        <v>1.5454545454545455E-2</v>
      </c>
      <c r="Z314" s="22">
        <f>IFERROR((Registro[[#This Row],[Avance Total]]-Registro[[#This Row],[Línea Base 2025]])/Registro[[#This Row],[Línea Base 2025]],0)</f>
        <v>-0.75362318840579712</v>
      </c>
      <c r="AA314" s="20">
        <v>2026</v>
      </c>
    </row>
    <row r="315" spans="1:27" hidden="1">
      <c r="A315" s="14">
        <v>1025</v>
      </c>
      <c r="B315" s="15" t="s">
        <v>224</v>
      </c>
      <c r="C315" s="16">
        <v>112</v>
      </c>
      <c r="D315" s="16" t="s">
        <v>173</v>
      </c>
      <c r="E315" s="17" t="s">
        <v>7</v>
      </c>
      <c r="F315" s="24">
        <v>41</v>
      </c>
      <c r="G315" s="24">
        <v>120</v>
      </c>
      <c r="H315" s="19"/>
      <c r="I315" s="19">
        <v>0</v>
      </c>
      <c r="T315" s="19">
        <f>Registro[[#This Row],[Mes 1]]+Registro[[#This Row],[Mes 2]]+Registro[[#This Row],[Mes 3]]</f>
        <v>0</v>
      </c>
      <c r="U315" s="19">
        <f>Registro[[#This Row],[Mes 4]]+Registro[[#This Row],[Mes 5]]+Registro[[#This Row],[Mes 6]]</f>
        <v>0</v>
      </c>
      <c r="V315" s="19">
        <f>Registro[[#This Row],[Mes 7]]+Registro[[#This Row],[Mes 8]]+Registro[[#This Row],[Mes 9]]</f>
        <v>0</v>
      </c>
      <c r="W315" s="20">
        <f>Registro[[#This Row],[Mes 10]]+Registro[[#This Row],[Mes 11]]+Registro[[#This Row],[Mes 12]]</f>
        <v>0</v>
      </c>
      <c r="X315" s="20">
        <f>SUM(Registro[[#This Row],[Trim I]],Registro[[#This Row],[Trim II]],Registro[[#This Row],[Trim III]],Registro[[#This Row],[Trim IV]])</f>
        <v>0</v>
      </c>
      <c r="Y315" s="22">
        <f>IFERROR((Registro[[#This Row],[Avance Total]]/Registro[[#This Row],[Meta]]),0)</f>
        <v>0</v>
      </c>
      <c r="Z315" s="22">
        <f>IFERROR((Registro[[#This Row],[Avance Total]]-Registro[[#This Row],[Línea Base 2025]])/Registro[[#This Row],[Línea Base 2025]],0)</f>
        <v>-1</v>
      </c>
      <c r="AA315" s="20">
        <v>2026</v>
      </c>
    </row>
    <row r="316" spans="1:27" hidden="1">
      <c r="A316" s="14">
        <v>1025</v>
      </c>
      <c r="B316" s="15" t="s">
        <v>224</v>
      </c>
      <c r="C316" s="16">
        <v>113</v>
      </c>
      <c r="D316" s="16" t="s">
        <v>179</v>
      </c>
      <c r="E316" s="17" t="s">
        <v>178</v>
      </c>
      <c r="F316" s="24">
        <v>63</v>
      </c>
      <c r="G316" s="24">
        <v>1149</v>
      </c>
      <c r="H316" s="19"/>
      <c r="I316" s="19"/>
      <c r="T316" s="19">
        <f>Registro[[#This Row],[Mes 1]]+Registro[[#This Row],[Mes 2]]+Registro[[#This Row],[Mes 3]]</f>
        <v>0</v>
      </c>
      <c r="U316" s="19">
        <f>Registro[[#This Row],[Mes 4]]+Registro[[#This Row],[Mes 5]]+Registro[[#This Row],[Mes 6]]</f>
        <v>0</v>
      </c>
      <c r="V316" s="19">
        <f>Registro[[#This Row],[Mes 7]]+Registro[[#This Row],[Mes 8]]+Registro[[#This Row],[Mes 9]]</f>
        <v>0</v>
      </c>
      <c r="W316" s="20">
        <f>Registro[[#This Row],[Mes 10]]+Registro[[#This Row],[Mes 11]]+Registro[[#This Row],[Mes 12]]</f>
        <v>0</v>
      </c>
      <c r="X316" s="20">
        <f>SUM(Registro[[#This Row],[Trim I]],Registro[[#This Row],[Trim II]],Registro[[#This Row],[Trim III]],Registro[[#This Row],[Trim IV]])</f>
        <v>0</v>
      </c>
      <c r="Y316" s="22">
        <f>IFERROR((Registro[[#This Row],[Avance Total]]/Registro[[#This Row],[Meta]]),0)</f>
        <v>0</v>
      </c>
      <c r="Z316" s="22">
        <f>IFERROR((Registro[[#This Row],[Avance Total]]-Registro[[#This Row],[Línea Base 2025]])/Registro[[#This Row],[Línea Base 2025]],0)</f>
        <v>-1</v>
      </c>
      <c r="AA316" s="20">
        <v>2026</v>
      </c>
    </row>
    <row r="317" spans="1:27" hidden="1">
      <c r="A317" s="14">
        <v>1025</v>
      </c>
      <c r="B317" s="15" t="s">
        <v>224</v>
      </c>
      <c r="C317" s="16">
        <v>114</v>
      </c>
      <c r="D317" s="16" t="s">
        <v>181</v>
      </c>
      <c r="E317" s="17" t="s">
        <v>180</v>
      </c>
      <c r="F317" s="24">
        <v>0</v>
      </c>
      <c r="G317" s="24">
        <v>16.95</v>
      </c>
      <c r="H317" s="19"/>
      <c r="I317" s="19"/>
      <c r="T317" s="19">
        <f>Registro[[#This Row],[Mes 1]]+Registro[[#This Row],[Mes 2]]+Registro[[#This Row],[Mes 3]]</f>
        <v>0</v>
      </c>
      <c r="U317" s="19">
        <f>Registro[[#This Row],[Mes 4]]+Registro[[#This Row],[Mes 5]]+Registro[[#This Row],[Mes 6]]</f>
        <v>0</v>
      </c>
      <c r="V317" s="19">
        <f>Registro[[#This Row],[Mes 7]]+Registro[[#This Row],[Mes 8]]+Registro[[#This Row],[Mes 9]]</f>
        <v>0</v>
      </c>
      <c r="W317" s="20">
        <f>Registro[[#This Row],[Mes 10]]+Registro[[#This Row],[Mes 11]]+Registro[[#This Row],[Mes 12]]</f>
        <v>0</v>
      </c>
      <c r="X317" s="20">
        <f>SUM(Registro[[#This Row],[Trim I]],Registro[[#This Row],[Trim II]],Registro[[#This Row],[Trim III]],Registro[[#This Row],[Trim IV]])</f>
        <v>0</v>
      </c>
      <c r="Y317" s="22">
        <f>IFERROR((Registro[[#This Row],[Avance Total]]/Registro[[#This Row],[Meta]]),0)</f>
        <v>0</v>
      </c>
      <c r="Z317" s="22">
        <f>IFERROR((Registro[[#This Row],[Avance Total]]-Registro[[#This Row],[Línea Base 2025]])/Registro[[#This Row],[Línea Base 2025]],0)</f>
        <v>0</v>
      </c>
      <c r="AA317" s="20">
        <v>2026</v>
      </c>
    </row>
    <row r="318" spans="1:27" hidden="1">
      <c r="A318" s="14">
        <v>1025</v>
      </c>
      <c r="B318" s="15" t="s">
        <v>224</v>
      </c>
      <c r="C318" s="16">
        <v>115</v>
      </c>
      <c r="D318" s="16" t="s">
        <v>183</v>
      </c>
      <c r="E318" s="17" t="s">
        <v>182</v>
      </c>
      <c r="F318" s="24">
        <v>0</v>
      </c>
      <c r="G318" s="24">
        <v>15.254999999999999</v>
      </c>
      <c r="H318" s="19"/>
      <c r="I318" s="19"/>
      <c r="T318" s="19">
        <f>Registro[[#This Row],[Mes 1]]+Registro[[#This Row],[Mes 2]]+Registro[[#This Row],[Mes 3]]</f>
        <v>0</v>
      </c>
      <c r="U318" s="19">
        <f>Registro[[#This Row],[Mes 4]]+Registro[[#This Row],[Mes 5]]+Registro[[#This Row],[Mes 6]]</f>
        <v>0</v>
      </c>
      <c r="V318" s="19">
        <f>Registro[[#This Row],[Mes 7]]+Registro[[#This Row],[Mes 8]]+Registro[[#This Row],[Mes 9]]</f>
        <v>0</v>
      </c>
      <c r="W318" s="20">
        <f>Registro[[#This Row],[Mes 10]]+Registro[[#This Row],[Mes 11]]+Registro[[#This Row],[Mes 12]]</f>
        <v>0</v>
      </c>
      <c r="X318" s="20">
        <f>SUM(Registro[[#This Row],[Trim I]],Registro[[#This Row],[Trim II]],Registro[[#This Row],[Trim III]],Registro[[#This Row],[Trim IV]])</f>
        <v>0</v>
      </c>
      <c r="Y318" s="22">
        <f>IFERROR((Registro[[#This Row],[Avance Total]]/Registro[[#This Row],[Meta]]),0)</f>
        <v>0</v>
      </c>
      <c r="Z318" s="22">
        <f>IFERROR((Registro[[#This Row],[Avance Total]]-Registro[[#This Row],[Línea Base 2025]])/Registro[[#This Row],[Línea Base 2025]],0)</f>
        <v>0</v>
      </c>
      <c r="AA318" s="20">
        <v>2026</v>
      </c>
    </row>
    <row r="319" spans="1:27">
      <c r="A319" s="14">
        <v>1025</v>
      </c>
      <c r="B319" s="15" t="s">
        <v>224</v>
      </c>
      <c r="C319" s="16">
        <v>116</v>
      </c>
      <c r="D319" s="16" t="s">
        <v>185</v>
      </c>
      <c r="E319" s="17" t="s">
        <v>184</v>
      </c>
      <c r="F319" s="24">
        <v>19</v>
      </c>
      <c r="G319" s="24">
        <v>19.78</v>
      </c>
      <c r="H319" s="19"/>
      <c r="I319" s="19"/>
      <c r="T319" s="19">
        <f>Registro[[#This Row],[Mes 1]]+Registro[[#This Row],[Mes 2]]+Registro[[#This Row],[Mes 3]]</f>
        <v>0</v>
      </c>
      <c r="U319" s="19">
        <f>Registro[[#This Row],[Mes 4]]+Registro[[#This Row],[Mes 5]]+Registro[[#This Row],[Mes 6]]</f>
        <v>0</v>
      </c>
      <c r="V319" s="19">
        <f>Registro[[#This Row],[Mes 7]]+Registro[[#This Row],[Mes 8]]+Registro[[#This Row],[Mes 9]]</f>
        <v>0</v>
      </c>
      <c r="W319" s="20">
        <f>Registro[[#This Row],[Mes 10]]+Registro[[#This Row],[Mes 11]]+Registro[[#This Row],[Mes 12]]</f>
        <v>0</v>
      </c>
      <c r="X319" s="20">
        <f>SUM(Registro[[#This Row],[Trim I]],Registro[[#This Row],[Trim II]],Registro[[#This Row],[Trim III]],Registro[[#This Row],[Trim IV]])</f>
        <v>0</v>
      </c>
      <c r="Y319" s="22">
        <f>IFERROR((Registro[[#This Row],[Avance Total]]/Registro[[#This Row],[Meta]]),0)</f>
        <v>0</v>
      </c>
      <c r="Z319" s="22">
        <f>IFERROR((Registro[[#This Row],[Avance Total]]-Registro[[#This Row],[Línea Base 2025]])/Registro[[#This Row],[Línea Base 2025]],0)</f>
        <v>-1</v>
      </c>
      <c r="AA319" s="20">
        <v>2026</v>
      </c>
    </row>
    <row r="320" spans="1:27" hidden="1">
      <c r="A320" s="14">
        <v>1025</v>
      </c>
      <c r="B320" s="15" t="s">
        <v>224</v>
      </c>
      <c r="C320" s="16">
        <v>117</v>
      </c>
      <c r="D320" s="16" t="s">
        <v>187</v>
      </c>
      <c r="E320" s="17" t="s">
        <v>186</v>
      </c>
      <c r="F320" s="24">
        <v>3</v>
      </c>
      <c r="G320" s="24">
        <v>10.5</v>
      </c>
      <c r="H320" s="19"/>
      <c r="I320" s="19"/>
      <c r="T320" s="19">
        <f>Registro[[#This Row],[Mes 1]]+Registro[[#This Row],[Mes 2]]+Registro[[#This Row],[Mes 3]]</f>
        <v>0</v>
      </c>
      <c r="U320" s="19">
        <f>Registro[[#This Row],[Mes 4]]+Registro[[#This Row],[Mes 5]]+Registro[[#This Row],[Mes 6]]</f>
        <v>0</v>
      </c>
      <c r="V320" s="19">
        <f>Registro[[#This Row],[Mes 7]]+Registro[[#This Row],[Mes 8]]+Registro[[#This Row],[Mes 9]]</f>
        <v>0</v>
      </c>
      <c r="W320" s="20">
        <f>Registro[[#This Row],[Mes 10]]+Registro[[#This Row],[Mes 11]]+Registro[[#This Row],[Mes 12]]</f>
        <v>0</v>
      </c>
      <c r="X320" s="20">
        <f>SUM(Registro[[#This Row],[Trim I]],Registro[[#This Row],[Trim II]],Registro[[#This Row],[Trim III]],Registro[[#This Row],[Trim IV]])</f>
        <v>0</v>
      </c>
      <c r="Y320" s="22">
        <f>IFERROR((Registro[[#This Row],[Avance Total]]/Registro[[#This Row],[Meta]]),0)</f>
        <v>0</v>
      </c>
      <c r="Z320" s="22">
        <f>IFERROR((Registro[[#This Row],[Avance Total]]-Registro[[#This Row],[Línea Base 2025]])/Registro[[#This Row],[Línea Base 2025]],0)</f>
        <v>-1</v>
      </c>
      <c r="AA320" s="20">
        <v>2026</v>
      </c>
    </row>
    <row r="321" spans="1:27" hidden="1">
      <c r="A321" s="14">
        <v>1025</v>
      </c>
      <c r="B321" s="15" t="s">
        <v>224</v>
      </c>
      <c r="C321" s="16">
        <v>118</v>
      </c>
      <c r="D321" s="16" t="s">
        <v>188</v>
      </c>
      <c r="E321" s="17" t="s">
        <v>9</v>
      </c>
      <c r="F321" s="24">
        <v>0</v>
      </c>
      <c r="G321" s="24">
        <v>25</v>
      </c>
      <c r="H321" s="19"/>
      <c r="I321" s="19"/>
      <c r="T321" s="19">
        <f>Registro[[#This Row],[Mes 1]]+Registro[[#This Row],[Mes 2]]+Registro[[#This Row],[Mes 3]]</f>
        <v>0</v>
      </c>
      <c r="U321" s="19">
        <f>Registro[[#This Row],[Mes 4]]+Registro[[#This Row],[Mes 5]]+Registro[[#This Row],[Mes 6]]</f>
        <v>0</v>
      </c>
      <c r="V321" s="19">
        <f>Registro[[#This Row],[Mes 7]]+Registro[[#This Row],[Mes 8]]+Registro[[#This Row],[Mes 9]]</f>
        <v>0</v>
      </c>
      <c r="W321" s="20">
        <f>Registro[[#This Row],[Mes 10]]+Registro[[#This Row],[Mes 11]]+Registro[[#This Row],[Mes 12]]</f>
        <v>0</v>
      </c>
      <c r="X321" s="20">
        <f>SUM(Registro[[#This Row],[Trim I]],Registro[[#This Row],[Trim II]],Registro[[#This Row],[Trim III]],Registro[[#This Row],[Trim IV]])</f>
        <v>0</v>
      </c>
      <c r="Y321" s="22">
        <f>IFERROR((Registro[[#This Row],[Avance Total]]/Registro[[#This Row],[Meta]]),0)</f>
        <v>0</v>
      </c>
      <c r="Z321" s="22">
        <f>IFERROR((Registro[[#This Row],[Avance Total]]-Registro[[#This Row],[Línea Base 2025]])/Registro[[#This Row],[Línea Base 2025]],0)</f>
        <v>0</v>
      </c>
      <c r="AA321" s="20">
        <v>2026</v>
      </c>
    </row>
    <row r="322" spans="1:27" hidden="1">
      <c r="A322" s="14">
        <v>1025</v>
      </c>
      <c r="B322" s="15" t="s">
        <v>224</v>
      </c>
      <c r="C322" s="16">
        <v>119</v>
      </c>
      <c r="D322" s="16" t="s">
        <v>190</v>
      </c>
      <c r="E322" s="17" t="s">
        <v>189</v>
      </c>
      <c r="F322" s="24">
        <v>0</v>
      </c>
      <c r="G322" s="24">
        <v>15.824000000000002</v>
      </c>
      <c r="H322" s="19"/>
      <c r="I322" s="19"/>
      <c r="T322" s="19">
        <f>Registro[[#This Row],[Mes 1]]+Registro[[#This Row],[Mes 2]]+Registro[[#This Row],[Mes 3]]</f>
        <v>0</v>
      </c>
      <c r="U322" s="19">
        <f>Registro[[#This Row],[Mes 4]]+Registro[[#This Row],[Mes 5]]+Registro[[#This Row],[Mes 6]]</f>
        <v>0</v>
      </c>
      <c r="V322" s="19">
        <f>Registro[[#This Row],[Mes 7]]+Registro[[#This Row],[Mes 8]]+Registro[[#This Row],[Mes 9]]</f>
        <v>0</v>
      </c>
      <c r="W322" s="20">
        <f>Registro[[#This Row],[Mes 10]]+Registro[[#This Row],[Mes 11]]+Registro[[#This Row],[Mes 12]]</f>
        <v>0</v>
      </c>
      <c r="X322" s="20">
        <f>SUM(Registro[[#This Row],[Trim I]],Registro[[#This Row],[Trim II]],Registro[[#This Row],[Trim III]],Registro[[#This Row],[Trim IV]])</f>
        <v>0</v>
      </c>
      <c r="Y322" s="22">
        <f>IFERROR((Registro[[#This Row],[Avance Total]]/Registro[[#This Row],[Meta]]),0)</f>
        <v>0</v>
      </c>
      <c r="Z322" s="22">
        <f>IFERROR((Registro[[#This Row],[Avance Total]]-Registro[[#This Row],[Línea Base 2025]])/Registro[[#This Row],[Línea Base 2025]],0)</f>
        <v>0</v>
      </c>
      <c r="AA322" s="20">
        <v>2026</v>
      </c>
    </row>
    <row r="323" spans="1:27" hidden="1">
      <c r="A323" s="14">
        <v>1025</v>
      </c>
      <c r="B323" s="15" t="s">
        <v>224</v>
      </c>
      <c r="C323" s="16">
        <v>120</v>
      </c>
      <c r="D323" s="16" t="s">
        <v>192</v>
      </c>
      <c r="E323" s="17" t="s">
        <v>191</v>
      </c>
      <c r="F323" s="24">
        <v>2</v>
      </c>
      <c r="G323" s="24">
        <v>80</v>
      </c>
      <c r="H323" s="19"/>
      <c r="I323" s="19"/>
      <c r="T323" s="19">
        <f>Registro[[#This Row],[Mes 1]]+Registro[[#This Row],[Mes 2]]+Registro[[#This Row],[Mes 3]]</f>
        <v>0</v>
      </c>
      <c r="U323" s="19">
        <f>Registro[[#This Row],[Mes 4]]+Registro[[#This Row],[Mes 5]]+Registro[[#This Row],[Mes 6]]</f>
        <v>0</v>
      </c>
      <c r="V323" s="19">
        <f>Registro[[#This Row],[Mes 7]]+Registro[[#This Row],[Mes 8]]+Registro[[#This Row],[Mes 9]]</f>
        <v>0</v>
      </c>
      <c r="W323" s="20">
        <f>Registro[[#This Row],[Mes 10]]+Registro[[#This Row],[Mes 11]]+Registro[[#This Row],[Mes 12]]</f>
        <v>0</v>
      </c>
      <c r="X323" s="20">
        <f>SUM(Registro[[#This Row],[Trim I]],Registro[[#This Row],[Trim II]],Registro[[#This Row],[Trim III]],Registro[[#This Row],[Trim IV]])</f>
        <v>0</v>
      </c>
      <c r="Y323" s="22">
        <f>IFERROR((Registro[[#This Row],[Avance Total]]/Registro[[#This Row],[Meta]]),0)</f>
        <v>0</v>
      </c>
      <c r="Z323" s="22">
        <f>IFERROR((Registro[[#This Row],[Avance Total]]-Registro[[#This Row],[Línea Base 2025]])/Registro[[#This Row],[Línea Base 2025]],0)</f>
        <v>-1</v>
      </c>
      <c r="AA323" s="20">
        <v>2026</v>
      </c>
    </row>
    <row r="324" spans="1:27" hidden="1">
      <c r="A324" s="14">
        <v>1025</v>
      </c>
      <c r="B324" s="15" t="s">
        <v>224</v>
      </c>
      <c r="C324" s="16">
        <v>121</v>
      </c>
      <c r="D324" s="16" t="s">
        <v>194</v>
      </c>
      <c r="E324" s="17" t="s">
        <v>193</v>
      </c>
      <c r="F324" s="24">
        <v>0</v>
      </c>
      <c r="G324" s="24">
        <v>0</v>
      </c>
      <c r="H324" s="19"/>
      <c r="I324" s="19"/>
      <c r="T324" s="19">
        <f>Registro[[#This Row],[Mes 1]]+Registro[[#This Row],[Mes 2]]+Registro[[#This Row],[Mes 3]]</f>
        <v>0</v>
      </c>
      <c r="U324" s="19">
        <f>Registro[[#This Row],[Mes 4]]+Registro[[#This Row],[Mes 5]]+Registro[[#This Row],[Mes 6]]</f>
        <v>0</v>
      </c>
      <c r="V324" s="19">
        <f>Registro[[#This Row],[Mes 7]]+Registro[[#This Row],[Mes 8]]+Registro[[#This Row],[Mes 9]]</f>
        <v>0</v>
      </c>
      <c r="W324" s="20">
        <f>Registro[[#This Row],[Mes 10]]+Registro[[#This Row],[Mes 11]]+Registro[[#This Row],[Mes 12]]</f>
        <v>0</v>
      </c>
      <c r="X324" s="20">
        <f>SUM(Registro[[#This Row],[Trim I]],Registro[[#This Row],[Trim II]],Registro[[#This Row],[Trim III]],Registro[[#This Row],[Trim IV]])</f>
        <v>0</v>
      </c>
      <c r="Y324" s="22">
        <f>IFERROR((Registro[[#This Row],[Avance Total]]/Registro[[#This Row],[Meta]]),0)</f>
        <v>0</v>
      </c>
      <c r="Z324" s="22">
        <f>IFERROR((Registro[[#This Row],[Avance Total]]-Registro[[#This Row],[Línea Base 2025]])/Registro[[#This Row],[Línea Base 2025]],0)</f>
        <v>0</v>
      </c>
      <c r="AA324" s="20">
        <v>2026</v>
      </c>
    </row>
    <row r="325" spans="1:27" hidden="1">
      <c r="A325" s="14">
        <v>1025</v>
      </c>
      <c r="B325" s="15" t="s">
        <v>224</v>
      </c>
      <c r="C325" s="16">
        <v>122</v>
      </c>
      <c r="D325" s="16" t="s">
        <v>196</v>
      </c>
      <c r="E325" s="17" t="s">
        <v>195</v>
      </c>
      <c r="F325" s="24">
        <v>0</v>
      </c>
      <c r="G325" s="24">
        <v>2</v>
      </c>
      <c r="H325" s="19"/>
      <c r="I325" s="19"/>
      <c r="T325" s="19">
        <f>Registro[[#This Row],[Mes 1]]+Registro[[#This Row],[Mes 2]]+Registro[[#This Row],[Mes 3]]</f>
        <v>0</v>
      </c>
      <c r="U325" s="19">
        <f>Registro[[#This Row],[Mes 4]]+Registro[[#This Row],[Mes 5]]+Registro[[#This Row],[Mes 6]]</f>
        <v>0</v>
      </c>
      <c r="V325" s="19">
        <f>Registro[[#This Row],[Mes 7]]+Registro[[#This Row],[Mes 8]]+Registro[[#This Row],[Mes 9]]</f>
        <v>0</v>
      </c>
      <c r="W325" s="20">
        <f>Registro[[#This Row],[Mes 10]]+Registro[[#This Row],[Mes 11]]+Registro[[#This Row],[Mes 12]]</f>
        <v>0</v>
      </c>
      <c r="X325" s="20">
        <f>SUM(Registro[[#This Row],[Trim I]],Registro[[#This Row],[Trim II]],Registro[[#This Row],[Trim III]],Registro[[#This Row],[Trim IV]])</f>
        <v>0</v>
      </c>
      <c r="Y325" s="22">
        <f>IFERROR((Registro[[#This Row],[Avance Total]]/Registro[[#This Row],[Meta]]),0)</f>
        <v>0</v>
      </c>
      <c r="Z325" s="22">
        <f>IFERROR((Registro[[#This Row],[Avance Total]]-Registro[[#This Row],[Línea Base 2025]])/Registro[[#This Row],[Línea Base 2025]],0)</f>
        <v>0</v>
      </c>
      <c r="AA325" s="20">
        <v>2026</v>
      </c>
    </row>
    <row r="326" spans="1:27" hidden="1">
      <c r="A326" s="14">
        <v>1025</v>
      </c>
      <c r="B326" s="15" t="s">
        <v>224</v>
      </c>
      <c r="C326" s="16">
        <v>123</v>
      </c>
      <c r="D326" s="16" t="s">
        <v>198</v>
      </c>
      <c r="E326" s="17" t="s">
        <v>197</v>
      </c>
      <c r="F326" s="24">
        <v>0</v>
      </c>
      <c r="G326" s="24">
        <v>3</v>
      </c>
      <c r="H326" s="19"/>
      <c r="I326" s="19"/>
      <c r="T326" s="19">
        <f>Registro[[#This Row],[Mes 1]]+Registro[[#This Row],[Mes 2]]+Registro[[#This Row],[Mes 3]]</f>
        <v>0</v>
      </c>
      <c r="U326" s="19">
        <f>Registro[[#This Row],[Mes 4]]+Registro[[#This Row],[Mes 5]]+Registro[[#This Row],[Mes 6]]</f>
        <v>0</v>
      </c>
      <c r="V326" s="19">
        <f>Registro[[#This Row],[Mes 7]]+Registro[[#This Row],[Mes 8]]+Registro[[#This Row],[Mes 9]]</f>
        <v>0</v>
      </c>
      <c r="W326" s="20">
        <f>Registro[[#This Row],[Mes 10]]+Registro[[#This Row],[Mes 11]]+Registro[[#This Row],[Mes 12]]</f>
        <v>0</v>
      </c>
      <c r="X326" s="20">
        <f>SUM(Registro[[#This Row],[Trim I]],Registro[[#This Row],[Trim II]],Registro[[#This Row],[Trim III]],Registro[[#This Row],[Trim IV]])</f>
        <v>0</v>
      </c>
      <c r="Y326" s="22">
        <f>IFERROR((Registro[[#This Row],[Avance Total]]/Registro[[#This Row],[Meta]]),0)</f>
        <v>0</v>
      </c>
      <c r="Z326" s="22">
        <f>IFERROR((Registro[[#This Row],[Avance Total]]-Registro[[#This Row],[Línea Base 2025]])/Registro[[#This Row],[Línea Base 2025]],0)</f>
        <v>0</v>
      </c>
      <c r="AA326" s="20">
        <v>2026</v>
      </c>
    </row>
    <row r="327" spans="1:27" hidden="1">
      <c r="A327" s="14">
        <v>1026</v>
      </c>
      <c r="B327" s="15" t="s">
        <v>66</v>
      </c>
      <c r="C327" s="16">
        <v>111</v>
      </c>
      <c r="D327" s="16" t="s">
        <v>171</v>
      </c>
      <c r="E327" s="17" t="s">
        <v>172</v>
      </c>
      <c r="F327" s="24">
        <v>80</v>
      </c>
      <c r="G327" s="24">
        <v>464</v>
      </c>
      <c r="H327" s="19">
        <v>1</v>
      </c>
      <c r="I327" s="19">
        <v>2</v>
      </c>
      <c r="T327" s="19">
        <f>Registro[[#This Row],[Mes 1]]+Registro[[#This Row],[Mes 2]]+Registro[[#This Row],[Mes 3]]</f>
        <v>3</v>
      </c>
      <c r="U327" s="19">
        <f>Registro[[#This Row],[Mes 4]]+Registro[[#This Row],[Mes 5]]+Registro[[#This Row],[Mes 6]]</f>
        <v>0</v>
      </c>
      <c r="V327" s="19">
        <f>Registro[[#This Row],[Mes 7]]+Registro[[#This Row],[Mes 8]]+Registro[[#This Row],[Mes 9]]</f>
        <v>0</v>
      </c>
      <c r="W327" s="20">
        <f>Registro[[#This Row],[Mes 10]]+Registro[[#This Row],[Mes 11]]+Registro[[#This Row],[Mes 12]]</f>
        <v>0</v>
      </c>
      <c r="X327" s="20">
        <f>SUM(Registro[[#This Row],[Trim I]],Registro[[#This Row],[Trim II]],Registro[[#This Row],[Trim III]],Registro[[#This Row],[Trim IV]])</f>
        <v>3</v>
      </c>
      <c r="Y327" s="22">
        <f>IFERROR((Registro[[#This Row],[Avance Total]]/Registro[[#This Row],[Meta]]),0)</f>
        <v>6.4655172413793103E-3</v>
      </c>
      <c r="Z327" s="22">
        <f>IFERROR((Registro[[#This Row],[Avance Total]]-Registro[[#This Row],[Línea Base 2025]])/Registro[[#This Row],[Línea Base 2025]],0)</f>
        <v>-0.96250000000000002</v>
      </c>
      <c r="AA327" s="20">
        <v>2026</v>
      </c>
    </row>
    <row r="328" spans="1:27" hidden="1">
      <c r="A328" s="14">
        <v>1026</v>
      </c>
      <c r="B328" s="15" t="s">
        <v>66</v>
      </c>
      <c r="C328" s="16">
        <v>112</v>
      </c>
      <c r="D328" s="16" t="s">
        <v>173</v>
      </c>
      <c r="E328" s="17" t="s">
        <v>7</v>
      </c>
      <c r="F328" s="24">
        <v>48</v>
      </c>
      <c r="G328" s="24">
        <v>76</v>
      </c>
      <c r="H328" s="19">
        <v>0</v>
      </c>
      <c r="I328" s="19">
        <v>0</v>
      </c>
      <c r="T328" s="19">
        <f>Registro[[#This Row],[Mes 1]]+Registro[[#This Row],[Mes 2]]+Registro[[#This Row],[Mes 3]]</f>
        <v>0</v>
      </c>
      <c r="U328" s="19">
        <f>Registro[[#This Row],[Mes 4]]+Registro[[#This Row],[Mes 5]]+Registro[[#This Row],[Mes 6]]</f>
        <v>0</v>
      </c>
      <c r="V328" s="19">
        <f>Registro[[#This Row],[Mes 7]]+Registro[[#This Row],[Mes 8]]+Registro[[#This Row],[Mes 9]]</f>
        <v>0</v>
      </c>
      <c r="W328" s="20">
        <f>Registro[[#This Row],[Mes 10]]+Registro[[#This Row],[Mes 11]]+Registro[[#This Row],[Mes 12]]</f>
        <v>0</v>
      </c>
      <c r="X328" s="20">
        <f>SUM(Registro[[#This Row],[Trim I]],Registro[[#This Row],[Trim II]],Registro[[#This Row],[Trim III]],Registro[[#This Row],[Trim IV]])</f>
        <v>0</v>
      </c>
      <c r="Y328" s="22">
        <f>IFERROR((Registro[[#This Row],[Avance Total]]/Registro[[#This Row],[Meta]]),0)</f>
        <v>0</v>
      </c>
      <c r="Z328" s="22">
        <f>IFERROR((Registro[[#This Row],[Avance Total]]-Registro[[#This Row],[Línea Base 2025]])/Registro[[#This Row],[Línea Base 2025]],0)</f>
        <v>-1</v>
      </c>
      <c r="AA328" s="20">
        <v>2026</v>
      </c>
    </row>
    <row r="329" spans="1:27" hidden="1">
      <c r="A329" s="14">
        <v>1026</v>
      </c>
      <c r="B329" s="15" t="s">
        <v>66</v>
      </c>
      <c r="C329" s="16">
        <v>113</v>
      </c>
      <c r="D329" s="16" t="s">
        <v>179</v>
      </c>
      <c r="E329" s="17" t="s">
        <v>178</v>
      </c>
      <c r="F329" s="24">
        <v>39</v>
      </c>
      <c r="G329" s="24">
        <v>594</v>
      </c>
      <c r="H329" s="19">
        <v>1</v>
      </c>
      <c r="I329" s="19">
        <v>1</v>
      </c>
      <c r="T329" s="19">
        <f>Registro[[#This Row],[Mes 1]]+Registro[[#This Row],[Mes 2]]+Registro[[#This Row],[Mes 3]]</f>
        <v>2</v>
      </c>
      <c r="U329" s="19">
        <f>Registro[[#This Row],[Mes 4]]+Registro[[#This Row],[Mes 5]]+Registro[[#This Row],[Mes 6]]</f>
        <v>0</v>
      </c>
      <c r="V329" s="19">
        <f>Registro[[#This Row],[Mes 7]]+Registro[[#This Row],[Mes 8]]+Registro[[#This Row],[Mes 9]]</f>
        <v>0</v>
      </c>
      <c r="W329" s="20">
        <f>Registro[[#This Row],[Mes 10]]+Registro[[#This Row],[Mes 11]]+Registro[[#This Row],[Mes 12]]</f>
        <v>0</v>
      </c>
      <c r="X329" s="20">
        <f>SUM(Registro[[#This Row],[Trim I]],Registro[[#This Row],[Trim II]],Registro[[#This Row],[Trim III]],Registro[[#This Row],[Trim IV]])</f>
        <v>2</v>
      </c>
      <c r="Y329" s="22">
        <f>IFERROR((Registro[[#This Row],[Avance Total]]/Registro[[#This Row],[Meta]]),0)</f>
        <v>3.3670033670033669E-3</v>
      </c>
      <c r="Z329" s="22">
        <f>IFERROR((Registro[[#This Row],[Avance Total]]-Registro[[#This Row],[Línea Base 2025]])/Registro[[#This Row],[Línea Base 2025]],0)</f>
        <v>-0.94871794871794868</v>
      </c>
      <c r="AA329" s="20">
        <v>2026</v>
      </c>
    </row>
    <row r="330" spans="1:27" hidden="1">
      <c r="A330" s="14">
        <v>1026</v>
      </c>
      <c r="B330" s="15" t="s">
        <v>66</v>
      </c>
      <c r="C330" s="16">
        <v>114</v>
      </c>
      <c r="D330" s="16" t="s">
        <v>181</v>
      </c>
      <c r="E330" s="17" t="s">
        <v>180</v>
      </c>
      <c r="F330" s="24">
        <v>32</v>
      </c>
      <c r="G330" s="24">
        <v>16.5</v>
      </c>
      <c r="H330" s="19">
        <v>1</v>
      </c>
      <c r="I330" s="19">
        <v>0</v>
      </c>
      <c r="T330" s="19">
        <f>Registro[[#This Row],[Mes 1]]+Registro[[#This Row],[Mes 2]]+Registro[[#This Row],[Mes 3]]</f>
        <v>1</v>
      </c>
      <c r="U330" s="19">
        <f>Registro[[#This Row],[Mes 4]]+Registro[[#This Row],[Mes 5]]+Registro[[#This Row],[Mes 6]]</f>
        <v>0</v>
      </c>
      <c r="V330" s="19">
        <f>Registro[[#This Row],[Mes 7]]+Registro[[#This Row],[Mes 8]]+Registro[[#This Row],[Mes 9]]</f>
        <v>0</v>
      </c>
      <c r="W330" s="20">
        <f>Registro[[#This Row],[Mes 10]]+Registro[[#This Row],[Mes 11]]+Registro[[#This Row],[Mes 12]]</f>
        <v>0</v>
      </c>
      <c r="X330" s="20">
        <f>SUM(Registro[[#This Row],[Trim I]],Registro[[#This Row],[Trim II]],Registro[[#This Row],[Trim III]],Registro[[#This Row],[Trim IV]])</f>
        <v>1</v>
      </c>
      <c r="Y330" s="22">
        <f>IFERROR((Registro[[#This Row],[Avance Total]]/Registro[[#This Row],[Meta]]),0)</f>
        <v>6.0606060606060608E-2</v>
      </c>
      <c r="Z330" s="22">
        <f>IFERROR((Registro[[#This Row],[Avance Total]]-Registro[[#This Row],[Línea Base 2025]])/Registro[[#This Row],[Línea Base 2025]],0)</f>
        <v>-0.96875</v>
      </c>
      <c r="AA330" s="20">
        <v>2026</v>
      </c>
    </row>
    <row r="331" spans="1:27" hidden="1">
      <c r="A331" s="14">
        <v>1026</v>
      </c>
      <c r="B331" s="15" t="s">
        <v>66</v>
      </c>
      <c r="C331" s="16">
        <v>115</v>
      </c>
      <c r="D331" s="16" t="s">
        <v>183</v>
      </c>
      <c r="E331" s="17" t="s">
        <v>182</v>
      </c>
      <c r="F331" s="24">
        <v>21</v>
      </c>
      <c r="G331" s="24">
        <v>14.85</v>
      </c>
      <c r="H331" s="19">
        <v>0</v>
      </c>
      <c r="I331" s="19">
        <v>0</v>
      </c>
      <c r="T331" s="19">
        <f>Registro[[#This Row],[Mes 1]]+Registro[[#This Row],[Mes 2]]+Registro[[#This Row],[Mes 3]]</f>
        <v>0</v>
      </c>
      <c r="U331" s="19">
        <f>Registro[[#This Row],[Mes 4]]+Registro[[#This Row],[Mes 5]]+Registro[[#This Row],[Mes 6]]</f>
        <v>0</v>
      </c>
      <c r="V331" s="19">
        <f>Registro[[#This Row],[Mes 7]]+Registro[[#This Row],[Mes 8]]+Registro[[#This Row],[Mes 9]]</f>
        <v>0</v>
      </c>
      <c r="W331" s="20">
        <f>Registro[[#This Row],[Mes 10]]+Registro[[#This Row],[Mes 11]]+Registro[[#This Row],[Mes 12]]</f>
        <v>0</v>
      </c>
      <c r="X331" s="20">
        <f>SUM(Registro[[#This Row],[Trim I]],Registro[[#This Row],[Trim II]],Registro[[#This Row],[Trim III]],Registro[[#This Row],[Trim IV]])</f>
        <v>0</v>
      </c>
      <c r="Y331" s="22">
        <f>IFERROR((Registro[[#This Row],[Avance Total]]/Registro[[#This Row],[Meta]]),0)</f>
        <v>0</v>
      </c>
      <c r="Z331" s="22">
        <f>IFERROR((Registro[[#This Row],[Avance Total]]-Registro[[#This Row],[Línea Base 2025]])/Registro[[#This Row],[Línea Base 2025]],0)</f>
        <v>-1</v>
      </c>
      <c r="AA331" s="20">
        <v>2026</v>
      </c>
    </row>
    <row r="332" spans="1:27">
      <c r="A332" s="14">
        <v>1026</v>
      </c>
      <c r="B332" s="15" t="s">
        <v>66</v>
      </c>
      <c r="C332" s="16">
        <v>116</v>
      </c>
      <c r="D332" s="16" t="s">
        <v>185</v>
      </c>
      <c r="E332" s="17" t="s">
        <v>184</v>
      </c>
      <c r="F332" s="24">
        <v>1</v>
      </c>
      <c r="G332" s="24">
        <v>6.9</v>
      </c>
      <c r="H332" s="19">
        <v>0</v>
      </c>
      <c r="I332" s="19">
        <v>0</v>
      </c>
      <c r="T332" s="19">
        <f>Registro[[#This Row],[Mes 1]]+Registro[[#This Row],[Mes 2]]+Registro[[#This Row],[Mes 3]]</f>
        <v>0</v>
      </c>
      <c r="U332" s="19">
        <f>Registro[[#This Row],[Mes 4]]+Registro[[#This Row],[Mes 5]]+Registro[[#This Row],[Mes 6]]</f>
        <v>0</v>
      </c>
      <c r="V332" s="19">
        <f>Registro[[#This Row],[Mes 7]]+Registro[[#This Row],[Mes 8]]+Registro[[#This Row],[Mes 9]]</f>
        <v>0</v>
      </c>
      <c r="W332" s="20">
        <f>Registro[[#This Row],[Mes 10]]+Registro[[#This Row],[Mes 11]]+Registro[[#This Row],[Mes 12]]</f>
        <v>0</v>
      </c>
      <c r="X332" s="20">
        <f>SUM(Registro[[#This Row],[Trim I]],Registro[[#This Row],[Trim II]],Registro[[#This Row],[Trim III]],Registro[[#This Row],[Trim IV]])</f>
        <v>0</v>
      </c>
      <c r="Y332" s="22">
        <f>IFERROR((Registro[[#This Row],[Avance Total]]/Registro[[#This Row],[Meta]]),0)</f>
        <v>0</v>
      </c>
      <c r="Z332" s="22">
        <f>IFERROR((Registro[[#This Row],[Avance Total]]-Registro[[#This Row],[Línea Base 2025]])/Registro[[#This Row],[Línea Base 2025]],0)</f>
        <v>-1</v>
      </c>
      <c r="AA332" s="20">
        <v>2026</v>
      </c>
    </row>
    <row r="333" spans="1:27" hidden="1">
      <c r="A333" s="14">
        <v>1026</v>
      </c>
      <c r="B333" s="15" t="s">
        <v>66</v>
      </c>
      <c r="C333" s="16">
        <v>117</v>
      </c>
      <c r="D333" s="16" t="s">
        <v>187</v>
      </c>
      <c r="E333" s="17" t="s">
        <v>186</v>
      </c>
      <c r="F333" s="24">
        <v>3</v>
      </c>
      <c r="G333" s="24">
        <v>12.04</v>
      </c>
      <c r="H333" s="19">
        <v>0</v>
      </c>
      <c r="I333" s="19">
        <v>0</v>
      </c>
      <c r="T333" s="19">
        <f>Registro[[#This Row],[Mes 1]]+Registro[[#This Row],[Mes 2]]+Registro[[#This Row],[Mes 3]]</f>
        <v>0</v>
      </c>
      <c r="U333" s="19">
        <f>Registro[[#This Row],[Mes 4]]+Registro[[#This Row],[Mes 5]]+Registro[[#This Row],[Mes 6]]</f>
        <v>0</v>
      </c>
      <c r="V333" s="19">
        <f>Registro[[#This Row],[Mes 7]]+Registro[[#This Row],[Mes 8]]+Registro[[#This Row],[Mes 9]]</f>
        <v>0</v>
      </c>
      <c r="W333" s="20">
        <f>Registro[[#This Row],[Mes 10]]+Registro[[#This Row],[Mes 11]]+Registro[[#This Row],[Mes 12]]</f>
        <v>0</v>
      </c>
      <c r="X333" s="20">
        <f>SUM(Registro[[#This Row],[Trim I]],Registro[[#This Row],[Trim II]],Registro[[#This Row],[Trim III]],Registro[[#This Row],[Trim IV]])</f>
        <v>0</v>
      </c>
      <c r="Y333" s="22">
        <f>IFERROR((Registro[[#This Row],[Avance Total]]/Registro[[#This Row],[Meta]]),0)</f>
        <v>0</v>
      </c>
      <c r="Z333" s="22">
        <f>IFERROR((Registro[[#This Row],[Avance Total]]-Registro[[#This Row],[Línea Base 2025]])/Registro[[#This Row],[Línea Base 2025]],0)</f>
        <v>-1</v>
      </c>
      <c r="AA333" s="20">
        <v>2026</v>
      </c>
    </row>
    <row r="334" spans="1:27" hidden="1">
      <c r="A334" s="14">
        <v>1026</v>
      </c>
      <c r="B334" s="15" t="s">
        <v>66</v>
      </c>
      <c r="C334" s="16">
        <v>118</v>
      </c>
      <c r="D334" s="16" t="s">
        <v>188</v>
      </c>
      <c r="E334" s="17" t="s">
        <v>9</v>
      </c>
      <c r="F334" s="24">
        <v>0</v>
      </c>
      <c r="G334" s="24">
        <v>2</v>
      </c>
      <c r="H334" s="19">
        <v>0</v>
      </c>
      <c r="I334" s="19">
        <v>0</v>
      </c>
      <c r="T334" s="19">
        <f>Registro[[#This Row],[Mes 1]]+Registro[[#This Row],[Mes 2]]+Registro[[#This Row],[Mes 3]]</f>
        <v>0</v>
      </c>
      <c r="U334" s="19">
        <f>Registro[[#This Row],[Mes 4]]+Registro[[#This Row],[Mes 5]]+Registro[[#This Row],[Mes 6]]</f>
        <v>0</v>
      </c>
      <c r="V334" s="19">
        <f>Registro[[#This Row],[Mes 7]]+Registro[[#This Row],[Mes 8]]+Registro[[#This Row],[Mes 9]]</f>
        <v>0</v>
      </c>
      <c r="W334" s="20">
        <f>Registro[[#This Row],[Mes 10]]+Registro[[#This Row],[Mes 11]]+Registro[[#This Row],[Mes 12]]</f>
        <v>0</v>
      </c>
      <c r="X334" s="20">
        <f>SUM(Registro[[#This Row],[Trim I]],Registro[[#This Row],[Trim II]],Registro[[#This Row],[Trim III]],Registro[[#This Row],[Trim IV]])</f>
        <v>0</v>
      </c>
      <c r="Y334" s="22">
        <f>IFERROR((Registro[[#This Row],[Avance Total]]/Registro[[#This Row],[Meta]]),0)</f>
        <v>0</v>
      </c>
      <c r="Z334" s="22">
        <f>IFERROR((Registro[[#This Row],[Avance Total]]-Registro[[#This Row],[Línea Base 2025]])/Registro[[#This Row],[Línea Base 2025]],0)</f>
        <v>0</v>
      </c>
      <c r="AA334" s="20">
        <v>2026</v>
      </c>
    </row>
    <row r="335" spans="1:27" hidden="1">
      <c r="A335" s="14">
        <v>1026</v>
      </c>
      <c r="B335" s="15" t="s">
        <v>66</v>
      </c>
      <c r="C335" s="16">
        <v>119</v>
      </c>
      <c r="D335" s="16" t="s">
        <v>190</v>
      </c>
      <c r="E335" s="17" t="s">
        <v>189</v>
      </c>
      <c r="F335" s="24">
        <v>0</v>
      </c>
      <c r="G335" s="24">
        <v>5.5200000000000005</v>
      </c>
      <c r="H335" s="19">
        <v>0</v>
      </c>
      <c r="I335" s="19">
        <v>0</v>
      </c>
      <c r="T335" s="19">
        <f>Registro[[#This Row],[Mes 1]]+Registro[[#This Row],[Mes 2]]+Registro[[#This Row],[Mes 3]]</f>
        <v>0</v>
      </c>
      <c r="U335" s="19">
        <f>Registro[[#This Row],[Mes 4]]+Registro[[#This Row],[Mes 5]]+Registro[[#This Row],[Mes 6]]</f>
        <v>0</v>
      </c>
      <c r="V335" s="19">
        <f>Registro[[#This Row],[Mes 7]]+Registro[[#This Row],[Mes 8]]+Registro[[#This Row],[Mes 9]]</f>
        <v>0</v>
      </c>
      <c r="W335" s="20">
        <f>Registro[[#This Row],[Mes 10]]+Registro[[#This Row],[Mes 11]]+Registro[[#This Row],[Mes 12]]</f>
        <v>0</v>
      </c>
      <c r="X335" s="20">
        <f>SUM(Registro[[#This Row],[Trim I]],Registro[[#This Row],[Trim II]],Registro[[#This Row],[Trim III]],Registro[[#This Row],[Trim IV]])</f>
        <v>0</v>
      </c>
      <c r="Y335" s="22">
        <f>IFERROR((Registro[[#This Row],[Avance Total]]/Registro[[#This Row],[Meta]]),0)</f>
        <v>0</v>
      </c>
      <c r="Z335" s="22">
        <f>IFERROR((Registro[[#This Row],[Avance Total]]-Registro[[#This Row],[Línea Base 2025]])/Registro[[#This Row],[Línea Base 2025]],0)</f>
        <v>0</v>
      </c>
      <c r="AA335" s="20">
        <v>2026</v>
      </c>
    </row>
    <row r="336" spans="1:27" hidden="1">
      <c r="A336" s="14">
        <v>1026</v>
      </c>
      <c r="B336" s="15" t="s">
        <v>66</v>
      </c>
      <c r="C336" s="16">
        <v>120</v>
      </c>
      <c r="D336" s="16" t="s">
        <v>192</v>
      </c>
      <c r="E336" s="17" t="s">
        <v>191</v>
      </c>
      <c r="F336" s="24">
        <v>43</v>
      </c>
      <c r="G336" s="24">
        <v>100</v>
      </c>
      <c r="H336" s="19">
        <v>0</v>
      </c>
      <c r="I336" s="19">
        <v>2</v>
      </c>
      <c r="T336" s="19">
        <f>Registro[[#This Row],[Mes 1]]+Registro[[#This Row],[Mes 2]]+Registro[[#This Row],[Mes 3]]</f>
        <v>2</v>
      </c>
      <c r="U336" s="19">
        <f>Registro[[#This Row],[Mes 4]]+Registro[[#This Row],[Mes 5]]+Registro[[#This Row],[Mes 6]]</f>
        <v>0</v>
      </c>
      <c r="V336" s="19">
        <f>Registro[[#This Row],[Mes 7]]+Registro[[#This Row],[Mes 8]]+Registro[[#This Row],[Mes 9]]</f>
        <v>0</v>
      </c>
      <c r="W336" s="20">
        <f>Registro[[#This Row],[Mes 10]]+Registro[[#This Row],[Mes 11]]+Registro[[#This Row],[Mes 12]]</f>
        <v>0</v>
      </c>
      <c r="X336" s="20">
        <f>SUM(Registro[[#This Row],[Trim I]],Registro[[#This Row],[Trim II]],Registro[[#This Row],[Trim III]],Registro[[#This Row],[Trim IV]])</f>
        <v>2</v>
      </c>
      <c r="Y336" s="22">
        <f>IFERROR((Registro[[#This Row],[Avance Total]]/Registro[[#This Row],[Meta]]),0)</f>
        <v>0.02</v>
      </c>
      <c r="Z336" s="22">
        <f>IFERROR((Registro[[#This Row],[Avance Total]]-Registro[[#This Row],[Línea Base 2025]])/Registro[[#This Row],[Línea Base 2025]],0)</f>
        <v>-0.95348837209302328</v>
      </c>
      <c r="AA336" s="20">
        <v>2026</v>
      </c>
    </row>
    <row r="337" spans="1:27" hidden="1">
      <c r="A337" s="14">
        <v>1026</v>
      </c>
      <c r="B337" s="15" t="s">
        <v>66</v>
      </c>
      <c r="C337" s="16">
        <v>121</v>
      </c>
      <c r="D337" s="16" t="s">
        <v>194</v>
      </c>
      <c r="E337" s="17" t="s">
        <v>193</v>
      </c>
      <c r="F337" s="24">
        <v>28</v>
      </c>
      <c r="G337" s="24">
        <v>35</v>
      </c>
      <c r="H337" s="19">
        <v>0</v>
      </c>
      <c r="I337" s="19">
        <v>0</v>
      </c>
      <c r="T337" s="19">
        <f>Registro[[#This Row],[Mes 1]]+Registro[[#This Row],[Mes 2]]+Registro[[#This Row],[Mes 3]]</f>
        <v>0</v>
      </c>
      <c r="U337" s="19">
        <f>Registro[[#This Row],[Mes 4]]+Registro[[#This Row],[Mes 5]]+Registro[[#This Row],[Mes 6]]</f>
        <v>0</v>
      </c>
      <c r="V337" s="19">
        <f>Registro[[#This Row],[Mes 7]]+Registro[[#This Row],[Mes 8]]+Registro[[#This Row],[Mes 9]]</f>
        <v>0</v>
      </c>
      <c r="W337" s="20">
        <f>Registro[[#This Row],[Mes 10]]+Registro[[#This Row],[Mes 11]]+Registro[[#This Row],[Mes 12]]</f>
        <v>0</v>
      </c>
      <c r="X337" s="20">
        <f>SUM(Registro[[#This Row],[Trim I]],Registro[[#This Row],[Trim II]],Registro[[#This Row],[Trim III]],Registro[[#This Row],[Trim IV]])</f>
        <v>0</v>
      </c>
      <c r="Y337" s="22">
        <f>IFERROR((Registro[[#This Row],[Avance Total]]/Registro[[#This Row],[Meta]]),0)</f>
        <v>0</v>
      </c>
      <c r="Z337" s="22">
        <f>IFERROR((Registro[[#This Row],[Avance Total]]-Registro[[#This Row],[Línea Base 2025]])/Registro[[#This Row],[Línea Base 2025]],0)</f>
        <v>-1</v>
      </c>
      <c r="AA337" s="20">
        <v>2026</v>
      </c>
    </row>
    <row r="338" spans="1:27" hidden="1">
      <c r="A338" s="14">
        <v>1026</v>
      </c>
      <c r="B338" s="15" t="s">
        <v>66</v>
      </c>
      <c r="C338" s="16">
        <v>122</v>
      </c>
      <c r="D338" s="16" t="s">
        <v>196</v>
      </c>
      <c r="E338" s="17" t="s">
        <v>195</v>
      </c>
      <c r="F338" s="24">
        <v>1</v>
      </c>
      <c r="G338" s="24">
        <v>8</v>
      </c>
      <c r="H338" s="19">
        <v>0</v>
      </c>
      <c r="I338" s="19">
        <v>0</v>
      </c>
      <c r="T338" s="19">
        <f>Registro[[#This Row],[Mes 1]]+Registro[[#This Row],[Mes 2]]+Registro[[#This Row],[Mes 3]]</f>
        <v>0</v>
      </c>
      <c r="U338" s="19">
        <f>Registro[[#This Row],[Mes 4]]+Registro[[#This Row],[Mes 5]]+Registro[[#This Row],[Mes 6]]</f>
        <v>0</v>
      </c>
      <c r="V338" s="19">
        <f>Registro[[#This Row],[Mes 7]]+Registro[[#This Row],[Mes 8]]+Registro[[#This Row],[Mes 9]]</f>
        <v>0</v>
      </c>
      <c r="W338" s="20">
        <f>Registro[[#This Row],[Mes 10]]+Registro[[#This Row],[Mes 11]]+Registro[[#This Row],[Mes 12]]</f>
        <v>0</v>
      </c>
      <c r="X338" s="20">
        <f>SUM(Registro[[#This Row],[Trim I]],Registro[[#This Row],[Trim II]],Registro[[#This Row],[Trim III]],Registro[[#This Row],[Trim IV]])</f>
        <v>0</v>
      </c>
      <c r="Y338" s="22">
        <f>IFERROR((Registro[[#This Row],[Avance Total]]/Registro[[#This Row],[Meta]]),0)</f>
        <v>0</v>
      </c>
      <c r="Z338" s="22">
        <f>IFERROR((Registro[[#This Row],[Avance Total]]-Registro[[#This Row],[Línea Base 2025]])/Registro[[#This Row],[Línea Base 2025]],0)</f>
        <v>-1</v>
      </c>
      <c r="AA338" s="20">
        <v>2026</v>
      </c>
    </row>
    <row r="339" spans="1:27" hidden="1">
      <c r="A339" s="14">
        <v>1026</v>
      </c>
      <c r="B339" s="15" t="s">
        <v>66</v>
      </c>
      <c r="C339" s="16">
        <v>123</v>
      </c>
      <c r="D339" s="16" t="s">
        <v>198</v>
      </c>
      <c r="E339" s="17" t="s">
        <v>197</v>
      </c>
      <c r="F339" s="24">
        <v>0</v>
      </c>
      <c r="G339" s="24">
        <v>9</v>
      </c>
      <c r="H339" s="19">
        <v>0</v>
      </c>
      <c r="I339" s="19">
        <v>0</v>
      </c>
      <c r="T339" s="19">
        <f>Registro[[#This Row],[Mes 1]]+Registro[[#This Row],[Mes 2]]+Registro[[#This Row],[Mes 3]]</f>
        <v>0</v>
      </c>
      <c r="U339" s="19">
        <f>Registro[[#This Row],[Mes 4]]+Registro[[#This Row],[Mes 5]]+Registro[[#This Row],[Mes 6]]</f>
        <v>0</v>
      </c>
      <c r="V339" s="19">
        <f>Registro[[#This Row],[Mes 7]]+Registro[[#This Row],[Mes 8]]+Registro[[#This Row],[Mes 9]]</f>
        <v>0</v>
      </c>
      <c r="W339" s="20">
        <f>Registro[[#This Row],[Mes 10]]+Registro[[#This Row],[Mes 11]]+Registro[[#This Row],[Mes 12]]</f>
        <v>0</v>
      </c>
      <c r="X339" s="20">
        <f>SUM(Registro[[#This Row],[Trim I]],Registro[[#This Row],[Trim II]],Registro[[#This Row],[Trim III]],Registro[[#This Row],[Trim IV]])</f>
        <v>0</v>
      </c>
      <c r="Y339" s="22">
        <f>IFERROR((Registro[[#This Row],[Avance Total]]/Registro[[#This Row],[Meta]]),0)</f>
        <v>0</v>
      </c>
      <c r="Z339" s="22">
        <f>IFERROR((Registro[[#This Row],[Avance Total]]-Registro[[#This Row],[Línea Base 2025]])/Registro[[#This Row],[Línea Base 2025]],0)</f>
        <v>0</v>
      </c>
      <c r="AA339" s="20">
        <v>2026</v>
      </c>
    </row>
    <row r="340" spans="1:27" hidden="1">
      <c r="A340" s="14">
        <v>1027</v>
      </c>
      <c r="B340" s="15" t="s">
        <v>67</v>
      </c>
      <c r="C340" s="16">
        <v>111</v>
      </c>
      <c r="D340" s="16" t="s">
        <v>171</v>
      </c>
      <c r="E340" s="17" t="s">
        <v>172</v>
      </c>
      <c r="F340" s="24">
        <v>15</v>
      </c>
      <c r="G340" s="24">
        <v>299</v>
      </c>
      <c r="H340" s="19">
        <v>0</v>
      </c>
      <c r="I340" s="19">
        <v>4</v>
      </c>
      <c r="T340" s="19">
        <f>Registro[[#This Row],[Mes 1]]+Registro[[#This Row],[Mes 2]]+Registro[[#This Row],[Mes 3]]</f>
        <v>4</v>
      </c>
      <c r="U340" s="19">
        <f>Registro[[#This Row],[Mes 4]]+Registro[[#This Row],[Mes 5]]+Registro[[#This Row],[Mes 6]]</f>
        <v>0</v>
      </c>
      <c r="V340" s="19">
        <f>Registro[[#This Row],[Mes 7]]+Registro[[#This Row],[Mes 8]]+Registro[[#This Row],[Mes 9]]</f>
        <v>0</v>
      </c>
      <c r="W340" s="20">
        <f>Registro[[#This Row],[Mes 10]]+Registro[[#This Row],[Mes 11]]+Registro[[#This Row],[Mes 12]]</f>
        <v>0</v>
      </c>
      <c r="X340" s="20">
        <f>SUM(Registro[[#This Row],[Trim I]],Registro[[#This Row],[Trim II]],Registro[[#This Row],[Trim III]],Registro[[#This Row],[Trim IV]])</f>
        <v>4</v>
      </c>
      <c r="Y340" s="22">
        <f>IFERROR((Registro[[#This Row],[Avance Total]]/Registro[[#This Row],[Meta]]),0)</f>
        <v>1.3377926421404682E-2</v>
      </c>
      <c r="Z340" s="22">
        <f>IFERROR((Registro[[#This Row],[Avance Total]]-Registro[[#This Row],[Línea Base 2025]])/Registro[[#This Row],[Línea Base 2025]],0)</f>
        <v>-0.73333333333333328</v>
      </c>
      <c r="AA340" s="20">
        <v>2026</v>
      </c>
    </row>
    <row r="341" spans="1:27" hidden="1">
      <c r="A341" s="14">
        <v>1027</v>
      </c>
      <c r="B341" s="15" t="s">
        <v>67</v>
      </c>
      <c r="C341" s="16">
        <v>112</v>
      </c>
      <c r="D341" s="16" t="s">
        <v>173</v>
      </c>
      <c r="E341" s="17" t="s">
        <v>7</v>
      </c>
      <c r="F341" s="24">
        <v>8</v>
      </c>
      <c r="G341" s="24">
        <v>46</v>
      </c>
      <c r="H341" s="19">
        <v>0</v>
      </c>
      <c r="I341" s="19">
        <v>0</v>
      </c>
      <c r="T341" s="19">
        <f>Registro[[#This Row],[Mes 1]]+Registro[[#This Row],[Mes 2]]+Registro[[#This Row],[Mes 3]]</f>
        <v>0</v>
      </c>
      <c r="U341" s="19">
        <f>Registro[[#This Row],[Mes 4]]+Registro[[#This Row],[Mes 5]]+Registro[[#This Row],[Mes 6]]</f>
        <v>0</v>
      </c>
      <c r="V341" s="19">
        <f>Registro[[#This Row],[Mes 7]]+Registro[[#This Row],[Mes 8]]+Registro[[#This Row],[Mes 9]]</f>
        <v>0</v>
      </c>
      <c r="W341" s="20">
        <f>Registro[[#This Row],[Mes 10]]+Registro[[#This Row],[Mes 11]]+Registro[[#This Row],[Mes 12]]</f>
        <v>0</v>
      </c>
      <c r="X341" s="20">
        <f>SUM(Registro[[#This Row],[Trim I]],Registro[[#This Row],[Trim II]],Registro[[#This Row],[Trim III]],Registro[[#This Row],[Trim IV]])</f>
        <v>0</v>
      </c>
      <c r="Y341" s="22">
        <f>IFERROR((Registro[[#This Row],[Avance Total]]/Registro[[#This Row],[Meta]]),0)</f>
        <v>0</v>
      </c>
      <c r="Z341" s="22">
        <f>IFERROR((Registro[[#This Row],[Avance Total]]-Registro[[#This Row],[Línea Base 2025]])/Registro[[#This Row],[Línea Base 2025]],0)</f>
        <v>-1</v>
      </c>
      <c r="AA341" s="20">
        <v>2026</v>
      </c>
    </row>
    <row r="342" spans="1:27" hidden="1">
      <c r="A342" s="14">
        <v>1027</v>
      </c>
      <c r="B342" s="15" t="s">
        <v>67</v>
      </c>
      <c r="C342" s="16">
        <v>113</v>
      </c>
      <c r="D342" s="16" t="s">
        <v>179</v>
      </c>
      <c r="E342" s="17" t="s">
        <v>178</v>
      </c>
      <c r="F342" s="24">
        <v>21</v>
      </c>
      <c r="G342" s="24">
        <v>280</v>
      </c>
      <c r="H342" s="19">
        <v>0</v>
      </c>
      <c r="I342" s="19">
        <v>0</v>
      </c>
      <c r="T342" s="19">
        <f>Registro[[#This Row],[Mes 1]]+Registro[[#This Row],[Mes 2]]+Registro[[#This Row],[Mes 3]]</f>
        <v>0</v>
      </c>
      <c r="U342" s="19">
        <f>Registro[[#This Row],[Mes 4]]+Registro[[#This Row],[Mes 5]]+Registro[[#This Row],[Mes 6]]</f>
        <v>0</v>
      </c>
      <c r="V342" s="19">
        <f>Registro[[#This Row],[Mes 7]]+Registro[[#This Row],[Mes 8]]+Registro[[#This Row],[Mes 9]]</f>
        <v>0</v>
      </c>
      <c r="W342" s="20">
        <f>Registro[[#This Row],[Mes 10]]+Registro[[#This Row],[Mes 11]]+Registro[[#This Row],[Mes 12]]</f>
        <v>0</v>
      </c>
      <c r="X342" s="20">
        <f>SUM(Registro[[#This Row],[Trim I]],Registro[[#This Row],[Trim II]],Registro[[#This Row],[Trim III]],Registro[[#This Row],[Trim IV]])</f>
        <v>0</v>
      </c>
      <c r="Y342" s="22">
        <f>IFERROR((Registro[[#This Row],[Avance Total]]/Registro[[#This Row],[Meta]]),0)</f>
        <v>0</v>
      </c>
      <c r="Z342" s="22">
        <f>IFERROR((Registro[[#This Row],[Avance Total]]-Registro[[#This Row],[Línea Base 2025]])/Registro[[#This Row],[Línea Base 2025]],0)</f>
        <v>-1</v>
      </c>
      <c r="AA342" s="20">
        <v>2026</v>
      </c>
    </row>
    <row r="343" spans="1:27" hidden="1">
      <c r="A343" s="14">
        <v>1027</v>
      </c>
      <c r="B343" s="15" t="s">
        <v>67</v>
      </c>
      <c r="C343" s="16">
        <v>114</v>
      </c>
      <c r="D343" s="16" t="s">
        <v>181</v>
      </c>
      <c r="E343" s="17" t="s">
        <v>180</v>
      </c>
      <c r="F343" s="24">
        <v>3</v>
      </c>
      <c r="G343" s="24">
        <v>10.199999999999999</v>
      </c>
      <c r="H343" s="19">
        <v>2</v>
      </c>
      <c r="I343" s="19">
        <v>0</v>
      </c>
      <c r="T343" s="19">
        <f>Registro[[#This Row],[Mes 1]]+Registro[[#This Row],[Mes 2]]+Registro[[#This Row],[Mes 3]]</f>
        <v>2</v>
      </c>
      <c r="U343" s="19">
        <f>Registro[[#This Row],[Mes 4]]+Registro[[#This Row],[Mes 5]]+Registro[[#This Row],[Mes 6]]</f>
        <v>0</v>
      </c>
      <c r="V343" s="19">
        <f>Registro[[#This Row],[Mes 7]]+Registro[[#This Row],[Mes 8]]+Registro[[#This Row],[Mes 9]]</f>
        <v>0</v>
      </c>
      <c r="W343" s="20">
        <f>Registro[[#This Row],[Mes 10]]+Registro[[#This Row],[Mes 11]]+Registro[[#This Row],[Mes 12]]</f>
        <v>0</v>
      </c>
      <c r="X343" s="20">
        <f>SUM(Registro[[#This Row],[Trim I]],Registro[[#This Row],[Trim II]],Registro[[#This Row],[Trim III]],Registro[[#This Row],[Trim IV]])</f>
        <v>2</v>
      </c>
      <c r="Y343" s="22">
        <f>IFERROR((Registro[[#This Row],[Avance Total]]/Registro[[#This Row],[Meta]]),0)</f>
        <v>0.19607843137254904</v>
      </c>
      <c r="Z343" s="22">
        <f>IFERROR((Registro[[#This Row],[Avance Total]]-Registro[[#This Row],[Línea Base 2025]])/Registro[[#This Row],[Línea Base 2025]],0)</f>
        <v>-0.33333333333333331</v>
      </c>
      <c r="AA343" s="20">
        <v>2026</v>
      </c>
    </row>
    <row r="344" spans="1:27" hidden="1">
      <c r="A344" s="14">
        <v>1027</v>
      </c>
      <c r="B344" s="15" t="s">
        <v>67</v>
      </c>
      <c r="C344" s="16">
        <v>115</v>
      </c>
      <c r="D344" s="16" t="s">
        <v>183</v>
      </c>
      <c r="E344" s="17" t="s">
        <v>182</v>
      </c>
      <c r="F344" s="24">
        <v>2</v>
      </c>
      <c r="G344" s="24">
        <v>9.18</v>
      </c>
      <c r="H344" s="19">
        <v>0</v>
      </c>
      <c r="I344" s="19">
        <v>0</v>
      </c>
      <c r="T344" s="19">
        <f>Registro[[#This Row],[Mes 1]]+Registro[[#This Row],[Mes 2]]+Registro[[#This Row],[Mes 3]]</f>
        <v>0</v>
      </c>
      <c r="U344" s="19">
        <f>Registro[[#This Row],[Mes 4]]+Registro[[#This Row],[Mes 5]]+Registro[[#This Row],[Mes 6]]</f>
        <v>0</v>
      </c>
      <c r="V344" s="19">
        <f>Registro[[#This Row],[Mes 7]]+Registro[[#This Row],[Mes 8]]+Registro[[#This Row],[Mes 9]]</f>
        <v>0</v>
      </c>
      <c r="W344" s="20">
        <f>Registro[[#This Row],[Mes 10]]+Registro[[#This Row],[Mes 11]]+Registro[[#This Row],[Mes 12]]</f>
        <v>0</v>
      </c>
      <c r="X344" s="20">
        <f>SUM(Registro[[#This Row],[Trim I]],Registro[[#This Row],[Trim II]],Registro[[#This Row],[Trim III]],Registro[[#This Row],[Trim IV]])</f>
        <v>0</v>
      </c>
      <c r="Y344" s="22">
        <f>IFERROR((Registro[[#This Row],[Avance Total]]/Registro[[#This Row],[Meta]]),0)</f>
        <v>0</v>
      </c>
      <c r="Z344" s="22">
        <f>IFERROR((Registro[[#This Row],[Avance Total]]-Registro[[#This Row],[Línea Base 2025]])/Registro[[#This Row],[Línea Base 2025]],0)</f>
        <v>-1</v>
      </c>
      <c r="AA344" s="20">
        <v>2026</v>
      </c>
    </row>
    <row r="345" spans="1:27">
      <c r="A345" s="14">
        <v>1027</v>
      </c>
      <c r="B345" s="15" t="s">
        <v>67</v>
      </c>
      <c r="C345" s="16">
        <v>116</v>
      </c>
      <c r="D345" s="16" t="s">
        <v>185</v>
      </c>
      <c r="E345" s="17" t="s">
        <v>184</v>
      </c>
      <c r="F345" s="24">
        <v>1</v>
      </c>
      <c r="G345" s="24">
        <v>7.36</v>
      </c>
      <c r="H345" s="19">
        <v>0</v>
      </c>
      <c r="I345" s="19">
        <v>0</v>
      </c>
      <c r="T345" s="19">
        <f>Registro[[#This Row],[Mes 1]]+Registro[[#This Row],[Mes 2]]+Registro[[#This Row],[Mes 3]]</f>
        <v>0</v>
      </c>
      <c r="U345" s="19">
        <f>Registro[[#This Row],[Mes 4]]+Registro[[#This Row],[Mes 5]]+Registro[[#This Row],[Mes 6]]</f>
        <v>0</v>
      </c>
      <c r="V345" s="19">
        <f>Registro[[#This Row],[Mes 7]]+Registro[[#This Row],[Mes 8]]+Registro[[#This Row],[Mes 9]]</f>
        <v>0</v>
      </c>
      <c r="W345" s="20">
        <f>Registro[[#This Row],[Mes 10]]+Registro[[#This Row],[Mes 11]]+Registro[[#This Row],[Mes 12]]</f>
        <v>0</v>
      </c>
      <c r="X345" s="20">
        <f>SUM(Registro[[#This Row],[Trim I]],Registro[[#This Row],[Trim II]],Registro[[#This Row],[Trim III]],Registro[[#This Row],[Trim IV]])</f>
        <v>0</v>
      </c>
      <c r="Y345" s="22">
        <f>IFERROR((Registro[[#This Row],[Avance Total]]/Registro[[#This Row],[Meta]]),0)</f>
        <v>0</v>
      </c>
      <c r="Z345" s="22">
        <f>IFERROR((Registro[[#This Row],[Avance Total]]-Registro[[#This Row],[Línea Base 2025]])/Registro[[#This Row],[Línea Base 2025]],0)</f>
        <v>-1</v>
      </c>
      <c r="AA345" s="20">
        <v>2026</v>
      </c>
    </row>
    <row r="346" spans="1:27" hidden="1">
      <c r="A346" s="14">
        <v>1027</v>
      </c>
      <c r="B346" s="15" t="s">
        <v>67</v>
      </c>
      <c r="C346" s="16">
        <v>117</v>
      </c>
      <c r="D346" s="16" t="s">
        <v>187</v>
      </c>
      <c r="E346" s="17" t="s">
        <v>186</v>
      </c>
      <c r="F346" s="24">
        <v>0</v>
      </c>
      <c r="G346" s="24">
        <v>2.16</v>
      </c>
      <c r="H346" s="19">
        <v>0</v>
      </c>
      <c r="I346" s="19">
        <v>0</v>
      </c>
      <c r="T346" s="19">
        <f>Registro[[#This Row],[Mes 1]]+Registro[[#This Row],[Mes 2]]+Registro[[#This Row],[Mes 3]]</f>
        <v>0</v>
      </c>
      <c r="U346" s="19">
        <f>Registro[[#This Row],[Mes 4]]+Registro[[#This Row],[Mes 5]]+Registro[[#This Row],[Mes 6]]</f>
        <v>0</v>
      </c>
      <c r="V346" s="19">
        <f>Registro[[#This Row],[Mes 7]]+Registro[[#This Row],[Mes 8]]+Registro[[#This Row],[Mes 9]]</f>
        <v>0</v>
      </c>
      <c r="W346" s="20">
        <f>Registro[[#This Row],[Mes 10]]+Registro[[#This Row],[Mes 11]]+Registro[[#This Row],[Mes 12]]</f>
        <v>0</v>
      </c>
      <c r="X346" s="20">
        <f>SUM(Registro[[#This Row],[Trim I]],Registro[[#This Row],[Trim II]],Registro[[#This Row],[Trim III]],Registro[[#This Row],[Trim IV]])</f>
        <v>0</v>
      </c>
      <c r="Y346" s="22">
        <f>IFERROR((Registro[[#This Row],[Avance Total]]/Registro[[#This Row],[Meta]]),0)</f>
        <v>0</v>
      </c>
      <c r="Z346" s="22">
        <f>IFERROR((Registro[[#This Row],[Avance Total]]-Registro[[#This Row],[Línea Base 2025]])/Registro[[#This Row],[Línea Base 2025]],0)</f>
        <v>0</v>
      </c>
      <c r="AA346" s="20">
        <v>2026</v>
      </c>
    </row>
    <row r="347" spans="1:27" hidden="1">
      <c r="A347" s="14">
        <v>1027</v>
      </c>
      <c r="B347" s="15" t="s">
        <v>67</v>
      </c>
      <c r="C347" s="16">
        <v>118</v>
      </c>
      <c r="D347" s="16" t="s">
        <v>188</v>
      </c>
      <c r="E347" s="17" t="s">
        <v>9</v>
      </c>
      <c r="F347" s="24">
        <v>0</v>
      </c>
      <c r="G347" s="24">
        <v>8</v>
      </c>
      <c r="H347" s="19">
        <v>0</v>
      </c>
      <c r="I347" s="19">
        <v>0</v>
      </c>
      <c r="T347" s="19">
        <f>Registro[[#This Row],[Mes 1]]+Registro[[#This Row],[Mes 2]]+Registro[[#This Row],[Mes 3]]</f>
        <v>0</v>
      </c>
      <c r="U347" s="19">
        <f>Registro[[#This Row],[Mes 4]]+Registro[[#This Row],[Mes 5]]+Registro[[#This Row],[Mes 6]]</f>
        <v>0</v>
      </c>
      <c r="V347" s="19">
        <f>Registro[[#This Row],[Mes 7]]+Registro[[#This Row],[Mes 8]]+Registro[[#This Row],[Mes 9]]</f>
        <v>0</v>
      </c>
      <c r="W347" s="20">
        <f>Registro[[#This Row],[Mes 10]]+Registro[[#This Row],[Mes 11]]+Registro[[#This Row],[Mes 12]]</f>
        <v>0</v>
      </c>
      <c r="X347" s="20">
        <f>SUM(Registro[[#This Row],[Trim I]],Registro[[#This Row],[Trim II]],Registro[[#This Row],[Trim III]],Registro[[#This Row],[Trim IV]])</f>
        <v>0</v>
      </c>
      <c r="Y347" s="22">
        <f>IFERROR((Registro[[#This Row],[Avance Total]]/Registro[[#This Row],[Meta]]),0)</f>
        <v>0</v>
      </c>
      <c r="Z347" s="22">
        <f>IFERROR((Registro[[#This Row],[Avance Total]]-Registro[[#This Row],[Línea Base 2025]])/Registro[[#This Row],[Línea Base 2025]],0)</f>
        <v>0</v>
      </c>
      <c r="AA347" s="20">
        <v>2026</v>
      </c>
    </row>
    <row r="348" spans="1:27" hidden="1">
      <c r="A348" s="14">
        <v>1027</v>
      </c>
      <c r="B348" s="15" t="s">
        <v>67</v>
      </c>
      <c r="C348" s="16">
        <v>119</v>
      </c>
      <c r="D348" s="16" t="s">
        <v>190</v>
      </c>
      <c r="E348" s="17" t="s">
        <v>189</v>
      </c>
      <c r="F348" s="24">
        <v>0</v>
      </c>
      <c r="G348" s="24">
        <v>5.8880000000000008</v>
      </c>
      <c r="H348" s="19">
        <v>0</v>
      </c>
      <c r="I348" s="19">
        <v>0</v>
      </c>
      <c r="T348" s="19">
        <f>Registro[[#This Row],[Mes 1]]+Registro[[#This Row],[Mes 2]]+Registro[[#This Row],[Mes 3]]</f>
        <v>0</v>
      </c>
      <c r="U348" s="19">
        <f>Registro[[#This Row],[Mes 4]]+Registro[[#This Row],[Mes 5]]+Registro[[#This Row],[Mes 6]]</f>
        <v>0</v>
      </c>
      <c r="V348" s="19">
        <f>Registro[[#This Row],[Mes 7]]+Registro[[#This Row],[Mes 8]]+Registro[[#This Row],[Mes 9]]</f>
        <v>0</v>
      </c>
      <c r="W348" s="20">
        <f>Registro[[#This Row],[Mes 10]]+Registro[[#This Row],[Mes 11]]+Registro[[#This Row],[Mes 12]]</f>
        <v>0</v>
      </c>
      <c r="X348" s="20">
        <f>SUM(Registro[[#This Row],[Trim I]],Registro[[#This Row],[Trim II]],Registro[[#This Row],[Trim III]],Registro[[#This Row],[Trim IV]])</f>
        <v>0</v>
      </c>
      <c r="Y348" s="22">
        <f>IFERROR((Registro[[#This Row],[Avance Total]]/Registro[[#This Row],[Meta]]),0)</f>
        <v>0</v>
      </c>
      <c r="Z348" s="22">
        <f>IFERROR((Registro[[#This Row],[Avance Total]]-Registro[[#This Row],[Línea Base 2025]])/Registro[[#This Row],[Línea Base 2025]],0)</f>
        <v>0</v>
      </c>
      <c r="AA348" s="20">
        <v>2026</v>
      </c>
    </row>
    <row r="349" spans="1:27" hidden="1">
      <c r="A349" s="14">
        <v>1027</v>
      </c>
      <c r="B349" s="15" t="s">
        <v>67</v>
      </c>
      <c r="C349" s="16">
        <v>120</v>
      </c>
      <c r="D349" s="16" t="s">
        <v>192</v>
      </c>
      <c r="E349" s="17" t="s">
        <v>191</v>
      </c>
      <c r="F349" s="24">
        <v>1</v>
      </c>
      <c r="G349" s="24">
        <v>15</v>
      </c>
      <c r="H349" s="19">
        <v>0</v>
      </c>
      <c r="I349" s="19">
        <v>0</v>
      </c>
      <c r="T349" s="19">
        <f>Registro[[#This Row],[Mes 1]]+Registro[[#This Row],[Mes 2]]+Registro[[#This Row],[Mes 3]]</f>
        <v>0</v>
      </c>
      <c r="U349" s="19">
        <f>Registro[[#This Row],[Mes 4]]+Registro[[#This Row],[Mes 5]]+Registro[[#This Row],[Mes 6]]</f>
        <v>0</v>
      </c>
      <c r="V349" s="19">
        <f>Registro[[#This Row],[Mes 7]]+Registro[[#This Row],[Mes 8]]+Registro[[#This Row],[Mes 9]]</f>
        <v>0</v>
      </c>
      <c r="W349" s="20">
        <f>Registro[[#This Row],[Mes 10]]+Registro[[#This Row],[Mes 11]]+Registro[[#This Row],[Mes 12]]</f>
        <v>0</v>
      </c>
      <c r="X349" s="20">
        <f>SUM(Registro[[#This Row],[Trim I]],Registro[[#This Row],[Trim II]],Registro[[#This Row],[Trim III]],Registro[[#This Row],[Trim IV]])</f>
        <v>0</v>
      </c>
      <c r="Y349" s="22">
        <f>IFERROR((Registro[[#This Row],[Avance Total]]/Registro[[#This Row],[Meta]]),0)</f>
        <v>0</v>
      </c>
      <c r="Z349" s="22">
        <f>IFERROR((Registro[[#This Row],[Avance Total]]-Registro[[#This Row],[Línea Base 2025]])/Registro[[#This Row],[Línea Base 2025]],0)</f>
        <v>-1</v>
      </c>
      <c r="AA349" s="20">
        <v>2026</v>
      </c>
    </row>
    <row r="350" spans="1:27" hidden="1">
      <c r="A350" s="14">
        <v>1027</v>
      </c>
      <c r="B350" s="15" t="s">
        <v>67</v>
      </c>
      <c r="C350" s="16">
        <v>121</v>
      </c>
      <c r="D350" s="16" t="s">
        <v>194</v>
      </c>
      <c r="E350" s="17" t="s">
        <v>193</v>
      </c>
      <c r="F350" s="24">
        <v>1</v>
      </c>
      <c r="G350" s="24">
        <v>9</v>
      </c>
      <c r="H350" s="19">
        <v>0</v>
      </c>
      <c r="I350" s="19">
        <v>0</v>
      </c>
      <c r="T350" s="19">
        <f>Registro[[#This Row],[Mes 1]]+Registro[[#This Row],[Mes 2]]+Registro[[#This Row],[Mes 3]]</f>
        <v>0</v>
      </c>
      <c r="U350" s="19">
        <f>Registro[[#This Row],[Mes 4]]+Registro[[#This Row],[Mes 5]]+Registro[[#This Row],[Mes 6]]</f>
        <v>0</v>
      </c>
      <c r="V350" s="19">
        <f>Registro[[#This Row],[Mes 7]]+Registro[[#This Row],[Mes 8]]+Registro[[#This Row],[Mes 9]]</f>
        <v>0</v>
      </c>
      <c r="W350" s="20">
        <f>Registro[[#This Row],[Mes 10]]+Registro[[#This Row],[Mes 11]]+Registro[[#This Row],[Mes 12]]</f>
        <v>0</v>
      </c>
      <c r="X350" s="20">
        <f>SUM(Registro[[#This Row],[Trim I]],Registro[[#This Row],[Trim II]],Registro[[#This Row],[Trim III]],Registro[[#This Row],[Trim IV]])</f>
        <v>0</v>
      </c>
      <c r="Y350" s="22">
        <f>IFERROR((Registro[[#This Row],[Avance Total]]/Registro[[#This Row],[Meta]]),0)</f>
        <v>0</v>
      </c>
      <c r="Z350" s="22">
        <f>IFERROR((Registro[[#This Row],[Avance Total]]-Registro[[#This Row],[Línea Base 2025]])/Registro[[#This Row],[Línea Base 2025]],0)</f>
        <v>-1</v>
      </c>
      <c r="AA350" s="20">
        <v>2026</v>
      </c>
    </row>
    <row r="351" spans="1:27" hidden="1">
      <c r="A351" s="14">
        <v>1027</v>
      </c>
      <c r="B351" s="15" t="s">
        <v>67</v>
      </c>
      <c r="C351" s="16">
        <v>122</v>
      </c>
      <c r="D351" s="16" t="s">
        <v>196</v>
      </c>
      <c r="E351" s="17" t="s">
        <v>195</v>
      </c>
      <c r="F351" s="24">
        <v>1</v>
      </c>
      <c r="G351" s="24">
        <v>8</v>
      </c>
      <c r="H351" s="19">
        <v>0</v>
      </c>
      <c r="I351" s="19">
        <v>0</v>
      </c>
      <c r="T351" s="19">
        <f>Registro[[#This Row],[Mes 1]]+Registro[[#This Row],[Mes 2]]+Registro[[#This Row],[Mes 3]]</f>
        <v>0</v>
      </c>
      <c r="U351" s="19">
        <f>Registro[[#This Row],[Mes 4]]+Registro[[#This Row],[Mes 5]]+Registro[[#This Row],[Mes 6]]</f>
        <v>0</v>
      </c>
      <c r="V351" s="19">
        <f>Registro[[#This Row],[Mes 7]]+Registro[[#This Row],[Mes 8]]+Registro[[#This Row],[Mes 9]]</f>
        <v>0</v>
      </c>
      <c r="W351" s="20">
        <f>Registro[[#This Row],[Mes 10]]+Registro[[#This Row],[Mes 11]]+Registro[[#This Row],[Mes 12]]</f>
        <v>0</v>
      </c>
      <c r="X351" s="20">
        <f>SUM(Registro[[#This Row],[Trim I]],Registro[[#This Row],[Trim II]],Registro[[#This Row],[Trim III]],Registro[[#This Row],[Trim IV]])</f>
        <v>0</v>
      </c>
      <c r="Y351" s="22">
        <f>IFERROR((Registro[[#This Row],[Avance Total]]/Registro[[#This Row],[Meta]]),0)</f>
        <v>0</v>
      </c>
      <c r="Z351" s="22">
        <f>IFERROR((Registro[[#This Row],[Avance Total]]-Registro[[#This Row],[Línea Base 2025]])/Registro[[#This Row],[Línea Base 2025]],0)</f>
        <v>-1</v>
      </c>
      <c r="AA351" s="20">
        <v>2026</v>
      </c>
    </row>
    <row r="352" spans="1:27" hidden="1">
      <c r="A352" s="14">
        <v>1027</v>
      </c>
      <c r="B352" s="15" t="s">
        <v>67</v>
      </c>
      <c r="C352" s="16">
        <v>123</v>
      </c>
      <c r="D352" s="16" t="s">
        <v>198</v>
      </c>
      <c r="E352" s="17" t="s">
        <v>197</v>
      </c>
      <c r="F352" s="24">
        <v>0</v>
      </c>
      <c r="G352" s="24">
        <v>5</v>
      </c>
      <c r="H352" s="19">
        <v>0</v>
      </c>
      <c r="I352" s="19">
        <v>0</v>
      </c>
      <c r="T352" s="19">
        <f>Registro[[#This Row],[Mes 1]]+Registro[[#This Row],[Mes 2]]+Registro[[#This Row],[Mes 3]]</f>
        <v>0</v>
      </c>
      <c r="U352" s="19">
        <f>Registro[[#This Row],[Mes 4]]+Registro[[#This Row],[Mes 5]]+Registro[[#This Row],[Mes 6]]</f>
        <v>0</v>
      </c>
      <c r="V352" s="19">
        <f>Registro[[#This Row],[Mes 7]]+Registro[[#This Row],[Mes 8]]+Registro[[#This Row],[Mes 9]]</f>
        <v>0</v>
      </c>
      <c r="W352" s="20">
        <f>Registro[[#This Row],[Mes 10]]+Registro[[#This Row],[Mes 11]]+Registro[[#This Row],[Mes 12]]</f>
        <v>0</v>
      </c>
      <c r="X352" s="20">
        <f>SUM(Registro[[#This Row],[Trim I]],Registro[[#This Row],[Trim II]],Registro[[#This Row],[Trim III]],Registro[[#This Row],[Trim IV]])</f>
        <v>0</v>
      </c>
      <c r="Y352" s="22">
        <f>IFERROR((Registro[[#This Row],[Avance Total]]/Registro[[#This Row],[Meta]]),0)</f>
        <v>0</v>
      </c>
      <c r="Z352" s="22">
        <f>IFERROR((Registro[[#This Row],[Avance Total]]-Registro[[#This Row],[Línea Base 2025]])/Registro[[#This Row],[Línea Base 2025]],0)</f>
        <v>0</v>
      </c>
      <c r="AA352" s="20">
        <v>2026</v>
      </c>
    </row>
    <row r="353" spans="1:27" hidden="1">
      <c r="A353" s="14">
        <v>1028</v>
      </c>
      <c r="B353" s="15" t="s">
        <v>68</v>
      </c>
      <c r="C353" s="16">
        <v>111</v>
      </c>
      <c r="D353" s="16" t="s">
        <v>171</v>
      </c>
      <c r="E353" s="17" t="s">
        <v>172</v>
      </c>
      <c r="F353" s="24">
        <v>98</v>
      </c>
      <c r="G353" s="24">
        <v>560</v>
      </c>
      <c r="H353" s="19">
        <v>0</v>
      </c>
      <c r="I353" s="19">
        <v>1</v>
      </c>
      <c r="T353" s="19">
        <f>Registro[[#This Row],[Mes 1]]+Registro[[#This Row],[Mes 2]]+Registro[[#This Row],[Mes 3]]</f>
        <v>1</v>
      </c>
      <c r="U353" s="19">
        <f>Registro[[#This Row],[Mes 4]]+Registro[[#This Row],[Mes 5]]+Registro[[#This Row],[Mes 6]]</f>
        <v>0</v>
      </c>
      <c r="V353" s="19">
        <f>Registro[[#This Row],[Mes 7]]+Registro[[#This Row],[Mes 8]]+Registro[[#This Row],[Mes 9]]</f>
        <v>0</v>
      </c>
      <c r="W353" s="20">
        <f>Registro[[#This Row],[Mes 10]]+Registro[[#This Row],[Mes 11]]+Registro[[#This Row],[Mes 12]]</f>
        <v>0</v>
      </c>
      <c r="X353" s="20">
        <f>SUM(Registro[[#This Row],[Trim I]],Registro[[#This Row],[Trim II]],Registro[[#This Row],[Trim III]],Registro[[#This Row],[Trim IV]])</f>
        <v>1</v>
      </c>
      <c r="Y353" s="22">
        <f>IFERROR((Registro[[#This Row],[Avance Total]]/Registro[[#This Row],[Meta]]),0)</f>
        <v>1.7857142857142857E-3</v>
      </c>
      <c r="Z353" s="22">
        <f>IFERROR((Registro[[#This Row],[Avance Total]]-Registro[[#This Row],[Línea Base 2025]])/Registro[[#This Row],[Línea Base 2025]],0)</f>
        <v>-0.98979591836734693</v>
      </c>
      <c r="AA353" s="20">
        <v>2026</v>
      </c>
    </row>
    <row r="354" spans="1:27" hidden="1">
      <c r="A354" s="14">
        <v>1028</v>
      </c>
      <c r="B354" s="15" t="s">
        <v>68</v>
      </c>
      <c r="C354" s="16">
        <v>112</v>
      </c>
      <c r="D354" s="16" t="s">
        <v>173</v>
      </c>
      <c r="E354" s="17" t="s">
        <v>7</v>
      </c>
      <c r="F354" s="24">
        <v>57</v>
      </c>
      <c r="G354" s="24">
        <v>150</v>
      </c>
      <c r="H354" s="19">
        <v>0</v>
      </c>
      <c r="I354" s="19">
        <v>0</v>
      </c>
      <c r="T354" s="19">
        <f>Registro[[#This Row],[Mes 1]]+Registro[[#This Row],[Mes 2]]+Registro[[#This Row],[Mes 3]]</f>
        <v>0</v>
      </c>
      <c r="U354" s="19">
        <f>Registro[[#This Row],[Mes 4]]+Registro[[#This Row],[Mes 5]]+Registro[[#This Row],[Mes 6]]</f>
        <v>0</v>
      </c>
      <c r="V354" s="19">
        <f>Registro[[#This Row],[Mes 7]]+Registro[[#This Row],[Mes 8]]+Registro[[#This Row],[Mes 9]]</f>
        <v>0</v>
      </c>
      <c r="W354" s="20">
        <f>Registro[[#This Row],[Mes 10]]+Registro[[#This Row],[Mes 11]]+Registro[[#This Row],[Mes 12]]</f>
        <v>0</v>
      </c>
      <c r="X354" s="20">
        <f>SUM(Registro[[#This Row],[Trim I]],Registro[[#This Row],[Trim II]],Registro[[#This Row],[Trim III]],Registro[[#This Row],[Trim IV]])</f>
        <v>0</v>
      </c>
      <c r="Y354" s="22">
        <f>IFERROR((Registro[[#This Row],[Avance Total]]/Registro[[#This Row],[Meta]]),0)</f>
        <v>0</v>
      </c>
      <c r="Z354" s="22">
        <f>IFERROR((Registro[[#This Row],[Avance Total]]-Registro[[#This Row],[Línea Base 2025]])/Registro[[#This Row],[Línea Base 2025]],0)</f>
        <v>-1</v>
      </c>
      <c r="AA354" s="20">
        <v>2026</v>
      </c>
    </row>
    <row r="355" spans="1:27" hidden="1">
      <c r="A355" s="14">
        <v>1028</v>
      </c>
      <c r="B355" s="15" t="s">
        <v>68</v>
      </c>
      <c r="C355" s="16">
        <v>113</v>
      </c>
      <c r="D355" s="16" t="s">
        <v>179</v>
      </c>
      <c r="E355" s="17" t="s">
        <v>178</v>
      </c>
      <c r="F355" s="24">
        <v>84</v>
      </c>
      <c r="G355" s="24">
        <v>913</v>
      </c>
      <c r="H355" s="19">
        <v>0</v>
      </c>
      <c r="I355" s="19">
        <v>3</v>
      </c>
      <c r="T355" s="19">
        <f>Registro[[#This Row],[Mes 1]]+Registro[[#This Row],[Mes 2]]+Registro[[#This Row],[Mes 3]]</f>
        <v>3</v>
      </c>
      <c r="U355" s="19">
        <f>Registro[[#This Row],[Mes 4]]+Registro[[#This Row],[Mes 5]]+Registro[[#This Row],[Mes 6]]</f>
        <v>0</v>
      </c>
      <c r="V355" s="19">
        <f>Registro[[#This Row],[Mes 7]]+Registro[[#This Row],[Mes 8]]+Registro[[#This Row],[Mes 9]]</f>
        <v>0</v>
      </c>
      <c r="W355" s="20">
        <f>Registro[[#This Row],[Mes 10]]+Registro[[#This Row],[Mes 11]]+Registro[[#This Row],[Mes 12]]</f>
        <v>0</v>
      </c>
      <c r="X355" s="20">
        <f>SUM(Registro[[#This Row],[Trim I]],Registro[[#This Row],[Trim II]],Registro[[#This Row],[Trim III]],Registro[[#This Row],[Trim IV]])</f>
        <v>3</v>
      </c>
      <c r="Y355" s="22">
        <f>IFERROR((Registro[[#This Row],[Avance Total]]/Registro[[#This Row],[Meta]]),0)</f>
        <v>3.2858707557502738E-3</v>
      </c>
      <c r="Z355" s="22">
        <f>IFERROR((Registro[[#This Row],[Avance Total]]-Registro[[#This Row],[Línea Base 2025]])/Registro[[#This Row],[Línea Base 2025]],0)</f>
        <v>-0.9642857142857143</v>
      </c>
      <c r="AA355" s="20">
        <v>2026</v>
      </c>
    </row>
    <row r="356" spans="1:27" hidden="1">
      <c r="A356" s="14">
        <v>1028</v>
      </c>
      <c r="B356" s="15" t="s">
        <v>68</v>
      </c>
      <c r="C356" s="16">
        <v>114</v>
      </c>
      <c r="D356" s="16" t="s">
        <v>181</v>
      </c>
      <c r="E356" s="17" t="s">
        <v>180</v>
      </c>
      <c r="F356" s="24">
        <v>70</v>
      </c>
      <c r="G356" s="24">
        <v>46.05</v>
      </c>
      <c r="H356" s="19">
        <v>0</v>
      </c>
      <c r="I356" s="19">
        <v>1</v>
      </c>
      <c r="T356" s="19">
        <f>Registro[[#This Row],[Mes 1]]+Registro[[#This Row],[Mes 2]]+Registro[[#This Row],[Mes 3]]</f>
        <v>1</v>
      </c>
      <c r="U356" s="19">
        <f>Registro[[#This Row],[Mes 4]]+Registro[[#This Row],[Mes 5]]+Registro[[#This Row],[Mes 6]]</f>
        <v>0</v>
      </c>
      <c r="V356" s="19">
        <f>Registro[[#This Row],[Mes 7]]+Registro[[#This Row],[Mes 8]]+Registro[[#This Row],[Mes 9]]</f>
        <v>0</v>
      </c>
      <c r="W356" s="20">
        <f>Registro[[#This Row],[Mes 10]]+Registro[[#This Row],[Mes 11]]+Registro[[#This Row],[Mes 12]]</f>
        <v>0</v>
      </c>
      <c r="X356" s="20">
        <f>SUM(Registro[[#This Row],[Trim I]],Registro[[#This Row],[Trim II]],Registro[[#This Row],[Trim III]],Registro[[#This Row],[Trim IV]])</f>
        <v>1</v>
      </c>
      <c r="Y356" s="22">
        <f>IFERROR((Registro[[#This Row],[Avance Total]]/Registro[[#This Row],[Meta]]),0)</f>
        <v>2.171552660152009E-2</v>
      </c>
      <c r="Z356" s="22">
        <f>IFERROR((Registro[[#This Row],[Avance Total]]-Registro[[#This Row],[Línea Base 2025]])/Registro[[#This Row],[Línea Base 2025]],0)</f>
        <v>-0.98571428571428577</v>
      </c>
      <c r="AA356" s="20">
        <v>2026</v>
      </c>
    </row>
    <row r="357" spans="1:27" hidden="1">
      <c r="A357" s="14">
        <v>1028</v>
      </c>
      <c r="B357" s="15" t="s">
        <v>68</v>
      </c>
      <c r="C357" s="16">
        <v>115</v>
      </c>
      <c r="D357" s="16" t="s">
        <v>183</v>
      </c>
      <c r="E357" s="17" t="s">
        <v>182</v>
      </c>
      <c r="F357" s="24">
        <v>40</v>
      </c>
      <c r="G357" s="24">
        <v>41.445</v>
      </c>
      <c r="H357" s="19">
        <v>0</v>
      </c>
      <c r="I357" s="19">
        <v>0</v>
      </c>
      <c r="T357" s="19">
        <f>Registro[[#This Row],[Mes 1]]+Registro[[#This Row],[Mes 2]]+Registro[[#This Row],[Mes 3]]</f>
        <v>0</v>
      </c>
      <c r="U357" s="19">
        <f>Registro[[#This Row],[Mes 4]]+Registro[[#This Row],[Mes 5]]+Registro[[#This Row],[Mes 6]]</f>
        <v>0</v>
      </c>
      <c r="V357" s="19">
        <f>Registro[[#This Row],[Mes 7]]+Registro[[#This Row],[Mes 8]]+Registro[[#This Row],[Mes 9]]</f>
        <v>0</v>
      </c>
      <c r="W357" s="20">
        <f>Registro[[#This Row],[Mes 10]]+Registro[[#This Row],[Mes 11]]+Registro[[#This Row],[Mes 12]]</f>
        <v>0</v>
      </c>
      <c r="X357" s="20">
        <f>SUM(Registro[[#This Row],[Trim I]],Registro[[#This Row],[Trim II]],Registro[[#This Row],[Trim III]],Registro[[#This Row],[Trim IV]])</f>
        <v>0</v>
      </c>
      <c r="Y357" s="22">
        <f>IFERROR((Registro[[#This Row],[Avance Total]]/Registro[[#This Row],[Meta]]),0)</f>
        <v>0</v>
      </c>
      <c r="Z357" s="22">
        <f>IFERROR((Registro[[#This Row],[Avance Total]]-Registro[[#This Row],[Línea Base 2025]])/Registro[[#This Row],[Línea Base 2025]],0)</f>
        <v>-1</v>
      </c>
      <c r="AA357" s="20">
        <v>2026</v>
      </c>
    </row>
    <row r="358" spans="1:27">
      <c r="A358" s="14">
        <v>1028</v>
      </c>
      <c r="B358" s="15" t="s">
        <v>68</v>
      </c>
      <c r="C358" s="16">
        <v>116</v>
      </c>
      <c r="D358" s="16" t="s">
        <v>185</v>
      </c>
      <c r="E358" s="17" t="s">
        <v>184</v>
      </c>
      <c r="F358" s="24">
        <v>6</v>
      </c>
      <c r="G358" s="24">
        <v>21.62</v>
      </c>
      <c r="H358" s="19">
        <v>0</v>
      </c>
      <c r="I358" s="19">
        <v>0</v>
      </c>
      <c r="T358" s="19">
        <f>Registro[[#This Row],[Mes 1]]+Registro[[#This Row],[Mes 2]]+Registro[[#This Row],[Mes 3]]</f>
        <v>0</v>
      </c>
      <c r="U358" s="19">
        <f>Registro[[#This Row],[Mes 4]]+Registro[[#This Row],[Mes 5]]+Registro[[#This Row],[Mes 6]]</f>
        <v>0</v>
      </c>
      <c r="V358" s="19">
        <f>Registro[[#This Row],[Mes 7]]+Registro[[#This Row],[Mes 8]]+Registro[[#This Row],[Mes 9]]</f>
        <v>0</v>
      </c>
      <c r="W358" s="20">
        <f>Registro[[#This Row],[Mes 10]]+Registro[[#This Row],[Mes 11]]+Registro[[#This Row],[Mes 12]]</f>
        <v>0</v>
      </c>
      <c r="X358" s="20">
        <f>SUM(Registro[[#This Row],[Trim I]],Registro[[#This Row],[Trim II]],Registro[[#This Row],[Trim III]],Registro[[#This Row],[Trim IV]])</f>
        <v>0</v>
      </c>
      <c r="Y358" s="22">
        <f>IFERROR((Registro[[#This Row],[Avance Total]]/Registro[[#This Row],[Meta]]),0)</f>
        <v>0</v>
      </c>
      <c r="Z358" s="22">
        <f>IFERROR((Registro[[#This Row],[Avance Total]]-Registro[[#This Row],[Línea Base 2025]])/Registro[[#This Row],[Línea Base 2025]],0)</f>
        <v>-1</v>
      </c>
      <c r="AA358" s="20">
        <v>2026</v>
      </c>
    </row>
    <row r="359" spans="1:27" hidden="1">
      <c r="A359" s="14">
        <v>1028</v>
      </c>
      <c r="B359" s="15" t="s">
        <v>68</v>
      </c>
      <c r="C359" s="16">
        <v>117</v>
      </c>
      <c r="D359" s="16" t="s">
        <v>187</v>
      </c>
      <c r="E359" s="17" t="s">
        <v>186</v>
      </c>
      <c r="F359" s="24">
        <v>8</v>
      </c>
      <c r="G359" s="24">
        <v>12.2</v>
      </c>
      <c r="H359" s="19">
        <v>0</v>
      </c>
      <c r="I359" s="19">
        <v>0</v>
      </c>
      <c r="T359" s="19">
        <f>Registro[[#This Row],[Mes 1]]+Registro[[#This Row],[Mes 2]]+Registro[[#This Row],[Mes 3]]</f>
        <v>0</v>
      </c>
      <c r="U359" s="19">
        <f>Registro[[#This Row],[Mes 4]]+Registro[[#This Row],[Mes 5]]+Registro[[#This Row],[Mes 6]]</f>
        <v>0</v>
      </c>
      <c r="V359" s="19">
        <f>Registro[[#This Row],[Mes 7]]+Registro[[#This Row],[Mes 8]]+Registro[[#This Row],[Mes 9]]</f>
        <v>0</v>
      </c>
      <c r="W359" s="20">
        <f>Registro[[#This Row],[Mes 10]]+Registro[[#This Row],[Mes 11]]+Registro[[#This Row],[Mes 12]]</f>
        <v>0</v>
      </c>
      <c r="X359" s="20">
        <f>SUM(Registro[[#This Row],[Trim I]],Registro[[#This Row],[Trim II]],Registro[[#This Row],[Trim III]],Registro[[#This Row],[Trim IV]])</f>
        <v>0</v>
      </c>
      <c r="Y359" s="22">
        <f>IFERROR((Registro[[#This Row],[Avance Total]]/Registro[[#This Row],[Meta]]),0)</f>
        <v>0</v>
      </c>
      <c r="Z359" s="22">
        <f>IFERROR((Registro[[#This Row],[Avance Total]]-Registro[[#This Row],[Línea Base 2025]])/Registro[[#This Row],[Línea Base 2025]],0)</f>
        <v>-1</v>
      </c>
      <c r="AA359" s="20">
        <v>2026</v>
      </c>
    </row>
    <row r="360" spans="1:27" hidden="1">
      <c r="A360" s="14">
        <v>1028</v>
      </c>
      <c r="B360" s="15" t="s">
        <v>68</v>
      </c>
      <c r="C360" s="16">
        <v>118</v>
      </c>
      <c r="D360" s="16" t="s">
        <v>188</v>
      </c>
      <c r="E360" s="17" t="s">
        <v>9</v>
      </c>
      <c r="F360" s="24">
        <v>0</v>
      </c>
      <c r="G360" s="24">
        <v>10</v>
      </c>
      <c r="H360" s="19">
        <v>0</v>
      </c>
      <c r="I360" s="19">
        <v>0</v>
      </c>
      <c r="T360" s="19">
        <f>Registro[[#This Row],[Mes 1]]+Registro[[#This Row],[Mes 2]]+Registro[[#This Row],[Mes 3]]</f>
        <v>0</v>
      </c>
      <c r="U360" s="19">
        <f>Registro[[#This Row],[Mes 4]]+Registro[[#This Row],[Mes 5]]+Registro[[#This Row],[Mes 6]]</f>
        <v>0</v>
      </c>
      <c r="V360" s="19">
        <f>Registro[[#This Row],[Mes 7]]+Registro[[#This Row],[Mes 8]]+Registro[[#This Row],[Mes 9]]</f>
        <v>0</v>
      </c>
      <c r="W360" s="20">
        <f>Registro[[#This Row],[Mes 10]]+Registro[[#This Row],[Mes 11]]+Registro[[#This Row],[Mes 12]]</f>
        <v>0</v>
      </c>
      <c r="X360" s="20">
        <f>SUM(Registro[[#This Row],[Trim I]],Registro[[#This Row],[Trim II]],Registro[[#This Row],[Trim III]],Registro[[#This Row],[Trim IV]])</f>
        <v>0</v>
      </c>
      <c r="Y360" s="22">
        <f>IFERROR((Registro[[#This Row],[Avance Total]]/Registro[[#This Row],[Meta]]),0)</f>
        <v>0</v>
      </c>
      <c r="Z360" s="22">
        <f>IFERROR((Registro[[#This Row],[Avance Total]]-Registro[[#This Row],[Línea Base 2025]])/Registro[[#This Row],[Línea Base 2025]],0)</f>
        <v>0</v>
      </c>
      <c r="AA360" s="20">
        <v>2026</v>
      </c>
    </row>
    <row r="361" spans="1:27" hidden="1">
      <c r="A361" s="14">
        <v>1028</v>
      </c>
      <c r="B361" s="15" t="s">
        <v>68</v>
      </c>
      <c r="C361" s="16">
        <v>119</v>
      </c>
      <c r="D361" s="16" t="s">
        <v>190</v>
      </c>
      <c r="E361" s="17" t="s">
        <v>189</v>
      </c>
      <c r="F361" s="24">
        <v>0</v>
      </c>
      <c r="G361" s="24">
        <v>17.296000000000003</v>
      </c>
      <c r="H361" s="19">
        <v>0</v>
      </c>
      <c r="I361" s="19">
        <v>0</v>
      </c>
      <c r="T361" s="19">
        <f>Registro[[#This Row],[Mes 1]]+Registro[[#This Row],[Mes 2]]+Registro[[#This Row],[Mes 3]]</f>
        <v>0</v>
      </c>
      <c r="U361" s="19">
        <f>Registro[[#This Row],[Mes 4]]+Registro[[#This Row],[Mes 5]]+Registro[[#This Row],[Mes 6]]</f>
        <v>0</v>
      </c>
      <c r="V361" s="19">
        <f>Registro[[#This Row],[Mes 7]]+Registro[[#This Row],[Mes 8]]+Registro[[#This Row],[Mes 9]]</f>
        <v>0</v>
      </c>
      <c r="W361" s="20">
        <f>Registro[[#This Row],[Mes 10]]+Registro[[#This Row],[Mes 11]]+Registro[[#This Row],[Mes 12]]</f>
        <v>0</v>
      </c>
      <c r="X361" s="20">
        <f>SUM(Registro[[#This Row],[Trim I]],Registro[[#This Row],[Trim II]],Registro[[#This Row],[Trim III]],Registro[[#This Row],[Trim IV]])</f>
        <v>0</v>
      </c>
      <c r="Y361" s="22">
        <f>IFERROR((Registro[[#This Row],[Avance Total]]/Registro[[#This Row],[Meta]]),0)</f>
        <v>0</v>
      </c>
      <c r="Z361" s="22">
        <f>IFERROR((Registro[[#This Row],[Avance Total]]-Registro[[#This Row],[Línea Base 2025]])/Registro[[#This Row],[Línea Base 2025]],0)</f>
        <v>0</v>
      </c>
      <c r="AA361" s="20">
        <v>2026</v>
      </c>
    </row>
    <row r="362" spans="1:27" hidden="1">
      <c r="A362" s="14">
        <v>1028</v>
      </c>
      <c r="B362" s="15" t="s">
        <v>68</v>
      </c>
      <c r="C362" s="16">
        <v>120</v>
      </c>
      <c r="D362" s="16" t="s">
        <v>192</v>
      </c>
      <c r="E362" s="17" t="s">
        <v>191</v>
      </c>
      <c r="F362" s="24">
        <v>84</v>
      </c>
      <c r="G362" s="24">
        <v>99</v>
      </c>
      <c r="H362" s="19">
        <v>3</v>
      </c>
      <c r="I362" s="19">
        <v>5</v>
      </c>
      <c r="T362" s="19">
        <f>Registro[[#This Row],[Mes 1]]+Registro[[#This Row],[Mes 2]]+Registro[[#This Row],[Mes 3]]</f>
        <v>8</v>
      </c>
      <c r="U362" s="19">
        <f>Registro[[#This Row],[Mes 4]]+Registro[[#This Row],[Mes 5]]+Registro[[#This Row],[Mes 6]]</f>
        <v>0</v>
      </c>
      <c r="V362" s="19">
        <f>Registro[[#This Row],[Mes 7]]+Registro[[#This Row],[Mes 8]]+Registro[[#This Row],[Mes 9]]</f>
        <v>0</v>
      </c>
      <c r="W362" s="20">
        <f>Registro[[#This Row],[Mes 10]]+Registro[[#This Row],[Mes 11]]+Registro[[#This Row],[Mes 12]]</f>
        <v>0</v>
      </c>
      <c r="X362" s="20">
        <f>SUM(Registro[[#This Row],[Trim I]],Registro[[#This Row],[Trim II]],Registro[[#This Row],[Trim III]],Registro[[#This Row],[Trim IV]])</f>
        <v>8</v>
      </c>
      <c r="Y362" s="22">
        <f>IFERROR((Registro[[#This Row],[Avance Total]]/Registro[[#This Row],[Meta]]),0)</f>
        <v>8.0808080808080815E-2</v>
      </c>
      <c r="Z362" s="22">
        <f>IFERROR((Registro[[#This Row],[Avance Total]]-Registro[[#This Row],[Línea Base 2025]])/Registro[[#This Row],[Línea Base 2025]],0)</f>
        <v>-0.90476190476190477</v>
      </c>
      <c r="AA362" s="20">
        <v>2026</v>
      </c>
    </row>
    <row r="363" spans="1:27" hidden="1">
      <c r="A363" s="14">
        <v>1028</v>
      </c>
      <c r="B363" s="15" t="s">
        <v>68</v>
      </c>
      <c r="C363" s="16">
        <v>121</v>
      </c>
      <c r="D363" s="16" t="s">
        <v>194</v>
      </c>
      <c r="E363" s="17" t="s">
        <v>193</v>
      </c>
      <c r="F363" s="24">
        <v>9</v>
      </c>
      <c r="G363" s="24">
        <v>25</v>
      </c>
      <c r="H363" s="19">
        <v>0</v>
      </c>
      <c r="I363" s="19">
        <v>0</v>
      </c>
      <c r="T363" s="19">
        <f>Registro[[#This Row],[Mes 1]]+Registro[[#This Row],[Mes 2]]+Registro[[#This Row],[Mes 3]]</f>
        <v>0</v>
      </c>
      <c r="U363" s="19">
        <f>Registro[[#This Row],[Mes 4]]+Registro[[#This Row],[Mes 5]]+Registro[[#This Row],[Mes 6]]</f>
        <v>0</v>
      </c>
      <c r="V363" s="19">
        <f>Registro[[#This Row],[Mes 7]]+Registro[[#This Row],[Mes 8]]+Registro[[#This Row],[Mes 9]]</f>
        <v>0</v>
      </c>
      <c r="W363" s="20">
        <f>Registro[[#This Row],[Mes 10]]+Registro[[#This Row],[Mes 11]]+Registro[[#This Row],[Mes 12]]</f>
        <v>0</v>
      </c>
      <c r="X363" s="20">
        <f>SUM(Registro[[#This Row],[Trim I]],Registro[[#This Row],[Trim II]],Registro[[#This Row],[Trim III]],Registro[[#This Row],[Trim IV]])</f>
        <v>0</v>
      </c>
      <c r="Y363" s="22">
        <f>IFERROR((Registro[[#This Row],[Avance Total]]/Registro[[#This Row],[Meta]]),0)</f>
        <v>0</v>
      </c>
      <c r="Z363" s="22">
        <f>IFERROR((Registro[[#This Row],[Avance Total]]-Registro[[#This Row],[Línea Base 2025]])/Registro[[#This Row],[Línea Base 2025]],0)</f>
        <v>-1</v>
      </c>
      <c r="AA363" s="20">
        <v>2026</v>
      </c>
    </row>
    <row r="364" spans="1:27" hidden="1">
      <c r="A364" s="14">
        <v>1028</v>
      </c>
      <c r="B364" s="15" t="s">
        <v>68</v>
      </c>
      <c r="C364" s="16">
        <v>122</v>
      </c>
      <c r="D364" s="16" t="s">
        <v>196</v>
      </c>
      <c r="E364" s="17" t="s">
        <v>195</v>
      </c>
      <c r="F364" s="24">
        <v>0</v>
      </c>
      <c r="G364" s="24">
        <v>12.4335</v>
      </c>
      <c r="H364" s="19">
        <v>0</v>
      </c>
      <c r="I364" s="19">
        <v>0</v>
      </c>
      <c r="T364" s="19">
        <f>Registro[[#This Row],[Mes 1]]+Registro[[#This Row],[Mes 2]]+Registro[[#This Row],[Mes 3]]</f>
        <v>0</v>
      </c>
      <c r="U364" s="19">
        <f>Registro[[#This Row],[Mes 4]]+Registro[[#This Row],[Mes 5]]+Registro[[#This Row],[Mes 6]]</f>
        <v>0</v>
      </c>
      <c r="V364" s="19">
        <f>Registro[[#This Row],[Mes 7]]+Registro[[#This Row],[Mes 8]]+Registro[[#This Row],[Mes 9]]</f>
        <v>0</v>
      </c>
      <c r="W364" s="20">
        <f>Registro[[#This Row],[Mes 10]]+Registro[[#This Row],[Mes 11]]+Registro[[#This Row],[Mes 12]]</f>
        <v>0</v>
      </c>
      <c r="X364" s="20">
        <f>SUM(Registro[[#This Row],[Trim I]],Registro[[#This Row],[Trim II]],Registro[[#This Row],[Trim III]],Registro[[#This Row],[Trim IV]])</f>
        <v>0</v>
      </c>
      <c r="Y364" s="22">
        <f>IFERROR((Registro[[#This Row],[Avance Total]]/Registro[[#This Row],[Meta]]),0)</f>
        <v>0</v>
      </c>
      <c r="Z364" s="22">
        <f>IFERROR((Registro[[#This Row],[Avance Total]]-Registro[[#This Row],[Línea Base 2025]])/Registro[[#This Row],[Línea Base 2025]],0)</f>
        <v>0</v>
      </c>
      <c r="AA364" s="20">
        <v>2026</v>
      </c>
    </row>
    <row r="365" spans="1:27" hidden="1">
      <c r="A365" s="14">
        <v>1028</v>
      </c>
      <c r="B365" s="15" t="s">
        <v>68</v>
      </c>
      <c r="C365" s="16">
        <v>123</v>
      </c>
      <c r="D365" s="16" t="s">
        <v>198</v>
      </c>
      <c r="E365" s="17" t="s">
        <v>197</v>
      </c>
      <c r="F365" s="24">
        <v>0</v>
      </c>
      <c r="G365" s="24">
        <v>15</v>
      </c>
      <c r="H365" s="19">
        <v>0</v>
      </c>
      <c r="I365" s="19">
        <v>0</v>
      </c>
      <c r="T365" s="19">
        <f>Registro[[#This Row],[Mes 1]]+Registro[[#This Row],[Mes 2]]+Registro[[#This Row],[Mes 3]]</f>
        <v>0</v>
      </c>
      <c r="U365" s="19">
        <f>Registro[[#This Row],[Mes 4]]+Registro[[#This Row],[Mes 5]]+Registro[[#This Row],[Mes 6]]</f>
        <v>0</v>
      </c>
      <c r="V365" s="19">
        <f>Registro[[#This Row],[Mes 7]]+Registro[[#This Row],[Mes 8]]+Registro[[#This Row],[Mes 9]]</f>
        <v>0</v>
      </c>
      <c r="W365" s="20">
        <f>Registro[[#This Row],[Mes 10]]+Registro[[#This Row],[Mes 11]]+Registro[[#This Row],[Mes 12]]</f>
        <v>0</v>
      </c>
      <c r="X365" s="20">
        <f>SUM(Registro[[#This Row],[Trim I]],Registro[[#This Row],[Trim II]],Registro[[#This Row],[Trim III]],Registro[[#This Row],[Trim IV]])</f>
        <v>0</v>
      </c>
      <c r="Y365" s="22">
        <f>IFERROR((Registro[[#This Row],[Avance Total]]/Registro[[#This Row],[Meta]]),0)</f>
        <v>0</v>
      </c>
      <c r="Z365" s="22">
        <f>IFERROR((Registro[[#This Row],[Avance Total]]-Registro[[#This Row],[Línea Base 2025]])/Registro[[#This Row],[Línea Base 2025]],0)</f>
        <v>0</v>
      </c>
      <c r="AA365" s="20">
        <v>2026</v>
      </c>
    </row>
    <row r="366" spans="1:27" hidden="1">
      <c r="A366" s="14">
        <v>1029</v>
      </c>
      <c r="B366" s="15" t="s">
        <v>69</v>
      </c>
      <c r="C366" s="16">
        <v>111</v>
      </c>
      <c r="D366" s="16" t="s">
        <v>171</v>
      </c>
      <c r="E366" s="17" t="s">
        <v>172</v>
      </c>
      <c r="F366" s="24">
        <v>25</v>
      </c>
      <c r="G366" s="24">
        <v>532</v>
      </c>
      <c r="H366" s="19">
        <v>10</v>
      </c>
      <c r="I366" s="19">
        <v>10</v>
      </c>
      <c r="T366" s="19">
        <f>Registro[[#This Row],[Mes 1]]+Registro[[#This Row],[Mes 2]]+Registro[[#This Row],[Mes 3]]</f>
        <v>20</v>
      </c>
      <c r="U366" s="19">
        <f>Registro[[#This Row],[Mes 4]]+Registro[[#This Row],[Mes 5]]+Registro[[#This Row],[Mes 6]]</f>
        <v>0</v>
      </c>
      <c r="V366" s="19">
        <f>Registro[[#This Row],[Mes 7]]+Registro[[#This Row],[Mes 8]]+Registro[[#This Row],[Mes 9]]</f>
        <v>0</v>
      </c>
      <c r="W366" s="20">
        <f>Registro[[#This Row],[Mes 10]]+Registro[[#This Row],[Mes 11]]+Registro[[#This Row],[Mes 12]]</f>
        <v>0</v>
      </c>
      <c r="X366" s="20">
        <f>SUM(Registro[[#This Row],[Trim I]],Registro[[#This Row],[Trim II]],Registro[[#This Row],[Trim III]],Registro[[#This Row],[Trim IV]])</f>
        <v>20</v>
      </c>
      <c r="Y366" s="22">
        <f>IFERROR((Registro[[#This Row],[Avance Total]]/Registro[[#This Row],[Meta]]),0)</f>
        <v>3.7593984962406013E-2</v>
      </c>
      <c r="Z366" s="22">
        <f>IFERROR((Registro[[#This Row],[Avance Total]]-Registro[[#This Row],[Línea Base 2025]])/Registro[[#This Row],[Línea Base 2025]],0)</f>
        <v>-0.2</v>
      </c>
      <c r="AA366" s="20">
        <v>2026</v>
      </c>
    </row>
    <row r="367" spans="1:27" hidden="1">
      <c r="A367" s="14">
        <v>1029</v>
      </c>
      <c r="B367" s="15" t="s">
        <v>69</v>
      </c>
      <c r="C367" s="16">
        <v>112</v>
      </c>
      <c r="D367" s="16" t="s">
        <v>173</v>
      </c>
      <c r="E367" s="17" t="s">
        <v>7</v>
      </c>
      <c r="F367" s="24">
        <v>36</v>
      </c>
      <c r="G367" s="24">
        <v>87</v>
      </c>
      <c r="H367" s="19">
        <v>0</v>
      </c>
      <c r="I367" s="19">
        <v>0</v>
      </c>
      <c r="T367" s="19">
        <f>Registro[[#This Row],[Mes 1]]+Registro[[#This Row],[Mes 2]]+Registro[[#This Row],[Mes 3]]</f>
        <v>0</v>
      </c>
      <c r="U367" s="19">
        <f>Registro[[#This Row],[Mes 4]]+Registro[[#This Row],[Mes 5]]+Registro[[#This Row],[Mes 6]]</f>
        <v>0</v>
      </c>
      <c r="V367" s="19">
        <f>Registro[[#This Row],[Mes 7]]+Registro[[#This Row],[Mes 8]]+Registro[[#This Row],[Mes 9]]</f>
        <v>0</v>
      </c>
      <c r="W367" s="20">
        <f>Registro[[#This Row],[Mes 10]]+Registro[[#This Row],[Mes 11]]+Registro[[#This Row],[Mes 12]]</f>
        <v>0</v>
      </c>
      <c r="X367" s="20">
        <f>SUM(Registro[[#This Row],[Trim I]],Registro[[#This Row],[Trim II]],Registro[[#This Row],[Trim III]],Registro[[#This Row],[Trim IV]])</f>
        <v>0</v>
      </c>
      <c r="Y367" s="22">
        <f>IFERROR((Registro[[#This Row],[Avance Total]]/Registro[[#This Row],[Meta]]),0)</f>
        <v>0</v>
      </c>
      <c r="Z367" s="22">
        <f>IFERROR((Registro[[#This Row],[Avance Total]]-Registro[[#This Row],[Línea Base 2025]])/Registro[[#This Row],[Línea Base 2025]],0)</f>
        <v>-1</v>
      </c>
      <c r="AA367" s="20">
        <v>2026</v>
      </c>
    </row>
    <row r="368" spans="1:27" hidden="1">
      <c r="A368" s="14">
        <v>1029</v>
      </c>
      <c r="B368" s="15" t="s">
        <v>69</v>
      </c>
      <c r="C368" s="16">
        <v>113</v>
      </c>
      <c r="D368" s="16" t="s">
        <v>179</v>
      </c>
      <c r="E368" s="17" t="s">
        <v>178</v>
      </c>
      <c r="F368" s="24">
        <v>23</v>
      </c>
      <c r="G368" s="24">
        <v>665</v>
      </c>
      <c r="H368" s="19">
        <v>1</v>
      </c>
      <c r="I368" s="19">
        <v>3</v>
      </c>
      <c r="T368" s="19">
        <f>Registro[[#This Row],[Mes 1]]+Registro[[#This Row],[Mes 2]]+Registro[[#This Row],[Mes 3]]</f>
        <v>4</v>
      </c>
      <c r="U368" s="19">
        <f>Registro[[#This Row],[Mes 4]]+Registro[[#This Row],[Mes 5]]+Registro[[#This Row],[Mes 6]]</f>
        <v>0</v>
      </c>
      <c r="V368" s="19">
        <f>Registro[[#This Row],[Mes 7]]+Registro[[#This Row],[Mes 8]]+Registro[[#This Row],[Mes 9]]</f>
        <v>0</v>
      </c>
      <c r="W368" s="20">
        <f>Registro[[#This Row],[Mes 10]]+Registro[[#This Row],[Mes 11]]+Registro[[#This Row],[Mes 12]]</f>
        <v>0</v>
      </c>
      <c r="X368" s="20">
        <f>SUM(Registro[[#This Row],[Trim I]],Registro[[#This Row],[Trim II]],Registro[[#This Row],[Trim III]],Registro[[#This Row],[Trim IV]])</f>
        <v>4</v>
      </c>
      <c r="Y368" s="22">
        <f>IFERROR((Registro[[#This Row],[Avance Total]]/Registro[[#This Row],[Meta]]),0)</f>
        <v>6.0150375939849628E-3</v>
      </c>
      <c r="Z368" s="22">
        <f>IFERROR((Registro[[#This Row],[Avance Total]]-Registro[[#This Row],[Línea Base 2025]])/Registro[[#This Row],[Línea Base 2025]],0)</f>
        <v>-0.82608695652173914</v>
      </c>
      <c r="AA368" s="20">
        <v>2026</v>
      </c>
    </row>
    <row r="369" spans="1:27" hidden="1">
      <c r="A369" s="14">
        <v>1029</v>
      </c>
      <c r="B369" s="15" t="s">
        <v>69</v>
      </c>
      <c r="C369" s="16">
        <v>114</v>
      </c>
      <c r="D369" s="16" t="s">
        <v>181</v>
      </c>
      <c r="E369" s="17" t="s">
        <v>180</v>
      </c>
      <c r="F369" s="24">
        <v>28</v>
      </c>
      <c r="G369" s="24">
        <v>58</v>
      </c>
      <c r="H369" s="19">
        <v>17</v>
      </c>
      <c r="I369" s="19">
        <v>19</v>
      </c>
      <c r="T369" s="19">
        <f>Registro[[#This Row],[Mes 1]]+Registro[[#This Row],[Mes 2]]+Registro[[#This Row],[Mes 3]]</f>
        <v>36</v>
      </c>
      <c r="U369" s="19">
        <f>Registro[[#This Row],[Mes 4]]+Registro[[#This Row],[Mes 5]]+Registro[[#This Row],[Mes 6]]</f>
        <v>0</v>
      </c>
      <c r="V369" s="19">
        <f>Registro[[#This Row],[Mes 7]]+Registro[[#This Row],[Mes 8]]+Registro[[#This Row],[Mes 9]]</f>
        <v>0</v>
      </c>
      <c r="W369" s="20">
        <f>Registro[[#This Row],[Mes 10]]+Registro[[#This Row],[Mes 11]]+Registro[[#This Row],[Mes 12]]</f>
        <v>0</v>
      </c>
      <c r="X369" s="20">
        <f>SUM(Registro[[#This Row],[Trim I]],Registro[[#This Row],[Trim II]],Registro[[#This Row],[Trim III]],Registro[[#This Row],[Trim IV]])</f>
        <v>36</v>
      </c>
      <c r="Y369" s="22">
        <f>IFERROR((Registro[[#This Row],[Avance Total]]/Registro[[#This Row],[Meta]]),0)</f>
        <v>0.62068965517241381</v>
      </c>
      <c r="Z369" s="22">
        <f>IFERROR((Registro[[#This Row],[Avance Total]]-Registro[[#This Row],[Línea Base 2025]])/Registro[[#This Row],[Línea Base 2025]],0)</f>
        <v>0.2857142857142857</v>
      </c>
      <c r="AA369" s="20">
        <v>2026</v>
      </c>
    </row>
    <row r="370" spans="1:27" hidden="1">
      <c r="A370" s="14">
        <v>1029</v>
      </c>
      <c r="B370" s="15" t="s">
        <v>69</v>
      </c>
      <c r="C370" s="16">
        <v>115</v>
      </c>
      <c r="D370" s="16" t="s">
        <v>183</v>
      </c>
      <c r="E370" s="17" t="s">
        <v>182</v>
      </c>
      <c r="F370" s="24">
        <v>0</v>
      </c>
      <c r="G370" s="24">
        <v>8.1</v>
      </c>
      <c r="H370" s="19">
        <v>0</v>
      </c>
      <c r="I370" s="19">
        <v>0</v>
      </c>
      <c r="T370" s="19">
        <f>Registro[[#This Row],[Mes 1]]+Registro[[#This Row],[Mes 2]]+Registro[[#This Row],[Mes 3]]</f>
        <v>0</v>
      </c>
      <c r="U370" s="19">
        <f>Registro[[#This Row],[Mes 4]]+Registro[[#This Row],[Mes 5]]+Registro[[#This Row],[Mes 6]]</f>
        <v>0</v>
      </c>
      <c r="V370" s="19">
        <f>Registro[[#This Row],[Mes 7]]+Registro[[#This Row],[Mes 8]]+Registro[[#This Row],[Mes 9]]</f>
        <v>0</v>
      </c>
      <c r="W370" s="20">
        <f>Registro[[#This Row],[Mes 10]]+Registro[[#This Row],[Mes 11]]+Registro[[#This Row],[Mes 12]]</f>
        <v>0</v>
      </c>
      <c r="X370" s="20">
        <f>SUM(Registro[[#This Row],[Trim I]],Registro[[#This Row],[Trim II]],Registro[[#This Row],[Trim III]],Registro[[#This Row],[Trim IV]])</f>
        <v>0</v>
      </c>
      <c r="Y370" s="22">
        <f>IFERROR((Registro[[#This Row],[Avance Total]]/Registro[[#This Row],[Meta]]),0)</f>
        <v>0</v>
      </c>
      <c r="Z370" s="22">
        <f>IFERROR((Registro[[#This Row],[Avance Total]]-Registro[[#This Row],[Línea Base 2025]])/Registro[[#This Row],[Línea Base 2025]],0)</f>
        <v>0</v>
      </c>
      <c r="AA370" s="20">
        <v>2026</v>
      </c>
    </row>
    <row r="371" spans="1:27">
      <c r="A371" s="14">
        <v>1029</v>
      </c>
      <c r="B371" s="15" t="s">
        <v>69</v>
      </c>
      <c r="C371" s="16">
        <v>116</v>
      </c>
      <c r="D371" s="16" t="s">
        <v>185</v>
      </c>
      <c r="E371" s="17" t="s">
        <v>184</v>
      </c>
      <c r="F371" s="24">
        <v>2</v>
      </c>
      <c r="G371" s="24">
        <v>7.82</v>
      </c>
      <c r="H371" s="19">
        <v>0</v>
      </c>
      <c r="I371" s="19">
        <v>0</v>
      </c>
      <c r="T371" s="19">
        <f>Registro[[#This Row],[Mes 1]]+Registro[[#This Row],[Mes 2]]+Registro[[#This Row],[Mes 3]]</f>
        <v>0</v>
      </c>
      <c r="U371" s="19">
        <f>Registro[[#This Row],[Mes 4]]+Registro[[#This Row],[Mes 5]]+Registro[[#This Row],[Mes 6]]</f>
        <v>0</v>
      </c>
      <c r="V371" s="19">
        <f>Registro[[#This Row],[Mes 7]]+Registro[[#This Row],[Mes 8]]+Registro[[#This Row],[Mes 9]]</f>
        <v>0</v>
      </c>
      <c r="W371" s="20">
        <f>Registro[[#This Row],[Mes 10]]+Registro[[#This Row],[Mes 11]]+Registro[[#This Row],[Mes 12]]</f>
        <v>0</v>
      </c>
      <c r="X371" s="20">
        <f>SUM(Registro[[#This Row],[Trim I]],Registro[[#This Row],[Trim II]],Registro[[#This Row],[Trim III]],Registro[[#This Row],[Trim IV]])</f>
        <v>0</v>
      </c>
      <c r="Y371" s="22">
        <f>IFERROR((Registro[[#This Row],[Avance Total]]/Registro[[#This Row],[Meta]]),0)</f>
        <v>0</v>
      </c>
      <c r="Z371" s="22">
        <f>IFERROR((Registro[[#This Row],[Avance Total]]-Registro[[#This Row],[Línea Base 2025]])/Registro[[#This Row],[Línea Base 2025]],0)</f>
        <v>-1</v>
      </c>
      <c r="AA371" s="20">
        <v>2026</v>
      </c>
    </row>
    <row r="372" spans="1:27" hidden="1">
      <c r="A372" s="14">
        <v>1029</v>
      </c>
      <c r="B372" s="15" t="s">
        <v>69</v>
      </c>
      <c r="C372" s="16">
        <v>117</v>
      </c>
      <c r="D372" s="16" t="s">
        <v>187</v>
      </c>
      <c r="E372" s="17" t="s">
        <v>186</v>
      </c>
      <c r="F372" s="24">
        <v>2</v>
      </c>
      <c r="G372" s="24">
        <v>3.04</v>
      </c>
      <c r="H372" s="19">
        <v>0</v>
      </c>
      <c r="I372" s="19">
        <v>0</v>
      </c>
      <c r="T372" s="19">
        <f>Registro[[#This Row],[Mes 1]]+Registro[[#This Row],[Mes 2]]+Registro[[#This Row],[Mes 3]]</f>
        <v>0</v>
      </c>
      <c r="U372" s="19">
        <f>Registro[[#This Row],[Mes 4]]+Registro[[#This Row],[Mes 5]]+Registro[[#This Row],[Mes 6]]</f>
        <v>0</v>
      </c>
      <c r="V372" s="19">
        <f>Registro[[#This Row],[Mes 7]]+Registro[[#This Row],[Mes 8]]+Registro[[#This Row],[Mes 9]]</f>
        <v>0</v>
      </c>
      <c r="W372" s="20">
        <f>Registro[[#This Row],[Mes 10]]+Registro[[#This Row],[Mes 11]]+Registro[[#This Row],[Mes 12]]</f>
        <v>0</v>
      </c>
      <c r="X372" s="20">
        <f>SUM(Registro[[#This Row],[Trim I]],Registro[[#This Row],[Trim II]],Registro[[#This Row],[Trim III]],Registro[[#This Row],[Trim IV]])</f>
        <v>0</v>
      </c>
      <c r="Y372" s="22">
        <f>IFERROR((Registro[[#This Row],[Avance Total]]/Registro[[#This Row],[Meta]]),0)</f>
        <v>0</v>
      </c>
      <c r="Z372" s="22">
        <f>IFERROR((Registro[[#This Row],[Avance Total]]-Registro[[#This Row],[Línea Base 2025]])/Registro[[#This Row],[Línea Base 2025]],0)</f>
        <v>-1</v>
      </c>
      <c r="AA372" s="20">
        <v>2026</v>
      </c>
    </row>
    <row r="373" spans="1:27" hidden="1">
      <c r="A373" s="14">
        <v>1029</v>
      </c>
      <c r="B373" s="15" t="s">
        <v>69</v>
      </c>
      <c r="C373" s="16">
        <v>118</v>
      </c>
      <c r="D373" s="16" t="s">
        <v>188</v>
      </c>
      <c r="E373" s="17" t="s">
        <v>9</v>
      </c>
      <c r="F373" s="24">
        <v>0</v>
      </c>
      <c r="G373" s="24">
        <v>2</v>
      </c>
      <c r="H373" s="19">
        <v>0</v>
      </c>
      <c r="I373" s="19">
        <v>0</v>
      </c>
      <c r="T373" s="19">
        <f>Registro[[#This Row],[Mes 1]]+Registro[[#This Row],[Mes 2]]+Registro[[#This Row],[Mes 3]]</f>
        <v>0</v>
      </c>
      <c r="U373" s="19">
        <f>Registro[[#This Row],[Mes 4]]+Registro[[#This Row],[Mes 5]]+Registro[[#This Row],[Mes 6]]</f>
        <v>0</v>
      </c>
      <c r="V373" s="19">
        <f>Registro[[#This Row],[Mes 7]]+Registro[[#This Row],[Mes 8]]+Registro[[#This Row],[Mes 9]]</f>
        <v>0</v>
      </c>
      <c r="W373" s="20">
        <f>Registro[[#This Row],[Mes 10]]+Registro[[#This Row],[Mes 11]]+Registro[[#This Row],[Mes 12]]</f>
        <v>0</v>
      </c>
      <c r="X373" s="20">
        <f>SUM(Registro[[#This Row],[Trim I]],Registro[[#This Row],[Trim II]],Registro[[#This Row],[Trim III]],Registro[[#This Row],[Trim IV]])</f>
        <v>0</v>
      </c>
      <c r="Y373" s="22">
        <f>IFERROR((Registro[[#This Row],[Avance Total]]/Registro[[#This Row],[Meta]]),0)</f>
        <v>0</v>
      </c>
      <c r="Z373" s="22">
        <f>IFERROR((Registro[[#This Row],[Avance Total]]-Registro[[#This Row],[Línea Base 2025]])/Registro[[#This Row],[Línea Base 2025]],0)</f>
        <v>0</v>
      </c>
      <c r="AA373" s="20">
        <v>2026</v>
      </c>
    </row>
    <row r="374" spans="1:27" hidden="1">
      <c r="A374" s="14">
        <v>1029</v>
      </c>
      <c r="B374" s="15" t="s">
        <v>69</v>
      </c>
      <c r="C374" s="16">
        <v>119</v>
      </c>
      <c r="D374" s="16" t="s">
        <v>190</v>
      </c>
      <c r="E374" s="17" t="s">
        <v>189</v>
      </c>
      <c r="F374" s="24">
        <v>0</v>
      </c>
      <c r="G374" s="24">
        <v>6.2560000000000002</v>
      </c>
      <c r="H374" s="19">
        <v>0</v>
      </c>
      <c r="I374" s="19">
        <v>0</v>
      </c>
      <c r="T374" s="19">
        <f>Registro[[#This Row],[Mes 1]]+Registro[[#This Row],[Mes 2]]+Registro[[#This Row],[Mes 3]]</f>
        <v>0</v>
      </c>
      <c r="U374" s="19">
        <f>Registro[[#This Row],[Mes 4]]+Registro[[#This Row],[Mes 5]]+Registro[[#This Row],[Mes 6]]</f>
        <v>0</v>
      </c>
      <c r="V374" s="19">
        <f>Registro[[#This Row],[Mes 7]]+Registro[[#This Row],[Mes 8]]+Registro[[#This Row],[Mes 9]]</f>
        <v>0</v>
      </c>
      <c r="W374" s="20">
        <f>Registro[[#This Row],[Mes 10]]+Registro[[#This Row],[Mes 11]]+Registro[[#This Row],[Mes 12]]</f>
        <v>0</v>
      </c>
      <c r="X374" s="20">
        <f>SUM(Registro[[#This Row],[Trim I]],Registro[[#This Row],[Trim II]],Registro[[#This Row],[Trim III]],Registro[[#This Row],[Trim IV]])</f>
        <v>0</v>
      </c>
      <c r="Y374" s="22">
        <f>IFERROR((Registro[[#This Row],[Avance Total]]/Registro[[#This Row],[Meta]]),0)</f>
        <v>0</v>
      </c>
      <c r="Z374" s="22">
        <f>IFERROR((Registro[[#This Row],[Avance Total]]-Registro[[#This Row],[Línea Base 2025]])/Registro[[#This Row],[Línea Base 2025]],0)</f>
        <v>0</v>
      </c>
      <c r="AA374" s="20">
        <v>2026</v>
      </c>
    </row>
    <row r="375" spans="1:27" hidden="1">
      <c r="A375" s="14">
        <v>1029</v>
      </c>
      <c r="B375" s="15" t="s">
        <v>69</v>
      </c>
      <c r="C375" s="16">
        <v>120</v>
      </c>
      <c r="D375" s="16" t="s">
        <v>192</v>
      </c>
      <c r="E375" s="17" t="s">
        <v>191</v>
      </c>
      <c r="F375" s="24">
        <v>10</v>
      </c>
      <c r="G375" s="24">
        <v>20</v>
      </c>
      <c r="H375" s="19">
        <v>0</v>
      </c>
      <c r="I375" s="19">
        <v>13</v>
      </c>
      <c r="T375" s="19">
        <f>Registro[[#This Row],[Mes 1]]+Registro[[#This Row],[Mes 2]]+Registro[[#This Row],[Mes 3]]</f>
        <v>13</v>
      </c>
      <c r="U375" s="19">
        <f>Registro[[#This Row],[Mes 4]]+Registro[[#This Row],[Mes 5]]+Registro[[#This Row],[Mes 6]]</f>
        <v>0</v>
      </c>
      <c r="V375" s="19">
        <f>Registro[[#This Row],[Mes 7]]+Registro[[#This Row],[Mes 8]]+Registro[[#This Row],[Mes 9]]</f>
        <v>0</v>
      </c>
      <c r="W375" s="20">
        <f>Registro[[#This Row],[Mes 10]]+Registro[[#This Row],[Mes 11]]+Registro[[#This Row],[Mes 12]]</f>
        <v>0</v>
      </c>
      <c r="X375" s="20">
        <f>SUM(Registro[[#This Row],[Trim I]],Registro[[#This Row],[Trim II]],Registro[[#This Row],[Trim III]],Registro[[#This Row],[Trim IV]])</f>
        <v>13</v>
      </c>
      <c r="Y375" s="22">
        <f>IFERROR((Registro[[#This Row],[Avance Total]]/Registro[[#This Row],[Meta]]),0)</f>
        <v>0.65</v>
      </c>
      <c r="Z375" s="22">
        <f>IFERROR((Registro[[#This Row],[Avance Total]]-Registro[[#This Row],[Línea Base 2025]])/Registro[[#This Row],[Línea Base 2025]],0)</f>
        <v>0.3</v>
      </c>
      <c r="AA375" s="20">
        <v>2026</v>
      </c>
    </row>
    <row r="376" spans="1:27" hidden="1">
      <c r="A376" s="14">
        <v>1029</v>
      </c>
      <c r="B376" s="15" t="s">
        <v>69</v>
      </c>
      <c r="C376" s="16">
        <v>121</v>
      </c>
      <c r="D376" s="16" t="s">
        <v>194</v>
      </c>
      <c r="E376" s="17" t="s">
        <v>193</v>
      </c>
      <c r="F376" s="24">
        <v>3</v>
      </c>
      <c r="G376" s="24">
        <v>12</v>
      </c>
      <c r="H376" s="19">
        <v>0</v>
      </c>
      <c r="I376" s="19">
        <v>0</v>
      </c>
      <c r="T376" s="19">
        <f>Registro[[#This Row],[Mes 1]]+Registro[[#This Row],[Mes 2]]+Registro[[#This Row],[Mes 3]]</f>
        <v>0</v>
      </c>
      <c r="U376" s="19">
        <f>Registro[[#This Row],[Mes 4]]+Registro[[#This Row],[Mes 5]]+Registro[[#This Row],[Mes 6]]</f>
        <v>0</v>
      </c>
      <c r="V376" s="19">
        <f>Registro[[#This Row],[Mes 7]]+Registro[[#This Row],[Mes 8]]+Registro[[#This Row],[Mes 9]]</f>
        <v>0</v>
      </c>
      <c r="W376" s="20">
        <f>Registro[[#This Row],[Mes 10]]+Registro[[#This Row],[Mes 11]]+Registro[[#This Row],[Mes 12]]</f>
        <v>0</v>
      </c>
      <c r="X376" s="20">
        <f>SUM(Registro[[#This Row],[Trim I]],Registro[[#This Row],[Trim II]],Registro[[#This Row],[Trim III]],Registro[[#This Row],[Trim IV]])</f>
        <v>0</v>
      </c>
      <c r="Y376" s="22">
        <f>IFERROR((Registro[[#This Row],[Avance Total]]/Registro[[#This Row],[Meta]]),0)</f>
        <v>0</v>
      </c>
      <c r="Z376" s="22">
        <f>IFERROR((Registro[[#This Row],[Avance Total]]-Registro[[#This Row],[Línea Base 2025]])/Registro[[#This Row],[Línea Base 2025]],0)</f>
        <v>-1</v>
      </c>
      <c r="AA376" s="20">
        <v>2026</v>
      </c>
    </row>
    <row r="377" spans="1:27" hidden="1">
      <c r="A377" s="14">
        <v>1029</v>
      </c>
      <c r="B377" s="15" t="s">
        <v>69</v>
      </c>
      <c r="C377" s="16">
        <v>122</v>
      </c>
      <c r="D377" s="16" t="s">
        <v>196</v>
      </c>
      <c r="E377" s="17" t="s">
        <v>195</v>
      </c>
      <c r="F377" s="24">
        <v>0</v>
      </c>
      <c r="G377" s="24">
        <v>1</v>
      </c>
      <c r="H377" s="19">
        <v>0</v>
      </c>
      <c r="I377" s="19">
        <v>0</v>
      </c>
      <c r="T377" s="19">
        <f>Registro[[#This Row],[Mes 1]]+Registro[[#This Row],[Mes 2]]+Registro[[#This Row],[Mes 3]]</f>
        <v>0</v>
      </c>
      <c r="U377" s="19">
        <f>Registro[[#This Row],[Mes 4]]+Registro[[#This Row],[Mes 5]]+Registro[[#This Row],[Mes 6]]</f>
        <v>0</v>
      </c>
      <c r="V377" s="19">
        <f>Registro[[#This Row],[Mes 7]]+Registro[[#This Row],[Mes 8]]+Registro[[#This Row],[Mes 9]]</f>
        <v>0</v>
      </c>
      <c r="W377" s="20">
        <f>Registro[[#This Row],[Mes 10]]+Registro[[#This Row],[Mes 11]]+Registro[[#This Row],[Mes 12]]</f>
        <v>0</v>
      </c>
      <c r="X377" s="20">
        <f>SUM(Registro[[#This Row],[Trim I]],Registro[[#This Row],[Trim II]],Registro[[#This Row],[Trim III]],Registro[[#This Row],[Trim IV]])</f>
        <v>0</v>
      </c>
      <c r="Y377" s="22">
        <f>IFERROR((Registro[[#This Row],[Avance Total]]/Registro[[#This Row],[Meta]]),0)</f>
        <v>0</v>
      </c>
      <c r="Z377" s="22">
        <f>IFERROR((Registro[[#This Row],[Avance Total]]-Registro[[#This Row],[Línea Base 2025]])/Registro[[#This Row],[Línea Base 2025]],0)</f>
        <v>0</v>
      </c>
      <c r="AA377" s="20">
        <v>2026</v>
      </c>
    </row>
    <row r="378" spans="1:27" hidden="1">
      <c r="A378" s="14">
        <v>1029</v>
      </c>
      <c r="B378" s="15" t="s">
        <v>69</v>
      </c>
      <c r="C378" s="16">
        <v>123</v>
      </c>
      <c r="D378" s="16" t="s">
        <v>198</v>
      </c>
      <c r="E378" s="17" t="s">
        <v>197</v>
      </c>
      <c r="F378" s="24">
        <v>0</v>
      </c>
      <c r="G378" s="24">
        <v>6</v>
      </c>
      <c r="H378" s="19">
        <v>0</v>
      </c>
      <c r="I378" s="19">
        <v>0</v>
      </c>
      <c r="T378" s="19">
        <f>Registro[[#This Row],[Mes 1]]+Registro[[#This Row],[Mes 2]]+Registro[[#This Row],[Mes 3]]</f>
        <v>0</v>
      </c>
      <c r="U378" s="19">
        <f>Registro[[#This Row],[Mes 4]]+Registro[[#This Row],[Mes 5]]+Registro[[#This Row],[Mes 6]]</f>
        <v>0</v>
      </c>
      <c r="V378" s="19">
        <f>Registro[[#This Row],[Mes 7]]+Registro[[#This Row],[Mes 8]]+Registro[[#This Row],[Mes 9]]</f>
        <v>0</v>
      </c>
      <c r="W378" s="20">
        <f>Registro[[#This Row],[Mes 10]]+Registro[[#This Row],[Mes 11]]+Registro[[#This Row],[Mes 12]]</f>
        <v>0</v>
      </c>
      <c r="X378" s="20">
        <f>SUM(Registro[[#This Row],[Trim I]],Registro[[#This Row],[Trim II]],Registro[[#This Row],[Trim III]],Registro[[#This Row],[Trim IV]])</f>
        <v>0</v>
      </c>
      <c r="Y378" s="22">
        <f>IFERROR((Registro[[#This Row],[Avance Total]]/Registro[[#This Row],[Meta]]),0)</f>
        <v>0</v>
      </c>
      <c r="Z378" s="22">
        <f>IFERROR((Registro[[#This Row],[Avance Total]]-Registro[[#This Row],[Línea Base 2025]])/Registro[[#This Row],[Línea Base 2025]],0)</f>
        <v>0</v>
      </c>
      <c r="AA378" s="20">
        <v>2026</v>
      </c>
    </row>
    <row r="379" spans="1:27" hidden="1">
      <c r="A379" s="14">
        <v>1030</v>
      </c>
      <c r="B379" s="15" t="s">
        <v>13</v>
      </c>
      <c r="C379" s="16">
        <v>111</v>
      </c>
      <c r="D379" s="16" t="s">
        <v>171</v>
      </c>
      <c r="E379" s="17" t="s">
        <v>172</v>
      </c>
      <c r="F379" s="24">
        <v>17</v>
      </c>
      <c r="G379" s="24">
        <v>1185</v>
      </c>
      <c r="H379" s="19">
        <v>4</v>
      </c>
      <c r="I379" s="19">
        <v>13</v>
      </c>
      <c r="T379" s="19">
        <f>Registro[[#This Row],[Mes 1]]+Registro[[#This Row],[Mes 2]]+Registro[[#This Row],[Mes 3]]</f>
        <v>17</v>
      </c>
      <c r="U379" s="19">
        <f>Registro[[#This Row],[Mes 4]]+Registro[[#This Row],[Mes 5]]+Registro[[#This Row],[Mes 6]]</f>
        <v>0</v>
      </c>
      <c r="V379" s="19">
        <f>Registro[[#This Row],[Mes 7]]+Registro[[#This Row],[Mes 8]]+Registro[[#This Row],[Mes 9]]</f>
        <v>0</v>
      </c>
      <c r="W379" s="20">
        <f>Registro[[#This Row],[Mes 10]]+Registro[[#This Row],[Mes 11]]+Registro[[#This Row],[Mes 12]]</f>
        <v>0</v>
      </c>
      <c r="X379" s="20">
        <f>SUM(Registro[[#This Row],[Trim I]],Registro[[#This Row],[Trim II]],Registro[[#This Row],[Trim III]],Registro[[#This Row],[Trim IV]])</f>
        <v>17</v>
      </c>
      <c r="Y379" s="22">
        <f>IFERROR((Registro[[#This Row],[Avance Total]]/Registro[[#This Row],[Meta]]),0)</f>
        <v>1.4345991561181435E-2</v>
      </c>
      <c r="Z379" s="22">
        <f>IFERROR((Registro[[#This Row],[Avance Total]]-Registro[[#This Row],[Línea Base 2025]])/Registro[[#This Row],[Línea Base 2025]],0)</f>
        <v>0</v>
      </c>
      <c r="AA379" s="20">
        <v>2026</v>
      </c>
    </row>
    <row r="380" spans="1:27" hidden="1">
      <c r="A380" s="14">
        <v>1030</v>
      </c>
      <c r="B380" s="15" t="s">
        <v>13</v>
      </c>
      <c r="C380" s="16">
        <v>112</v>
      </c>
      <c r="D380" s="16" t="s">
        <v>173</v>
      </c>
      <c r="E380" s="17" t="s">
        <v>7</v>
      </c>
      <c r="F380" s="24">
        <v>0</v>
      </c>
      <c r="G380" s="24">
        <v>5</v>
      </c>
      <c r="H380" s="19">
        <v>0</v>
      </c>
      <c r="I380" s="19">
        <v>0</v>
      </c>
      <c r="T380" s="19">
        <f>Registro[[#This Row],[Mes 1]]+Registro[[#This Row],[Mes 2]]+Registro[[#This Row],[Mes 3]]</f>
        <v>0</v>
      </c>
      <c r="U380" s="19">
        <f>Registro[[#This Row],[Mes 4]]+Registro[[#This Row],[Mes 5]]+Registro[[#This Row],[Mes 6]]</f>
        <v>0</v>
      </c>
      <c r="V380" s="19">
        <f>Registro[[#This Row],[Mes 7]]+Registro[[#This Row],[Mes 8]]+Registro[[#This Row],[Mes 9]]</f>
        <v>0</v>
      </c>
      <c r="W380" s="20">
        <f>Registro[[#This Row],[Mes 10]]+Registro[[#This Row],[Mes 11]]+Registro[[#This Row],[Mes 12]]</f>
        <v>0</v>
      </c>
      <c r="X380" s="20">
        <f>SUM(Registro[[#This Row],[Trim I]],Registro[[#This Row],[Trim II]],Registro[[#This Row],[Trim III]],Registro[[#This Row],[Trim IV]])</f>
        <v>0</v>
      </c>
      <c r="Y380" s="22">
        <f>IFERROR((Registro[[#This Row],[Avance Total]]/Registro[[#This Row],[Meta]]),0)</f>
        <v>0</v>
      </c>
      <c r="Z380" s="22">
        <f>IFERROR((Registro[[#This Row],[Avance Total]]-Registro[[#This Row],[Línea Base 2025]])/Registro[[#This Row],[Línea Base 2025]],0)</f>
        <v>0</v>
      </c>
      <c r="AA380" s="20">
        <v>2026</v>
      </c>
    </row>
    <row r="381" spans="1:27" hidden="1">
      <c r="A381" s="14">
        <v>1030</v>
      </c>
      <c r="B381" s="15" t="s">
        <v>13</v>
      </c>
      <c r="C381" s="16">
        <v>113</v>
      </c>
      <c r="D381" s="16" t="s">
        <v>179</v>
      </c>
      <c r="E381" s="17" t="s">
        <v>178</v>
      </c>
      <c r="F381" s="24">
        <v>49</v>
      </c>
      <c r="G381" s="24">
        <v>821</v>
      </c>
      <c r="H381" s="19">
        <v>1</v>
      </c>
      <c r="I381" s="19">
        <v>5</v>
      </c>
      <c r="T381" s="19">
        <f>Registro[[#This Row],[Mes 1]]+Registro[[#This Row],[Mes 2]]+Registro[[#This Row],[Mes 3]]</f>
        <v>6</v>
      </c>
      <c r="U381" s="19">
        <f>Registro[[#This Row],[Mes 4]]+Registro[[#This Row],[Mes 5]]+Registro[[#This Row],[Mes 6]]</f>
        <v>0</v>
      </c>
      <c r="V381" s="19">
        <f>Registro[[#This Row],[Mes 7]]+Registro[[#This Row],[Mes 8]]+Registro[[#This Row],[Mes 9]]</f>
        <v>0</v>
      </c>
      <c r="W381" s="20">
        <f>Registro[[#This Row],[Mes 10]]+Registro[[#This Row],[Mes 11]]+Registro[[#This Row],[Mes 12]]</f>
        <v>0</v>
      </c>
      <c r="X381" s="20">
        <f>SUM(Registro[[#This Row],[Trim I]],Registro[[#This Row],[Trim II]],Registro[[#This Row],[Trim III]],Registro[[#This Row],[Trim IV]])</f>
        <v>6</v>
      </c>
      <c r="Y381" s="22">
        <f>IFERROR((Registro[[#This Row],[Avance Total]]/Registro[[#This Row],[Meta]]),0)</f>
        <v>7.3081607795371494E-3</v>
      </c>
      <c r="Z381" s="22">
        <f>IFERROR((Registro[[#This Row],[Avance Total]]-Registro[[#This Row],[Línea Base 2025]])/Registro[[#This Row],[Línea Base 2025]],0)</f>
        <v>-0.87755102040816324</v>
      </c>
      <c r="AA381" s="20">
        <v>2026</v>
      </c>
    </row>
    <row r="382" spans="1:27" hidden="1">
      <c r="A382" s="14">
        <v>1030</v>
      </c>
      <c r="B382" s="15" t="s">
        <v>13</v>
      </c>
      <c r="C382" s="16">
        <v>114</v>
      </c>
      <c r="D382" s="16" t="s">
        <v>181</v>
      </c>
      <c r="E382" s="17" t="s">
        <v>180</v>
      </c>
      <c r="F382" s="24">
        <v>0</v>
      </c>
      <c r="G382" s="24">
        <v>0</v>
      </c>
      <c r="H382" s="19">
        <v>0</v>
      </c>
      <c r="I382" s="19">
        <v>0</v>
      </c>
      <c r="T382" s="19">
        <f>Registro[[#This Row],[Mes 1]]+Registro[[#This Row],[Mes 2]]+Registro[[#This Row],[Mes 3]]</f>
        <v>0</v>
      </c>
      <c r="U382" s="19">
        <f>Registro[[#This Row],[Mes 4]]+Registro[[#This Row],[Mes 5]]+Registro[[#This Row],[Mes 6]]</f>
        <v>0</v>
      </c>
      <c r="V382" s="19">
        <f>Registro[[#This Row],[Mes 7]]+Registro[[#This Row],[Mes 8]]+Registro[[#This Row],[Mes 9]]</f>
        <v>0</v>
      </c>
      <c r="W382" s="20">
        <f>Registro[[#This Row],[Mes 10]]+Registro[[#This Row],[Mes 11]]+Registro[[#This Row],[Mes 12]]</f>
        <v>0</v>
      </c>
      <c r="X382" s="20">
        <f>SUM(Registro[[#This Row],[Trim I]],Registro[[#This Row],[Trim II]],Registro[[#This Row],[Trim III]],Registro[[#This Row],[Trim IV]])</f>
        <v>0</v>
      </c>
      <c r="Y382" s="22">
        <f>IFERROR((Registro[[#This Row],[Avance Total]]/Registro[[#This Row],[Meta]]),0)</f>
        <v>0</v>
      </c>
      <c r="Z382" s="22">
        <f>IFERROR((Registro[[#This Row],[Avance Total]]-Registro[[#This Row],[Línea Base 2025]])/Registro[[#This Row],[Línea Base 2025]],0)</f>
        <v>0</v>
      </c>
      <c r="AA382" s="20">
        <v>2026</v>
      </c>
    </row>
    <row r="383" spans="1:27" hidden="1">
      <c r="A383" s="14">
        <v>1030</v>
      </c>
      <c r="B383" s="15" t="s">
        <v>13</v>
      </c>
      <c r="C383" s="16">
        <v>115</v>
      </c>
      <c r="D383" s="16" t="s">
        <v>183</v>
      </c>
      <c r="E383" s="17" t="s">
        <v>182</v>
      </c>
      <c r="F383" s="24">
        <v>0</v>
      </c>
      <c r="G383" s="24">
        <v>0</v>
      </c>
      <c r="H383" s="19">
        <v>0</v>
      </c>
      <c r="I383" s="19">
        <v>35</v>
      </c>
      <c r="T383" s="19">
        <f>Registro[[#This Row],[Mes 1]]+Registro[[#This Row],[Mes 2]]+Registro[[#This Row],[Mes 3]]</f>
        <v>35</v>
      </c>
      <c r="U383" s="19">
        <f>Registro[[#This Row],[Mes 4]]+Registro[[#This Row],[Mes 5]]+Registro[[#This Row],[Mes 6]]</f>
        <v>0</v>
      </c>
      <c r="V383" s="19">
        <f>Registro[[#This Row],[Mes 7]]+Registro[[#This Row],[Mes 8]]+Registro[[#This Row],[Mes 9]]</f>
        <v>0</v>
      </c>
      <c r="W383" s="20">
        <f>Registro[[#This Row],[Mes 10]]+Registro[[#This Row],[Mes 11]]+Registro[[#This Row],[Mes 12]]</f>
        <v>0</v>
      </c>
      <c r="X383" s="20">
        <f>SUM(Registro[[#This Row],[Trim I]],Registro[[#This Row],[Trim II]],Registro[[#This Row],[Trim III]],Registro[[#This Row],[Trim IV]])</f>
        <v>35</v>
      </c>
      <c r="Y383" s="22">
        <f>IFERROR((Registro[[#This Row],[Avance Total]]/Registro[[#This Row],[Meta]]),0)</f>
        <v>0</v>
      </c>
      <c r="Z383" s="22">
        <f>IFERROR((Registro[[#This Row],[Avance Total]]-Registro[[#This Row],[Línea Base 2025]])/Registro[[#This Row],[Línea Base 2025]],0)</f>
        <v>0</v>
      </c>
      <c r="AA383" s="20">
        <v>2026</v>
      </c>
    </row>
    <row r="384" spans="1:27">
      <c r="A384" s="14">
        <v>1030</v>
      </c>
      <c r="B384" s="15" t="s">
        <v>13</v>
      </c>
      <c r="C384" s="16">
        <v>116</v>
      </c>
      <c r="D384" s="16" t="s">
        <v>185</v>
      </c>
      <c r="E384" s="17" t="s">
        <v>184</v>
      </c>
      <c r="F384" s="24">
        <v>2</v>
      </c>
      <c r="G384" s="24">
        <v>8.2800000000000011</v>
      </c>
      <c r="H384" s="19">
        <v>1</v>
      </c>
      <c r="I384" s="19">
        <v>0</v>
      </c>
      <c r="T384" s="19">
        <f>Registro[[#This Row],[Mes 1]]+Registro[[#This Row],[Mes 2]]+Registro[[#This Row],[Mes 3]]</f>
        <v>1</v>
      </c>
      <c r="U384" s="19">
        <f>Registro[[#This Row],[Mes 4]]+Registro[[#This Row],[Mes 5]]+Registro[[#This Row],[Mes 6]]</f>
        <v>0</v>
      </c>
      <c r="V384" s="19">
        <f>Registro[[#This Row],[Mes 7]]+Registro[[#This Row],[Mes 8]]+Registro[[#This Row],[Mes 9]]</f>
        <v>0</v>
      </c>
      <c r="W384" s="20">
        <f>Registro[[#This Row],[Mes 10]]+Registro[[#This Row],[Mes 11]]+Registro[[#This Row],[Mes 12]]</f>
        <v>0</v>
      </c>
      <c r="X384" s="20">
        <f>SUM(Registro[[#This Row],[Trim I]],Registro[[#This Row],[Trim II]],Registro[[#This Row],[Trim III]],Registro[[#This Row],[Trim IV]])</f>
        <v>1</v>
      </c>
      <c r="Y384" s="22">
        <f>IFERROR((Registro[[#This Row],[Avance Total]]/Registro[[#This Row],[Meta]]),0)</f>
        <v>0.12077294685990336</v>
      </c>
      <c r="Z384" s="22">
        <f>IFERROR((Registro[[#This Row],[Avance Total]]-Registro[[#This Row],[Línea Base 2025]])/Registro[[#This Row],[Línea Base 2025]],0)</f>
        <v>-0.5</v>
      </c>
      <c r="AA384" s="20">
        <v>2026</v>
      </c>
    </row>
    <row r="385" spans="1:27" hidden="1">
      <c r="A385" s="14">
        <v>1030</v>
      </c>
      <c r="B385" s="15" t="s">
        <v>13</v>
      </c>
      <c r="C385" s="16">
        <v>117</v>
      </c>
      <c r="D385" s="16" t="s">
        <v>187</v>
      </c>
      <c r="E385" s="17" t="s">
        <v>186</v>
      </c>
      <c r="F385" s="24">
        <v>0</v>
      </c>
      <c r="G385" s="24">
        <v>0</v>
      </c>
      <c r="H385" s="19">
        <v>0</v>
      </c>
      <c r="I385" s="19">
        <v>0</v>
      </c>
      <c r="T385" s="19">
        <f>Registro[[#This Row],[Mes 1]]+Registro[[#This Row],[Mes 2]]+Registro[[#This Row],[Mes 3]]</f>
        <v>0</v>
      </c>
      <c r="U385" s="19">
        <f>Registro[[#This Row],[Mes 4]]+Registro[[#This Row],[Mes 5]]+Registro[[#This Row],[Mes 6]]</f>
        <v>0</v>
      </c>
      <c r="V385" s="19">
        <f>Registro[[#This Row],[Mes 7]]+Registro[[#This Row],[Mes 8]]+Registro[[#This Row],[Mes 9]]</f>
        <v>0</v>
      </c>
      <c r="W385" s="20">
        <f>Registro[[#This Row],[Mes 10]]+Registro[[#This Row],[Mes 11]]+Registro[[#This Row],[Mes 12]]</f>
        <v>0</v>
      </c>
      <c r="X385" s="20">
        <f>SUM(Registro[[#This Row],[Trim I]],Registro[[#This Row],[Trim II]],Registro[[#This Row],[Trim III]],Registro[[#This Row],[Trim IV]])</f>
        <v>0</v>
      </c>
      <c r="Y385" s="22">
        <f>IFERROR((Registro[[#This Row],[Avance Total]]/Registro[[#This Row],[Meta]]),0)</f>
        <v>0</v>
      </c>
      <c r="Z385" s="22">
        <f>IFERROR((Registro[[#This Row],[Avance Total]]-Registro[[#This Row],[Línea Base 2025]])/Registro[[#This Row],[Línea Base 2025]],0)</f>
        <v>0</v>
      </c>
      <c r="AA385" s="20">
        <v>2026</v>
      </c>
    </row>
    <row r="386" spans="1:27" hidden="1">
      <c r="A386" s="14">
        <v>1030</v>
      </c>
      <c r="B386" s="15" t="s">
        <v>13</v>
      </c>
      <c r="C386" s="16">
        <v>118</v>
      </c>
      <c r="D386" s="16" t="s">
        <v>188</v>
      </c>
      <c r="E386" s="17" t="s">
        <v>9</v>
      </c>
      <c r="F386" s="24">
        <v>0</v>
      </c>
      <c r="G386" s="24">
        <v>0</v>
      </c>
      <c r="H386" s="19">
        <v>0</v>
      </c>
      <c r="I386" s="19">
        <v>0</v>
      </c>
      <c r="T386" s="19">
        <f>Registro[[#This Row],[Mes 1]]+Registro[[#This Row],[Mes 2]]+Registro[[#This Row],[Mes 3]]</f>
        <v>0</v>
      </c>
      <c r="U386" s="19">
        <f>Registro[[#This Row],[Mes 4]]+Registro[[#This Row],[Mes 5]]+Registro[[#This Row],[Mes 6]]</f>
        <v>0</v>
      </c>
      <c r="V386" s="19">
        <f>Registro[[#This Row],[Mes 7]]+Registro[[#This Row],[Mes 8]]+Registro[[#This Row],[Mes 9]]</f>
        <v>0</v>
      </c>
      <c r="W386" s="20">
        <f>Registro[[#This Row],[Mes 10]]+Registro[[#This Row],[Mes 11]]+Registro[[#This Row],[Mes 12]]</f>
        <v>0</v>
      </c>
      <c r="X386" s="20">
        <f>SUM(Registro[[#This Row],[Trim I]],Registro[[#This Row],[Trim II]],Registro[[#This Row],[Trim III]],Registro[[#This Row],[Trim IV]])</f>
        <v>0</v>
      </c>
      <c r="Y386" s="22">
        <f>IFERROR((Registro[[#This Row],[Avance Total]]/Registro[[#This Row],[Meta]]),0)</f>
        <v>0</v>
      </c>
      <c r="Z386" s="22">
        <f>IFERROR((Registro[[#This Row],[Avance Total]]-Registro[[#This Row],[Línea Base 2025]])/Registro[[#This Row],[Línea Base 2025]],0)</f>
        <v>0</v>
      </c>
      <c r="AA386" s="20">
        <v>2026</v>
      </c>
    </row>
    <row r="387" spans="1:27" hidden="1">
      <c r="A387" s="14">
        <v>1030</v>
      </c>
      <c r="B387" s="15" t="s">
        <v>13</v>
      </c>
      <c r="C387" s="16">
        <v>119</v>
      </c>
      <c r="D387" s="16" t="s">
        <v>190</v>
      </c>
      <c r="E387" s="17" t="s">
        <v>189</v>
      </c>
      <c r="F387" s="24">
        <v>0</v>
      </c>
      <c r="G387" s="24">
        <v>6.6240000000000014</v>
      </c>
      <c r="H387" s="19">
        <v>0</v>
      </c>
      <c r="I387" s="19">
        <v>0</v>
      </c>
      <c r="T387" s="19">
        <f>Registro[[#This Row],[Mes 1]]+Registro[[#This Row],[Mes 2]]+Registro[[#This Row],[Mes 3]]</f>
        <v>0</v>
      </c>
      <c r="U387" s="19">
        <f>Registro[[#This Row],[Mes 4]]+Registro[[#This Row],[Mes 5]]+Registro[[#This Row],[Mes 6]]</f>
        <v>0</v>
      </c>
      <c r="V387" s="19">
        <f>Registro[[#This Row],[Mes 7]]+Registro[[#This Row],[Mes 8]]+Registro[[#This Row],[Mes 9]]</f>
        <v>0</v>
      </c>
      <c r="W387" s="20">
        <f>Registro[[#This Row],[Mes 10]]+Registro[[#This Row],[Mes 11]]+Registro[[#This Row],[Mes 12]]</f>
        <v>0</v>
      </c>
      <c r="X387" s="20">
        <f>SUM(Registro[[#This Row],[Trim I]],Registro[[#This Row],[Trim II]],Registro[[#This Row],[Trim III]],Registro[[#This Row],[Trim IV]])</f>
        <v>0</v>
      </c>
      <c r="Y387" s="22">
        <f>IFERROR((Registro[[#This Row],[Avance Total]]/Registro[[#This Row],[Meta]]),0)</f>
        <v>0</v>
      </c>
      <c r="Z387" s="22">
        <f>IFERROR((Registro[[#This Row],[Avance Total]]-Registro[[#This Row],[Línea Base 2025]])/Registro[[#This Row],[Línea Base 2025]],0)</f>
        <v>0</v>
      </c>
      <c r="AA387" s="20">
        <v>2026</v>
      </c>
    </row>
    <row r="388" spans="1:27" hidden="1">
      <c r="A388" s="14">
        <v>1030</v>
      </c>
      <c r="B388" s="15" t="s">
        <v>13</v>
      </c>
      <c r="C388" s="16">
        <v>120</v>
      </c>
      <c r="D388" s="16" t="s">
        <v>192</v>
      </c>
      <c r="E388" s="17" t="s">
        <v>191</v>
      </c>
      <c r="F388" s="24">
        <v>0</v>
      </c>
      <c r="G388" s="24">
        <v>0</v>
      </c>
      <c r="H388" s="19">
        <v>0</v>
      </c>
      <c r="I388" s="19">
        <v>0</v>
      </c>
      <c r="T388" s="19">
        <f>Registro[[#This Row],[Mes 1]]+Registro[[#This Row],[Mes 2]]+Registro[[#This Row],[Mes 3]]</f>
        <v>0</v>
      </c>
      <c r="U388" s="19">
        <f>Registro[[#This Row],[Mes 4]]+Registro[[#This Row],[Mes 5]]+Registro[[#This Row],[Mes 6]]</f>
        <v>0</v>
      </c>
      <c r="V388" s="19">
        <f>Registro[[#This Row],[Mes 7]]+Registro[[#This Row],[Mes 8]]+Registro[[#This Row],[Mes 9]]</f>
        <v>0</v>
      </c>
      <c r="W388" s="20">
        <f>Registro[[#This Row],[Mes 10]]+Registro[[#This Row],[Mes 11]]+Registro[[#This Row],[Mes 12]]</f>
        <v>0</v>
      </c>
      <c r="X388" s="20">
        <f>SUM(Registro[[#This Row],[Trim I]],Registro[[#This Row],[Trim II]],Registro[[#This Row],[Trim III]],Registro[[#This Row],[Trim IV]])</f>
        <v>0</v>
      </c>
      <c r="Y388" s="22">
        <f>IFERROR((Registro[[#This Row],[Avance Total]]/Registro[[#This Row],[Meta]]),0)</f>
        <v>0</v>
      </c>
      <c r="Z388" s="22">
        <f>IFERROR((Registro[[#This Row],[Avance Total]]-Registro[[#This Row],[Línea Base 2025]])/Registro[[#This Row],[Línea Base 2025]],0)</f>
        <v>0</v>
      </c>
      <c r="AA388" s="20">
        <v>2026</v>
      </c>
    </row>
    <row r="389" spans="1:27" hidden="1">
      <c r="A389" s="14">
        <v>1030</v>
      </c>
      <c r="B389" s="15" t="s">
        <v>13</v>
      </c>
      <c r="C389" s="16">
        <v>121</v>
      </c>
      <c r="D389" s="16" t="s">
        <v>194</v>
      </c>
      <c r="E389" s="17" t="s">
        <v>193</v>
      </c>
      <c r="F389" s="24">
        <v>0</v>
      </c>
      <c r="G389" s="24">
        <v>0</v>
      </c>
      <c r="H389" s="19">
        <v>0</v>
      </c>
      <c r="I389" s="19">
        <v>0</v>
      </c>
      <c r="T389" s="19">
        <f>Registro[[#This Row],[Mes 1]]+Registro[[#This Row],[Mes 2]]+Registro[[#This Row],[Mes 3]]</f>
        <v>0</v>
      </c>
      <c r="U389" s="19">
        <f>Registro[[#This Row],[Mes 4]]+Registro[[#This Row],[Mes 5]]+Registro[[#This Row],[Mes 6]]</f>
        <v>0</v>
      </c>
      <c r="V389" s="19">
        <f>Registro[[#This Row],[Mes 7]]+Registro[[#This Row],[Mes 8]]+Registro[[#This Row],[Mes 9]]</f>
        <v>0</v>
      </c>
      <c r="W389" s="20">
        <f>Registro[[#This Row],[Mes 10]]+Registro[[#This Row],[Mes 11]]+Registro[[#This Row],[Mes 12]]</f>
        <v>0</v>
      </c>
      <c r="X389" s="20">
        <f>SUM(Registro[[#This Row],[Trim I]],Registro[[#This Row],[Trim II]],Registro[[#This Row],[Trim III]],Registro[[#This Row],[Trim IV]])</f>
        <v>0</v>
      </c>
      <c r="Y389" s="22">
        <f>IFERROR((Registro[[#This Row],[Avance Total]]/Registro[[#This Row],[Meta]]),0)</f>
        <v>0</v>
      </c>
      <c r="Z389" s="22">
        <f>IFERROR((Registro[[#This Row],[Avance Total]]-Registro[[#This Row],[Línea Base 2025]])/Registro[[#This Row],[Línea Base 2025]],0)</f>
        <v>0</v>
      </c>
      <c r="AA389" s="20">
        <v>2026</v>
      </c>
    </row>
    <row r="390" spans="1:27" hidden="1">
      <c r="A390" s="14">
        <v>1030</v>
      </c>
      <c r="B390" s="15" t="s">
        <v>13</v>
      </c>
      <c r="C390" s="16">
        <v>122</v>
      </c>
      <c r="D390" s="16" t="s">
        <v>196</v>
      </c>
      <c r="E390" s="17" t="s">
        <v>195</v>
      </c>
      <c r="F390" s="24">
        <v>0</v>
      </c>
      <c r="G390" s="24">
        <v>0</v>
      </c>
      <c r="H390" s="19">
        <v>0</v>
      </c>
      <c r="I390" s="19">
        <v>0</v>
      </c>
      <c r="T390" s="19">
        <f>Registro[[#This Row],[Mes 1]]+Registro[[#This Row],[Mes 2]]+Registro[[#This Row],[Mes 3]]</f>
        <v>0</v>
      </c>
      <c r="U390" s="19">
        <f>Registro[[#This Row],[Mes 4]]+Registro[[#This Row],[Mes 5]]+Registro[[#This Row],[Mes 6]]</f>
        <v>0</v>
      </c>
      <c r="V390" s="19">
        <f>Registro[[#This Row],[Mes 7]]+Registro[[#This Row],[Mes 8]]+Registro[[#This Row],[Mes 9]]</f>
        <v>0</v>
      </c>
      <c r="W390" s="20">
        <f>Registro[[#This Row],[Mes 10]]+Registro[[#This Row],[Mes 11]]+Registro[[#This Row],[Mes 12]]</f>
        <v>0</v>
      </c>
      <c r="X390" s="20">
        <f>SUM(Registro[[#This Row],[Trim I]],Registro[[#This Row],[Trim II]],Registro[[#This Row],[Trim III]],Registro[[#This Row],[Trim IV]])</f>
        <v>0</v>
      </c>
      <c r="Y390" s="22">
        <f>IFERROR((Registro[[#This Row],[Avance Total]]/Registro[[#This Row],[Meta]]),0)</f>
        <v>0</v>
      </c>
      <c r="Z390" s="22">
        <f>IFERROR((Registro[[#This Row],[Avance Total]]-Registro[[#This Row],[Línea Base 2025]])/Registro[[#This Row],[Línea Base 2025]],0)</f>
        <v>0</v>
      </c>
      <c r="AA390" s="20">
        <v>2026</v>
      </c>
    </row>
    <row r="391" spans="1:27" hidden="1">
      <c r="A391" s="14">
        <v>1030</v>
      </c>
      <c r="B391" s="15" t="s">
        <v>13</v>
      </c>
      <c r="C391" s="16">
        <v>123</v>
      </c>
      <c r="D391" s="16" t="s">
        <v>198</v>
      </c>
      <c r="E391" s="17" t="s">
        <v>197</v>
      </c>
      <c r="F391" s="24">
        <v>0</v>
      </c>
      <c r="G391" s="24">
        <v>0</v>
      </c>
      <c r="H391" s="19">
        <v>0</v>
      </c>
      <c r="I391" s="19">
        <v>0</v>
      </c>
      <c r="T391" s="19">
        <f>Registro[[#This Row],[Mes 1]]+Registro[[#This Row],[Mes 2]]+Registro[[#This Row],[Mes 3]]</f>
        <v>0</v>
      </c>
      <c r="U391" s="19">
        <f>Registro[[#This Row],[Mes 4]]+Registro[[#This Row],[Mes 5]]+Registro[[#This Row],[Mes 6]]</f>
        <v>0</v>
      </c>
      <c r="V391" s="19">
        <f>Registro[[#This Row],[Mes 7]]+Registro[[#This Row],[Mes 8]]+Registro[[#This Row],[Mes 9]]</f>
        <v>0</v>
      </c>
      <c r="W391" s="20">
        <f>Registro[[#This Row],[Mes 10]]+Registro[[#This Row],[Mes 11]]+Registro[[#This Row],[Mes 12]]</f>
        <v>0</v>
      </c>
      <c r="X391" s="20">
        <f>SUM(Registro[[#This Row],[Trim I]],Registro[[#This Row],[Trim II]],Registro[[#This Row],[Trim III]],Registro[[#This Row],[Trim IV]])</f>
        <v>0</v>
      </c>
      <c r="Y391" s="22">
        <f>IFERROR((Registro[[#This Row],[Avance Total]]/Registro[[#This Row],[Meta]]),0)</f>
        <v>0</v>
      </c>
      <c r="Z391" s="22">
        <f>IFERROR((Registro[[#This Row],[Avance Total]]-Registro[[#This Row],[Línea Base 2025]])/Registro[[#This Row],[Línea Base 2025]],0)</f>
        <v>0</v>
      </c>
      <c r="AA391" s="20">
        <v>2026</v>
      </c>
    </row>
    <row r="392" spans="1:27" hidden="1">
      <c r="A392" s="14">
        <v>1031</v>
      </c>
      <c r="B392" s="15" t="s">
        <v>70</v>
      </c>
      <c r="C392" s="16">
        <v>111</v>
      </c>
      <c r="D392" s="16" t="s">
        <v>171</v>
      </c>
      <c r="E392" s="17" t="s">
        <v>172</v>
      </c>
      <c r="F392" s="24">
        <v>16</v>
      </c>
      <c r="G392" s="24">
        <v>49</v>
      </c>
      <c r="H392" s="19">
        <v>11</v>
      </c>
      <c r="I392" s="19">
        <v>28</v>
      </c>
      <c r="T392" s="19">
        <f>Registro[[#This Row],[Mes 1]]+Registro[[#This Row],[Mes 2]]+Registro[[#This Row],[Mes 3]]</f>
        <v>39</v>
      </c>
      <c r="U392" s="19">
        <f>Registro[[#This Row],[Mes 4]]+Registro[[#This Row],[Mes 5]]+Registro[[#This Row],[Mes 6]]</f>
        <v>0</v>
      </c>
      <c r="V392" s="19">
        <f>Registro[[#This Row],[Mes 7]]+Registro[[#This Row],[Mes 8]]+Registro[[#This Row],[Mes 9]]</f>
        <v>0</v>
      </c>
      <c r="W392" s="20">
        <f>Registro[[#This Row],[Mes 10]]+Registro[[#This Row],[Mes 11]]+Registro[[#This Row],[Mes 12]]</f>
        <v>0</v>
      </c>
      <c r="X392" s="20">
        <f>SUM(Registro[[#This Row],[Trim I]],Registro[[#This Row],[Trim II]],Registro[[#This Row],[Trim III]],Registro[[#This Row],[Trim IV]])</f>
        <v>39</v>
      </c>
      <c r="Y392" s="22">
        <f>IFERROR((Registro[[#This Row],[Avance Total]]/Registro[[#This Row],[Meta]]),0)</f>
        <v>0.79591836734693877</v>
      </c>
      <c r="Z392" s="22">
        <f>IFERROR((Registro[[#This Row],[Avance Total]]-Registro[[#This Row],[Línea Base 2025]])/Registro[[#This Row],[Línea Base 2025]],0)</f>
        <v>1.4375</v>
      </c>
      <c r="AA392" s="20">
        <v>2026</v>
      </c>
    </row>
    <row r="393" spans="1:27" hidden="1">
      <c r="A393" s="14">
        <v>1031</v>
      </c>
      <c r="B393" s="15" t="s">
        <v>70</v>
      </c>
      <c r="C393" s="16">
        <v>112</v>
      </c>
      <c r="D393" s="16" t="s">
        <v>173</v>
      </c>
      <c r="E393" s="17" t="s">
        <v>7</v>
      </c>
      <c r="F393" s="24">
        <v>7</v>
      </c>
      <c r="G393" s="24">
        <v>15</v>
      </c>
      <c r="H393" s="19">
        <v>0</v>
      </c>
      <c r="I393" s="19">
        <v>0</v>
      </c>
      <c r="T393" s="19">
        <f>Registro[[#This Row],[Mes 1]]+Registro[[#This Row],[Mes 2]]+Registro[[#This Row],[Mes 3]]</f>
        <v>0</v>
      </c>
      <c r="U393" s="19">
        <f>Registro[[#This Row],[Mes 4]]+Registro[[#This Row],[Mes 5]]+Registro[[#This Row],[Mes 6]]</f>
        <v>0</v>
      </c>
      <c r="V393" s="19">
        <f>Registro[[#This Row],[Mes 7]]+Registro[[#This Row],[Mes 8]]+Registro[[#This Row],[Mes 9]]</f>
        <v>0</v>
      </c>
      <c r="W393" s="20">
        <f>Registro[[#This Row],[Mes 10]]+Registro[[#This Row],[Mes 11]]+Registro[[#This Row],[Mes 12]]</f>
        <v>0</v>
      </c>
      <c r="X393" s="20">
        <f>SUM(Registro[[#This Row],[Trim I]],Registro[[#This Row],[Trim II]],Registro[[#This Row],[Trim III]],Registro[[#This Row],[Trim IV]])</f>
        <v>0</v>
      </c>
      <c r="Y393" s="22">
        <f>IFERROR((Registro[[#This Row],[Avance Total]]/Registro[[#This Row],[Meta]]),0)</f>
        <v>0</v>
      </c>
      <c r="Z393" s="22">
        <f>IFERROR((Registro[[#This Row],[Avance Total]]-Registro[[#This Row],[Línea Base 2025]])/Registro[[#This Row],[Línea Base 2025]],0)</f>
        <v>-1</v>
      </c>
      <c r="AA393" s="20">
        <v>2026</v>
      </c>
    </row>
    <row r="394" spans="1:27" hidden="1">
      <c r="A394" s="14">
        <v>1031</v>
      </c>
      <c r="B394" s="15" t="s">
        <v>70</v>
      </c>
      <c r="C394" s="16">
        <v>113</v>
      </c>
      <c r="D394" s="16" t="s">
        <v>179</v>
      </c>
      <c r="E394" s="17" t="s">
        <v>178</v>
      </c>
      <c r="F394" s="24">
        <v>11</v>
      </c>
      <c r="G394" s="24">
        <v>85</v>
      </c>
      <c r="H394" s="19">
        <v>1</v>
      </c>
      <c r="I394" s="19">
        <v>0</v>
      </c>
      <c r="T394" s="19">
        <f>Registro[[#This Row],[Mes 1]]+Registro[[#This Row],[Mes 2]]+Registro[[#This Row],[Mes 3]]</f>
        <v>1</v>
      </c>
      <c r="U394" s="19">
        <f>Registro[[#This Row],[Mes 4]]+Registro[[#This Row],[Mes 5]]+Registro[[#This Row],[Mes 6]]</f>
        <v>0</v>
      </c>
      <c r="V394" s="19">
        <f>Registro[[#This Row],[Mes 7]]+Registro[[#This Row],[Mes 8]]+Registro[[#This Row],[Mes 9]]</f>
        <v>0</v>
      </c>
      <c r="W394" s="20">
        <f>Registro[[#This Row],[Mes 10]]+Registro[[#This Row],[Mes 11]]+Registro[[#This Row],[Mes 12]]</f>
        <v>0</v>
      </c>
      <c r="X394" s="20">
        <f>SUM(Registro[[#This Row],[Trim I]],Registro[[#This Row],[Trim II]],Registro[[#This Row],[Trim III]],Registro[[#This Row],[Trim IV]])</f>
        <v>1</v>
      </c>
      <c r="Y394" s="22">
        <f>IFERROR((Registro[[#This Row],[Avance Total]]/Registro[[#This Row],[Meta]]),0)</f>
        <v>1.1764705882352941E-2</v>
      </c>
      <c r="Z394" s="22">
        <f>IFERROR((Registro[[#This Row],[Avance Total]]-Registro[[#This Row],[Línea Base 2025]])/Registro[[#This Row],[Línea Base 2025]],0)</f>
        <v>-0.90909090909090906</v>
      </c>
      <c r="AA394" s="20">
        <v>2026</v>
      </c>
    </row>
    <row r="395" spans="1:27" hidden="1">
      <c r="A395" s="14">
        <v>1031</v>
      </c>
      <c r="B395" s="15" t="s">
        <v>70</v>
      </c>
      <c r="C395" s="16">
        <v>114</v>
      </c>
      <c r="D395" s="16" t="s">
        <v>181</v>
      </c>
      <c r="E395" s="17" t="s">
        <v>180</v>
      </c>
      <c r="F395" s="24">
        <v>0</v>
      </c>
      <c r="G395" s="24">
        <v>16.05</v>
      </c>
      <c r="H395" s="19">
        <v>7</v>
      </c>
      <c r="I395" s="19">
        <v>0</v>
      </c>
      <c r="T395" s="19">
        <f>Registro[[#This Row],[Mes 1]]+Registro[[#This Row],[Mes 2]]+Registro[[#This Row],[Mes 3]]</f>
        <v>7</v>
      </c>
      <c r="U395" s="19">
        <f>Registro[[#This Row],[Mes 4]]+Registro[[#This Row],[Mes 5]]+Registro[[#This Row],[Mes 6]]</f>
        <v>0</v>
      </c>
      <c r="V395" s="19">
        <f>Registro[[#This Row],[Mes 7]]+Registro[[#This Row],[Mes 8]]+Registro[[#This Row],[Mes 9]]</f>
        <v>0</v>
      </c>
      <c r="W395" s="20">
        <f>Registro[[#This Row],[Mes 10]]+Registro[[#This Row],[Mes 11]]+Registro[[#This Row],[Mes 12]]</f>
        <v>0</v>
      </c>
      <c r="X395" s="20">
        <f>SUM(Registro[[#This Row],[Trim I]],Registro[[#This Row],[Trim II]],Registro[[#This Row],[Trim III]],Registro[[#This Row],[Trim IV]])</f>
        <v>7</v>
      </c>
      <c r="Y395" s="22">
        <f>IFERROR((Registro[[#This Row],[Avance Total]]/Registro[[#This Row],[Meta]]),0)</f>
        <v>0.43613707165109034</v>
      </c>
      <c r="Z395" s="22">
        <f>IFERROR((Registro[[#This Row],[Avance Total]]-Registro[[#This Row],[Línea Base 2025]])/Registro[[#This Row],[Línea Base 2025]],0)</f>
        <v>0</v>
      </c>
      <c r="AA395" s="20">
        <v>2026</v>
      </c>
    </row>
    <row r="396" spans="1:27" hidden="1">
      <c r="A396" s="14">
        <v>1031</v>
      </c>
      <c r="B396" s="15" t="s">
        <v>70</v>
      </c>
      <c r="C396" s="16">
        <v>115</v>
      </c>
      <c r="D396" s="16" t="s">
        <v>183</v>
      </c>
      <c r="E396" s="17" t="s">
        <v>182</v>
      </c>
      <c r="F396" s="24">
        <v>0</v>
      </c>
      <c r="G396" s="24">
        <v>14.445</v>
      </c>
      <c r="H396" s="19">
        <v>0</v>
      </c>
      <c r="I396" s="19">
        <v>0</v>
      </c>
      <c r="T396" s="19">
        <f>Registro[[#This Row],[Mes 1]]+Registro[[#This Row],[Mes 2]]+Registro[[#This Row],[Mes 3]]</f>
        <v>0</v>
      </c>
      <c r="U396" s="19">
        <f>Registro[[#This Row],[Mes 4]]+Registro[[#This Row],[Mes 5]]+Registro[[#This Row],[Mes 6]]</f>
        <v>0</v>
      </c>
      <c r="V396" s="19">
        <f>Registro[[#This Row],[Mes 7]]+Registro[[#This Row],[Mes 8]]+Registro[[#This Row],[Mes 9]]</f>
        <v>0</v>
      </c>
      <c r="W396" s="20">
        <f>Registro[[#This Row],[Mes 10]]+Registro[[#This Row],[Mes 11]]+Registro[[#This Row],[Mes 12]]</f>
        <v>0</v>
      </c>
      <c r="X396" s="20">
        <f>SUM(Registro[[#This Row],[Trim I]],Registro[[#This Row],[Trim II]],Registro[[#This Row],[Trim III]],Registro[[#This Row],[Trim IV]])</f>
        <v>0</v>
      </c>
      <c r="Y396" s="22">
        <f>IFERROR((Registro[[#This Row],[Avance Total]]/Registro[[#This Row],[Meta]]),0)</f>
        <v>0</v>
      </c>
      <c r="Z396" s="22">
        <f>IFERROR((Registro[[#This Row],[Avance Total]]-Registro[[#This Row],[Línea Base 2025]])/Registro[[#This Row],[Línea Base 2025]],0)</f>
        <v>0</v>
      </c>
      <c r="AA396" s="20">
        <v>2026</v>
      </c>
    </row>
    <row r="397" spans="1:27">
      <c r="A397" s="14">
        <v>1031</v>
      </c>
      <c r="B397" s="15" t="s">
        <v>70</v>
      </c>
      <c r="C397" s="16">
        <v>116</v>
      </c>
      <c r="D397" s="16" t="s">
        <v>185</v>
      </c>
      <c r="E397" s="17" t="s">
        <v>184</v>
      </c>
      <c r="F397" s="24">
        <v>2</v>
      </c>
      <c r="G397" s="24">
        <v>1.84</v>
      </c>
      <c r="H397" s="19">
        <v>0</v>
      </c>
      <c r="I397" s="19">
        <v>0</v>
      </c>
      <c r="T397" s="19">
        <f>Registro[[#This Row],[Mes 1]]+Registro[[#This Row],[Mes 2]]+Registro[[#This Row],[Mes 3]]</f>
        <v>0</v>
      </c>
      <c r="U397" s="19">
        <f>Registro[[#This Row],[Mes 4]]+Registro[[#This Row],[Mes 5]]+Registro[[#This Row],[Mes 6]]</f>
        <v>0</v>
      </c>
      <c r="V397" s="19">
        <f>Registro[[#This Row],[Mes 7]]+Registro[[#This Row],[Mes 8]]+Registro[[#This Row],[Mes 9]]</f>
        <v>0</v>
      </c>
      <c r="W397" s="20">
        <f>Registro[[#This Row],[Mes 10]]+Registro[[#This Row],[Mes 11]]+Registro[[#This Row],[Mes 12]]</f>
        <v>0</v>
      </c>
      <c r="X397" s="20">
        <f>SUM(Registro[[#This Row],[Trim I]],Registro[[#This Row],[Trim II]],Registro[[#This Row],[Trim III]],Registro[[#This Row],[Trim IV]])</f>
        <v>0</v>
      </c>
      <c r="Y397" s="22">
        <f>IFERROR((Registro[[#This Row],[Avance Total]]/Registro[[#This Row],[Meta]]),0)</f>
        <v>0</v>
      </c>
      <c r="Z397" s="22">
        <f>IFERROR((Registro[[#This Row],[Avance Total]]-Registro[[#This Row],[Línea Base 2025]])/Registro[[#This Row],[Línea Base 2025]],0)</f>
        <v>-1</v>
      </c>
      <c r="AA397" s="20">
        <v>2026</v>
      </c>
    </row>
    <row r="398" spans="1:27" hidden="1">
      <c r="A398" s="14">
        <v>1031</v>
      </c>
      <c r="B398" s="15" t="s">
        <v>70</v>
      </c>
      <c r="C398" s="16">
        <v>117</v>
      </c>
      <c r="D398" s="16" t="s">
        <v>187</v>
      </c>
      <c r="E398" s="17" t="s">
        <v>186</v>
      </c>
      <c r="F398" s="24">
        <v>0</v>
      </c>
      <c r="G398" s="24">
        <v>1.6600000000000001</v>
      </c>
      <c r="H398" s="19">
        <v>0</v>
      </c>
      <c r="I398" s="19">
        <v>0</v>
      </c>
      <c r="T398" s="19">
        <f>Registro[[#This Row],[Mes 1]]+Registro[[#This Row],[Mes 2]]+Registro[[#This Row],[Mes 3]]</f>
        <v>0</v>
      </c>
      <c r="U398" s="19">
        <f>Registro[[#This Row],[Mes 4]]+Registro[[#This Row],[Mes 5]]+Registro[[#This Row],[Mes 6]]</f>
        <v>0</v>
      </c>
      <c r="V398" s="19">
        <f>Registro[[#This Row],[Mes 7]]+Registro[[#This Row],[Mes 8]]+Registro[[#This Row],[Mes 9]]</f>
        <v>0</v>
      </c>
      <c r="W398" s="20">
        <f>Registro[[#This Row],[Mes 10]]+Registro[[#This Row],[Mes 11]]+Registro[[#This Row],[Mes 12]]</f>
        <v>0</v>
      </c>
      <c r="X398" s="20">
        <f>SUM(Registro[[#This Row],[Trim I]],Registro[[#This Row],[Trim II]],Registro[[#This Row],[Trim III]],Registro[[#This Row],[Trim IV]])</f>
        <v>0</v>
      </c>
      <c r="Y398" s="22">
        <f>IFERROR((Registro[[#This Row],[Avance Total]]/Registro[[#This Row],[Meta]]),0)</f>
        <v>0</v>
      </c>
      <c r="Z398" s="22">
        <f>IFERROR((Registro[[#This Row],[Avance Total]]-Registro[[#This Row],[Línea Base 2025]])/Registro[[#This Row],[Línea Base 2025]],0)</f>
        <v>0</v>
      </c>
      <c r="AA398" s="20">
        <v>2026</v>
      </c>
    </row>
    <row r="399" spans="1:27" hidden="1">
      <c r="A399" s="14">
        <v>1031</v>
      </c>
      <c r="B399" s="15" t="s">
        <v>70</v>
      </c>
      <c r="C399" s="16">
        <v>118</v>
      </c>
      <c r="D399" s="16" t="s">
        <v>188</v>
      </c>
      <c r="E399" s="17" t="s">
        <v>9</v>
      </c>
      <c r="F399" s="24">
        <v>0</v>
      </c>
      <c r="G399" s="24">
        <v>33</v>
      </c>
      <c r="H399" s="19">
        <v>0</v>
      </c>
      <c r="I399" s="19">
        <v>0</v>
      </c>
      <c r="T399" s="19">
        <f>Registro[[#This Row],[Mes 1]]+Registro[[#This Row],[Mes 2]]+Registro[[#This Row],[Mes 3]]</f>
        <v>0</v>
      </c>
      <c r="U399" s="19">
        <f>Registro[[#This Row],[Mes 4]]+Registro[[#This Row],[Mes 5]]+Registro[[#This Row],[Mes 6]]</f>
        <v>0</v>
      </c>
      <c r="V399" s="19">
        <f>Registro[[#This Row],[Mes 7]]+Registro[[#This Row],[Mes 8]]+Registro[[#This Row],[Mes 9]]</f>
        <v>0</v>
      </c>
      <c r="W399" s="20">
        <f>Registro[[#This Row],[Mes 10]]+Registro[[#This Row],[Mes 11]]+Registro[[#This Row],[Mes 12]]</f>
        <v>0</v>
      </c>
      <c r="X399" s="20">
        <f>SUM(Registro[[#This Row],[Trim I]],Registro[[#This Row],[Trim II]],Registro[[#This Row],[Trim III]],Registro[[#This Row],[Trim IV]])</f>
        <v>0</v>
      </c>
      <c r="Y399" s="22">
        <f>IFERROR((Registro[[#This Row],[Avance Total]]/Registro[[#This Row],[Meta]]),0)</f>
        <v>0</v>
      </c>
      <c r="Z399" s="22">
        <f>IFERROR((Registro[[#This Row],[Avance Total]]-Registro[[#This Row],[Línea Base 2025]])/Registro[[#This Row],[Línea Base 2025]],0)</f>
        <v>0</v>
      </c>
      <c r="AA399" s="20">
        <v>2026</v>
      </c>
    </row>
    <row r="400" spans="1:27" hidden="1">
      <c r="A400" s="14">
        <v>1031</v>
      </c>
      <c r="B400" s="15" t="s">
        <v>70</v>
      </c>
      <c r="C400" s="16">
        <v>119</v>
      </c>
      <c r="D400" s="16" t="s">
        <v>190</v>
      </c>
      <c r="E400" s="17" t="s">
        <v>189</v>
      </c>
      <c r="F400" s="24">
        <v>0</v>
      </c>
      <c r="G400" s="24">
        <v>1.4720000000000002</v>
      </c>
      <c r="H400" s="19">
        <v>0</v>
      </c>
      <c r="I400" s="19">
        <v>0</v>
      </c>
      <c r="T400" s="19">
        <f>Registro[[#This Row],[Mes 1]]+Registro[[#This Row],[Mes 2]]+Registro[[#This Row],[Mes 3]]</f>
        <v>0</v>
      </c>
      <c r="U400" s="19">
        <f>Registro[[#This Row],[Mes 4]]+Registro[[#This Row],[Mes 5]]+Registro[[#This Row],[Mes 6]]</f>
        <v>0</v>
      </c>
      <c r="V400" s="19">
        <f>Registro[[#This Row],[Mes 7]]+Registro[[#This Row],[Mes 8]]+Registro[[#This Row],[Mes 9]]</f>
        <v>0</v>
      </c>
      <c r="W400" s="20">
        <f>Registro[[#This Row],[Mes 10]]+Registro[[#This Row],[Mes 11]]+Registro[[#This Row],[Mes 12]]</f>
        <v>0</v>
      </c>
      <c r="X400" s="20">
        <f>SUM(Registro[[#This Row],[Trim I]],Registro[[#This Row],[Trim II]],Registro[[#This Row],[Trim III]],Registro[[#This Row],[Trim IV]])</f>
        <v>0</v>
      </c>
      <c r="Y400" s="22">
        <f>IFERROR((Registro[[#This Row],[Avance Total]]/Registro[[#This Row],[Meta]]),0)</f>
        <v>0</v>
      </c>
      <c r="Z400" s="22">
        <f>IFERROR((Registro[[#This Row],[Avance Total]]-Registro[[#This Row],[Línea Base 2025]])/Registro[[#This Row],[Línea Base 2025]],0)</f>
        <v>0</v>
      </c>
      <c r="AA400" s="20">
        <v>2026</v>
      </c>
    </row>
    <row r="401" spans="1:27" hidden="1">
      <c r="A401" s="14">
        <v>1031</v>
      </c>
      <c r="B401" s="15" t="s">
        <v>70</v>
      </c>
      <c r="C401" s="16">
        <v>120</v>
      </c>
      <c r="D401" s="16" t="s">
        <v>192</v>
      </c>
      <c r="E401" s="17" t="s">
        <v>191</v>
      </c>
      <c r="F401" s="24">
        <v>0</v>
      </c>
      <c r="G401" s="24">
        <v>6</v>
      </c>
      <c r="H401" s="19">
        <v>0</v>
      </c>
      <c r="I401" s="19">
        <v>0</v>
      </c>
      <c r="T401" s="19">
        <f>Registro[[#This Row],[Mes 1]]+Registro[[#This Row],[Mes 2]]+Registro[[#This Row],[Mes 3]]</f>
        <v>0</v>
      </c>
      <c r="U401" s="19">
        <f>Registro[[#This Row],[Mes 4]]+Registro[[#This Row],[Mes 5]]+Registro[[#This Row],[Mes 6]]</f>
        <v>0</v>
      </c>
      <c r="V401" s="19">
        <f>Registro[[#This Row],[Mes 7]]+Registro[[#This Row],[Mes 8]]+Registro[[#This Row],[Mes 9]]</f>
        <v>0</v>
      </c>
      <c r="W401" s="20">
        <f>Registro[[#This Row],[Mes 10]]+Registro[[#This Row],[Mes 11]]+Registro[[#This Row],[Mes 12]]</f>
        <v>0</v>
      </c>
      <c r="X401" s="20">
        <f>SUM(Registro[[#This Row],[Trim I]],Registro[[#This Row],[Trim II]],Registro[[#This Row],[Trim III]],Registro[[#This Row],[Trim IV]])</f>
        <v>0</v>
      </c>
      <c r="Y401" s="22">
        <f>IFERROR((Registro[[#This Row],[Avance Total]]/Registro[[#This Row],[Meta]]),0)</f>
        <v>0</v>
      </c>
      <c r="Z401" s="22">
        <f>IFERROR((Registro[[#This Row],[Avance Total]]-Registro[[#This Row],[Línea Base 2025]])/Registro[[#This Row],[Línea Base 2025]],0)</f>
        <v>0</v>
      </c>
      <c r="AA401" s="20">
        <v>2026</v>
      </c>
    </row>
    <row r="402" spans="1:27" hidden="1">
      <c r="A402" s="14">
        <v>1031</v>
      </c>
      <c r="B402" s="15" t="s">
        <v>70</v>
      </c>
      <c r="C402" s="16">
        <v>121</v>
      </c>
      <c r="D402" s="16" t="s">
        <v>194</v>
      </c>
      <c r="E402" s="17" t="s">
        <v>193</v>
      </c>
      <c r="F402" s="24">
        <v>0</v>
      </c>
      <c r="G402" s="24">
        <v>0</v>
      </c>
      <c r="H402" s="19">
        <v>0</v>
      </c>
      <c r="I402" s="19">
        <v>2</v>
      </c>
      <c r="T402" s="19">
        <f>Registro[[#This Row],[Mes 1]]+Registro[[#This Row],[Mes 2]]+Registro[[#This Row],[Mes 3]]</f>
        <v>2</v>
      </c>
      <c r="U402" s="19">
        <f>Registro[[#This Row],[Mes 4]]+Registro[[#This Row],[Mes 5]]+Registro[[#This Row],[Mes 6]]</f>
        <v>0</v>
      </c>
      <c r="V402" s="19">
        <f>Registro[[#This Row],[Mes 7]]+Registro[[#This Row],[Mes 8]]+Registro[[#This Row],[Mes 9]]</f>
        <v>0</v>
      </c>
      <c r="W402" s="20">
        <f>Registro[[#This Row],[Mes 10]]+Registro[[#This Row],[Mes 11]]+Registro[[#This Row],[Mes 12]]</f>
        <v>0</v>
      </c>
      <c r="X402" s="20">
        <f>SUM(Registro[[#This Row],[Trim I]],Registro[[#This Row],[Trim II]],Registro[[#This Row],[Trim III]],Registro[[#This Row],[Trim IV]])</f>
        <v>2</v>
      </c>
      <c r="Y402" s="22">
        <f>IFERROR((Registro[[#This Row],[Avance Total]]/Registro[[#This Row],[Meta]]),0)</f>
        <v>0</v>
      </c>
      <c r="Z402" s="22">
        <f>IFERROR((Registro[[#This Row],[Avance Total]]-Registro[[#This Row],[Línea Base 2025]])/Registro[[#This Row],[Línea Base 2025]],0)</f>
        <v>0</v>
      </c>
      <c r="AA402" s="20">
        <v>2026</v>
      </c>
    </row>
    <row r="403" spans="1:27" hidden="1">
      <c r="A403" s="14">
        <v>1031</v>
      </c>
      <c r="B403" s="15" t="s">
        <v>70</v>
      </c>
      <c r="C403" s="16">
        <v>122</v>
      </c>
      <c r="D403" s="16" t="s">
        <v>196</v>
      </c>
      <c r="E403" s="17" t="s">
        <v>195</v>
      </c>
      <c r="F403" s="24">
        <v>0</v>
      </c>
      <c r="G403" s="24">
        <v>1</v>
      </c>
      <c r="H403" s="19">
        <v>0</v>
      </c>
      <c r="I403" s="19">
        <v>0</v>
      </c>
      <c r="T403" s="19">
        <f>Registro[[#This Row],[Mes 1]]+Registro[[#This Row],[Mes 2]]+Registro[[#This Row],[Mes 3]]</f>
        <v>0</v>
      </c>
      <c r="U403" s="19">
        <f>Registro[[#This Row],[Mes 4]]+Registro[[#This Row],[Mes 5]]+Registro[[#This Row],[Mes 6]]</f>
        <v>0</v>
      </c>
      <c r="V403" s="19">
        <f>Registro[[#This Row],[Mes 7]]+Registro[[#This Row],[Mes 8]]+Registro[[#This Row],[Mes 9]]</f>
        <v>0</v>
      </c>
      <c r="W403" s="20">
        <f>Registro[[#This Row],[Mes 10]]+Registro[[#This Row],[Mes 11]]+Registro[[#This Row],[Mes 12]]</f>
        <v>0</v>
      </c>
      <c r="X403" s="20">
        <f>SUM(Registro[[#This Row],[Trim I]],Registro[[#This Row],[Trim II]],Registro[[#This Row],[Trim III]],Registro[[#This Row],[Trim IV]])</f>
        <v>0</v>
      </c>
      <c r="Y403" s="22">
        <f>IFERROR((Registro[[#This Row],[Avance Total]]/Registro[[#This Row],[Meta]]),0)</f>
        <v>0</v>
      </c>
      <c r="Z403" s="22">
        <f>IFERROR((Registro[[#This Row],[Avance Total]]-Registro[[#This Row],[Línea Base 2025]])/Registro[[#This Row],[Línea Base 2025]],0)</f>
        <v>0</v>
      </c>
      <c r="AA403" s="20">
        <v>2026</v>
      </c>
    </row>
    <row r="404" spans="1:27" hidden="1">
      <c r="A404" s="14">
        <v>1031</v>
      </c>
      <c r="B404" s="15" t="s">
        <v>70</v>
      </c>
      <c r="C404" s="16">
        <v>123</v>
      </c>
      <c r="D404" s="16" t="s">
        <v>198</v>
      </c>
      <c r="E404" s="17" t="s">
        <v>197</v>
      </c>
      <c r="F404" s="24">
        <v>0</v>
      </c>
      <c r="G404" s="24">
        <v>4</v>
      </c>
      <c r="H404" s="19">
        <v>0</v>
      </c>
      <c r="I404" s="19">
        <v>0</v>
      </c>
      <c r="T404" s="19">
        <f>Registro[[#This Row],[Mes 1]]+Registro[[#This Row],[Mes 2]]+Registro[[#This Row],[Mes 3]]</f>
        <v>0</v>
      </c>
      <c r="U404" s="19">
        <f>Registro[[#This Row],[Mes 4]]+Registro[[#This Row],[Mes 5]]+Registro[[#This Row],[Mes 6]]</f>
        <v>0</v>
      </c>
      <c r="V404" s="19">
        <f>Registro[[#This Row],[Mes 7]]+Registro[[#This Row],[Mes 8]]+Registro[[#This Row],[Mes 9]]</f>
        <v>0</v>
      </c>
      <c r="W404" s="20">
        <f>Registro[[#This Row],[Mes 10]]+Registro[[#This Row],[Mes 11]]+Registro[[#This Row],[Mes 12]]</f>
        <v>0</v>
      </c>
      <c r="X404" s="20">
        <f>SUM(Registro[[#This Row],[Trim I]],Registro[[#This Row],[Trim II]],Registro[[#This Row],[Trim III]],Registro[[#This Row],[Trim IV]])</f>
        <v>0</v>
      </c>
      <c r="Y404" s="22">
        <f>IFERROR((Registro[[#This Row],[Avance Total]]/Registro[[#This Row],[Meta]]),0)</f>
        <v>0</v>
      </c>
      <c r="Z404" s="22">
        <f>IFERROR((Registro[[#This Row],[Avance Total]]-Registro[[#This Row],[Línea Base 2025]])/Registro[[#This Row],[Línea Base 2025]],0)</f>
        <v>0</v>
      </c>
      <c r="AA404" s="20">
        <v>2026</v>
      </c>
    </row>
    <row r="405" spans="1:27" hidden="1">
      <c r="A405" s="14">
        <v>1032</v>
      </c>
      <c r="B405" s="15" t="s">
        <v>71</v>
      </c>
      <c r="C405" s="16">
        <v>111</v>
      </c>
      <c r="D405" s="16" t="s">
        <v>171</v>
      </c>
      <c r="E405" s="17" t="s">
        <v>172</v>
      </c>
      <c r="F405" s="24">
        <v>32</v>
      </c>
      <c r="G405" s="24">
        <v>122</v>
      </c>
      <c r="H405" s="19">
        <v>2</v>
      </c>
      <c r="I405" s="19">
        <v>0</v>
      </c>
      <c r="T405" s="19">
        <f>Registro[[#This Row],[Mes 1]]+Registro[[#This Row],[Mes 2]]+Registro[[#This Row],[Mes 3]]</f>
        <v>2</v>
      </c>
      <c r="U405" s="19">
        <f>Registro[[#This Row],[Mes 4]]+Registro[[#This Row],[Mes 5]]+Registro[[#This Row],[Mes 6]]</f>
        <v>0</v>
      </c>
      <c r="V405" s="19">
        <f>Registro[[#This Row],[Mes 7]]+Registro[[#This Row],[Mes 8]]+Registro[[#This Row],[Mes 9]]</f>
        <v>0</v>
      </c>
      <c r="W405" s="20">
        <f>Registro[[#This Row],[Mes 10]]+Registro[[#This Row],[Mes 11]]+Registro[[#This Row],[Mes 12]]</f>
        <v>0</v>
      </c>
      <c r="X405" s="20">
        <f>SUM(Registro[[#This Row],[Trim I]],Registro[[#This Row],[Trim II]],Registro[[#This Row],[Trim III]],Registro[[#This Row],[Trim IV]])</f>
        <v>2</v>
      </c>
      <c r="Y405" s="22">
        <f>IFERROR((Registro[[#This Row],[Avance Total]]/Registro[[#This Row],[Meta]]),0)</f>
        <v>1.6393442622950821E-2</v>
      </c>
      <c r="Z405" s="22">
        <f>IFERROR((Registro[[#This Row],[Avance Total]]-Registro[[#This Row],[Línea Base 2025]])/Registro[[#This Row],[Línea Base 2025]],0)</f>
        <v>-0.9375</v>
      </c>
      <c r="AA405" s="20">
        <v>2026</v>
      </c>
    </row>
    <row r="406" spans="1:27" hidden="1">
      <c r="A406" s="14">
        <v>1032</v>
      </c>
      <c r="B406" s="15" t="s">
        <v>71</v>
      </c>
      <c r="C406" s="16">
        <v>112</v>
      </c>
      <c r="D406" s="16" t="s">
        <v>173</v>
      </c>
      <c r="E406" s="17" t="s">
        <v>7</v>
      </c>
      <c r="F406" s="24">
        <v>12</v>
      </c>
      <c r="G406" s="24">
        <v>33</v>
      </c>
      <c r="H406" s="19">
        <v>0</v>
      </c>
      <c r="I406" s="19">
        <v>0</v>
      </c>
      <c r="T406" s="19">
        <f>Registro[[#This Row],[Mes 1]]+Registro[[#This Row],[Mes 2]]+Registro[[#This Row],[Mes 3]]</f>
        <v>0</v>
      </c>
      <c r="U406" s="19">
        <f>Registro[[#This Row],[Mes 4]]+Registro[[#This Row],[Mes 5]]+Registro[[#This Row],[Mes 6]]</f>
        <v>0</v>
      </c>
      <c r="V406" s="19">
        <f>Registro[[#This Row],[Mes 7]]+Registro[[#This Row],[Mes 8]]+Registro[[#This Row],[Mes 9]]</f>
        <v>0</v>
      </c>
      <c r="W406" s="20">
        <f>Registro[[#This Row],[Mes 10]]+Registro[[#This Row],[Mes 11]]+Registro[[#This Row],[Mes 12]]</f>
        <v>0</v>
      </c>
      <c r="X406" s="20">
        <f>SUM(Registro[[#This Row],[Trim I]],Registro[[#This Row],[Trim II]],Registro[[#This Row],[Trim III]],Registro[[#This Row],[Trim IV]])</f>
        <v>0</v>
      </c>
      <c r="Y406" s="22">
        <f>IFERROR((Registro[[#This Row],[Avance Total]]/Registro[[#This Row],[Meta]]),0)</f>
        <v>0</v>
      </c>
      <c r="Z406" s="22">
        <f>IFERROR((Registro[[#This Row],[Avance Total]]-Registro[[#This Row],[Línea Base 2025]])/Registro[[#This Row],[Línea Base 2025]],0)</f>
        <v>-1</v>
      </c>
      <c r="AA406" s="20">
        <v>2026</v>
      </c>
    </row>
    <row r="407" spans="1:27" hidden="1">
      <c r="A407" s="14">
        <v>1032</v>
      </c>
      <c r="B407" s="15" t="s">
        <v>71</v>
      </c>
      <c r="C407" s="16">
        <v>113</v>
      </c>
      <c r="D407" s="16" t="s">
        <v>179</v>
      </c>
      <c r="E407" s="17" t="s">
        <v>178</v>
      </c>
      <c r="F407" s="24">
        <v>8</v>
      </c>
      <c r="G407" s="24">
        <v>180</v>
      </c>
      <c r="H407" s="19">
        <v>0</v>
      </c>
      <c r="I407" s="19">
        <v>0</v>
      </c>
      <c r="T407" s="19">
        <f>Registro[[#This Row],[Mes 1]]+Registro[[#This Row],[Mes 2]]+Registro[[#This Row],[Mes 3]]</f>
        <v>0</v>
      </c>
      <c r="U407" s="19">
        <f>Registro[[#This Row],[Mes 4]]+Registro[[#This Row],[Mes 5]]+Registro[[#This Row],[Mes 6]]</f>
        <v>0</v>
      </c>
      <c r="V407" s="19">
        <f>Registro[[#This Row],[Mes 7]]+Registro[[#This Row],[Mes 8]]+Registro[[#This Row],[Mes 9]]</f>
        <v>0</v>
      </c>
      <c r="W407" s="20">
        <f>Registro[[#This Row],[Mes 10]]+Registro[[#This Row],[Mes 11]]+Registro[[#This Row],[Mes 12]]</f>
        <v>0</v>
      </c>
      <c r="X407" s="20">
        <f>SUM(Registro[[#This Row],[Trim I]],Registro[[#This Row],[Trim II]],Registro[[#This Row],[Trim III]],Registro[[#This Row],[Trim IV]])</f>
        <v>0</v>
      </c>
      <c r="Y407" s="22">
        <f>IFERROR((Registro[[#This Row],[Avance Total]]/Registro[[#This Row],[Meta]]),0)</f>
        <v>0</v>
      </c>
      <c r="Z407" s="22">
        <f>IFERROR((Registro[[#This Row],[Avance Total]]-Registro[[#This Row],[Línea Base 2025]])/Registro[[#This Row],[Línea Base 2025]],0)</f>
        <v>-1</v>
      </c>
      <c r="AA407" s="20">
        <v>2026</v>
      </c>
    </row>
    <row r="408" spans="1:27" hidden="1">
      <c r="A408" s="14">
        <v>1032</v>
      </c>
      <c r="B408" s="15" t="s">
        <v>71</v>
      </c>
      <c r="C408" s="16">
        <v>114</v>
      </c>
      <c r="D408" s="16" t="s">
        <v>181</v>
      </c>
      <c r="E408" s="17" t="s">
        <v>180</v>
      </c>
      <c r="F408" s="24">
        <v>0</v>
      </c>
      <c r="G408" s="24">
        <v>5.0999999999999996</v>
      </c>
      <c r="H408" s="19">
        <v>0</v>
      </c>
      <c r="I408" s="19">
        <v>0</v>
      </c>
      <c r="T408" s="19">
        <f>Registro[[#This Row],[Mes 1]]+Registro[[#This Row],[Mes 2]]+Registro[[#This Row],[Mes 3]]</f>
        <v>0</v>
      </c>
      <c r="U408" s="19">
        <f>Registro[[#This Row],[Mes 4]]+Registro[[#This Row],[Mes 5]]+Registro[[#This Row],[Mes 6]]</f>
        <v>0</v>
      </c>
      <c r="V408" s="19">
        <f>Registro[[#This Row],[Mes 7]]+Registro[[#This Row],[Mes 8]]+Registro[[#This Row],[Mes 9]]</f>
        <v>0</v>
      </c>
      <c r="W408" s="20">
        <f>Registro[[#This Row],[Mes 10]]+Registro[[#This Row],[Mes 11]]+Registro[[#This Row],[Mes 12]]</f>
        <v>0</v>
      </c>
      <c r="X408" s="20">
        <f>SUM(Registro[[#This Row],[Trim I]],Registro[[#This Row],[Trim II]],Registro[[#This Row],[Trim III]],Registro[[#This Row],[Trim IV]])</f>
        <v>0</v>
      </c>
      <c r="Y408" s="22">
        <f>IFERROR((Registro[[#This Row],[Avance Total]]/Registro[[#This Row],[Meta]]),0)</f>
        <v>0</v>
      </c>
      <c r="Z408" s="22">
        <f>IFERROR((Registro[[#This Row],[Avance Total]]-Registro[[#This Row],[Línea Base 2025]])/Registro[[#This Row],[Línea Base 2025]],0)</f>
        <v>0</v>
      </c>
      <c r="AA408" s="20">
        <v>2026</v>
      </c>
    </row>
    <row r="409" spans="1:27" hidden="1">
      <c r="A409" s="14">
        <v>1032</v>
      </c>
      <c r="B409" s="15" t="s">
        <v>71</v>
      </c>
      <c r="C409" s="16">
        <v>115</v>
      </c>
      <c r="D409" s="16" t="s">
        <v>183</v>
      </c>
      <c r="E409" s="17" t="s">
        <v>182</v>
      </c>
      <c r="F409" s="24">
        <v>1</v>
      </c>
      <c r="G409" s="24">
        <v>4.59</v>
      </c>
      <c r="H409" s="19">
        <v>0</v>
      </c>
      <c r="I409" s="19">
        <v>0</v>
      </c>
      <c r="T409" s="19">
        <f>Registro[[#This Row],[Mes 1]]+Registro[[#This Row],[Mes 2]]+Registro[[#This Row],[Mes 3]]</f>
        <v>0</v>
      </c>
      <c r="U409" s="19">
        <f>Registro[[#This Row],[Mes 4]]+Registro[[#This Row],[Mes 5]]+Registro[[#This Row],[Mes 6]]</f>
        <v>0</v>
      </c>
      <c r="V409" s="19">
        <f>Registro[[#This Row],[Mes 7]]+Registro[[#This Row],[Mes 8]]+Registro[[#This Row],[Mes 9]]</f>
        <v>0</v>
      </c>
      <c r="W409" s="20">
        <f>Registro[[#This Row],[Mes 10]]+Registro[[#This Row],[Mes 11]]+Registro[[#This Row],[Mes 12]]</f>
        <v>0</v>
      </c>
      <c r="X409" s="20">
        <f>SUM(Registro[[#This Row],[Trim I]],Registro[[#This Row],[Trim II]],Registro[[#This Row],[Trim III]],Registro[[#This Row],[Trim IV]])</f>
        <v>0</v>
      </c>
      <c r="Y409" s="22">
        <f>IFERROR((Registro[[#This Row],[Avance Total]]/Registro[[#This Row],[Meta]]),0)</f>
        <v>0</v>
      </c>
      <c r="Z409" s="22">
        <f>IFERROR((Registro[[#This Row],[Avance Total]]-Registro[[#This Row],[Línea Base 2025]])/Registro[[#This Row],[Línea Base 2025]],0)</f>
        <v>-1</v>
      </c>
      <c r="AA409" s="20">
        <v>2026</v>
      </c>
    </row>
    <row r="410" spans="1:27">
      <c r="A410" s="14">
        <v>1032</v>
      </c>
      <c r="B410" s="15" t="s">
        <v>71</v>
      </c>
      <c r="C410" s="16">
        <v>116</v>
      </c>
      <c r="D410" s="16" t="s">
        <v>185</v>
      </c>
      <c r="E410" s="17" t="s">
        <v>184</v>
      </c>
      <c r="F410" s="24">
        <v>2</v>
      </c>
      <c r="G410" s="24">
        <v>4.6000000000000005</v>
      </c>
      <c r="H410" s="19">
        <v>0</v>
      </c>
      <c r="I410" s="19">
        <v>0</v>
      </c>
      <c r="T410" s="19">
        <f>Registro[[#This Row],[Mes 1]]+Registro[[#This Row],[Mes 2]]+Registro[[#This Row],[Mes 3]]</f>
        <v>0</v>
      </c>
      <c r="U410" s="19">
        <f>Registro[[#This Row],[Mes 4]]+Registro[[#This Row],[Mes 5]]+Registro[[#This Row],[Mes 6]]</f>
        <v>0</v>
      </c>
      <c r="V410" s="19">
        <f>Registro[[#This Row],[Mes 7]]+Registro[[#This Row],[Mes 8]]+Registro[[#This Row],[Mes 9]]</f>
        <v>0</v>
      </c>
      <c r="W410" s="20">
        <f>Registro[[#This Row],[Mes 10]]+Registro[[#This Row],[Mes 11]]+Registro[[#This Row],[Mes 12]]</f>
        <v>0</v>
      </c>
      <c r="X410" s="20">
        <f>SUM(Registro[[#This Row],[Trim I]],Registro[[#This Row],[Trim II]],Registro[[#This Row],[Trim III]],Registro[[#This Row],[Trim IV]])</f>
        <v>0</v>
      </c>
      <c r="Y410" s="22">
        <f>IFERROR((Registro[[#This Row],[Avance Total]]/Registro[[#This Row],[Meta]]),0)</f>
        <v>0</v>
      </c>
      <c r="Z410" s="22">
        <f>IFERROR((Registro[[#This Row],[Avance Total]]-Registro[[#This Row],[Línea Base 2025]])/Registro[[#This Row],[Línea Base 2025]],0)</f>
        <v>-1</v>
      </c>
      <c r="AA410" s="20">
        <v>2026</v>
      </c>
    </row>
    <row r="411" spans="1:27" hidden="1">
      <c r="A411" s="14">
        <v>1032</v>
      </c>
      <c r="B411" s="15" t="s">
        <v>71</v>
      </c>
      <c r="C411" s="16">
        <v>117</v>
      </c>
      <c r="D411" s="16" t="s">
        <v>187</v>
      </c>
      <c r="E411" s="17" t="s">
        <v>186</v>
      </c>
      <c r="F411" s="24">
        <v>1</v>
      </c>
      <c r="G411" s="24">
        <v>1.26</v>
      </c>
      <c r="H411" s="19">
        <v>0</v>
      </c>
      <c r="I411" s="19">
        <v>0</v>
      </c>
      <c r="T411" s="19">
        <f>Registro[[#This Row],[Mes 1]]+Registro[[#This Row],[Mes 2]]+Registro[[#This Row],[Mes 3]]</f>
        <v>0</v>
      </c>
      <c r="U411" s="19">
        <f>Registro[[#This Row],[Mes 4]]+Registro[[#This Row],[Mes 5]]+Registro[[#This Row],[Mes 6]]</f>
        <v>0</v>
      </c>
      <c r="V411" s="19">
        <f>Registro[[#This Row],[Mes 7]]+Registro[[#This Row],[Mes 8]]+Registro[[#This Row],[Mes 9]]</f>
        <v>0</v>
      </c>
      <c r="W411" s="20">
        <f>Registro[[#This Row],[Mes 10]]+Registro[[#This Row],[Mes 11]]+Registro[[#This Row],[Mes 12]]</f>
        <v>0</v>
      </c>
      <c r="X411" s="20">
        <f>SUM(Registro[[#This Row],[Trim I]],Registro[[#This Row],[Trim II]],Registro[[#This Row],[Trim III]],Registro[[#This Row],[Trim IV]])</f>
        <v>0</v>
      </c>
      <c r="Y411" s="22">
        <f>IFERROR((Registro[[#This Row],[Avance Total]]/Registro[[#This Row],[Meta]]),0)</f>
        <v>0</v>
      </c>
      <c r="Z411" s="22">
        <f>IFERROR((Registro[[#This Row],[Avance Total]]-Registro[[#This Row],[Línea Base 2025]])/Registro[[#This Row],[Línea Base 2025]],0)</f>
        <v>-1</v>
      </c>
      <c r="AA411" s="20">
        <v>2026</v>
      </c>
    </row>
    <row r="412" spans="1:27" hidden="1">
      <c r="A412" s="14">
        <v>1032</v>
      </c>
      <c r="B412" s="15" t="s">
        <v>71</v>
      </c>
      <c r="C412" s="16">
        <v>118</v>
      </c>
      <c r="D412" s="16" t="s">
        <v>188</v>
      </c>
      <c r="E412" s="17" t="s">
        <v>9</v>
      </c>
      <c r="F412" s="24">
        <v>0</v>
      </c>
      <c r="G412" s="24">
        <v>13</v>
      </c>
      <c r="H412" s="19">
        <v>0</v>
      </c>
      <c r="I412" s="19">
        <v>0</v>
      </c>
      <c r="T412" s="19">
        <f>Registro[[#This Row],[Mes 1]]+Registro[[#This Row],[Mes 2]]+Registro[[#This Row],[Mes 3]]</f>
        <v>0</v>
      </c>
      <c r="U412" s="19">
        <f>Registro[[#This Row],[Mes 4]]+Registro[[#This Row],[Mes 5]]+Registro[[#This Row],[Mes 6]]</f>
        <v>0</v>
      </c>
      <c r="V412" s="19">
        <f>Registro[[#This Row],[Mes 7]]+Registro[[#This Row],[Mes 8]]+Registro[[#This Row],[Mes 9]]</f>
        <v>0</v>
      </c>
      <c r="W412" s="20">
        <f>Registro[[#This Row],[Mes 10]]+Registro[[#This Row],[Mes 11]]+Registro[[#This Row],[Mes 12]]</f>
        <v>0</v>
      </c>
      <c r="X412" s="20">
        <f>SUM(Registro[[#This Row],[Trim I]],Registro[[#This Row],[Trim II]],Registro[[#This Row],[Trim III]],Registro[[#This Row],[Trim IV]])</f>
        <v>0</v>
      </c>
      <c r="Y412" s="22">
        <f>IFERROR((Registro[[#This Row],[Avance Total]]/Registro[[#This Row],[Meta]]),0)</f>
        <v>0</v>
      </c>
      <c r="Z412" s="22">
        <f>IFERROR((Registro[[#This Row],[Avance Total]]-Registro[[#This Row],[Línea Base 2025]])/Registro[[#This Row],[Línea Base 2025]],0)</f>
        <v>0</v>
      </c>
      <c r="AA412" s="20">
        <v>2026</v>
      </c>
    </row>
    <row r="413" spans="1:27" hidden="1">
      <c r="A413" s="14">
        <v>1032</v>
      </c>
      <c r="B413" s="15" t="s">
        <v>71</v>
      </c>
      <c r="C413" s="16">
        <v>119</v>
      </c>
      <c r="D413" s="16" t="s">
        <v>190</v>
      </c>
      <c r="E413" s="17" t="s">
        <v>189</v>
      </c>
      <c r="F413" s="24">
        <v>0</v>
      </c>
      <c r="G413" s="24">
        <v>3.6800000000000006</v>
      </c>
      <c r="H413" s="19">
        <v>0</v>
      </c>
      <c r="I413" s="19">
        <v>0</v>
      </c>
      <c r="T413" s="19">
        <f>Registro[[#This Row],[Mes 1]]+Registro[[#This Row],[Mes 2]]+Registro[[#This Row],[Mes 3]]</f>
        <v>0</v>
      </c>
      <c r="U413" s="19">
        <f>Registro[[#This Row],[Mes 4]]+Registro[[#This Row],[Mes 5]]+Registro[[#This Row],[Mes 6]]</f>
        <v>0</v>
      </c>
      <c r="V413" s="19">
        <f>Registro[[#This Row],[Mes 7]]+Registro[[#This Row],[Mes 8]]+Registro[[#This Row],[Mes 9]]</f>
        <v>0</v>
      </c>
      <c r="W413" s="20">
        <f>Registro[[#This Row],[Mes 10]]+Registro[[#This Row],[Mes 11]]+Registro[[#This Row],[Mes 12]]</f>
        <v>0</v>
      </c>
      <c r="X413" s="20">
        <f>SUM(Registro[[#This Row],[Trim I]],Registro[[#This Row],[Trim II]],Registro[[#This Row],[Trim III]],Registro[[#This Row],[Trim IV]])</f>
        <v>0</v>
      </c>
      <c r="Y413" s="22">
        <f>IFERROR((Registro[[#This Row],[Avance Total]]/Registro[[#This Row],[Meta]]),0)</f>
        <v>0</v>
      </c>
      <c r="Z413" s="22">
        <f>IFERROR((Registro[[#This Row],[Avance Total]]-Registro[[#This Row],[Línea Base 2025]])/Registro[[#This Row],[Línea Base 2025]],0)</f>
        <v>0</v>
      </c>
      <c r="AA413" s="20">
        <v>2026</v>
      </c>
    </row>
    <row r="414" spans="1:27" hidden="1">
      <c r="A414" s="14">
        <v>1032</v>
      </c>
      <c r="B414" s="15" t="s">
        <v>71</v>
      </c>
      <c r="C414" s="16">
        <v>120</v>
      </c>
      <c r="D414" s="16" t="s">
        <v>192</v>
      </c>
      <c r="E414" s="17" t="s">
        <v>191</v>
      </c>
      <c r="F414" s="24">
        <v>11</v>
      </c>
      <c r="G414" s="24">
        <v>5</v>
      </c>
      <c r="H414" s="19">
        <v>0</v>
      </c>
      <c r="I414" s="19">
        <v>0</v>
      </c>
      <c r="T414" s="19">
        <f>Registro[[#This Row],[Mes 1]]+Registro[[#This Row],[Mes 2]]+Registro[[#This Row],[Mes 3]]</f>
        <v>0</v>
      </c>
      <c r="U414" s="19">
        <f>Registro[[#This Row],[Mes 4]]+Registro[[#This Row],[Mes 5]]+Registro[[#This Row],[Mes 6]]</f>
        <v>0</v>
      </c>
      <c r="V414" s="19">
        <f>Registro[[#This Row],[Mes 7]]+Registro[[#This Row],[Mes 8]]+Registro[[#This Row],[Mes 9]]</f>
        <v>0</v>
      </c>
      <c r="W414" s="20">
        <f>Registro[[#This Row],[Mes 10]]+Registro[[#This Row],[Mes 11]]+Registro[[#This Row],[Mes 12]]</f>
        <v>0</v>
      </c>
      <c r="X414" s="20">
        <f>SUM(Registro[[#This Row],[Trim I]],Registro[[#This Row],[Trim II]],Registro[[#This Row],[Trim III]],Registro[[#This Row],[Trim IV]])</f>
        <v>0</v>
      </c>
      <c r="Y414" s="22">
        <f>IFERROR((Registro[[#This Row],[Avance Total]]/Registro[[#This Row],[Meta]]),0)</f>
        <v>0</v>
      </c>
      <c r="Z414" s="22">
        <f>IFERROR((Registro[[#This Row],[Avance Total]]-Registro[[#This Row],[Línea Base 2025]])/Registro[[#This Row],[Línea Base 2025]],0)</f>
        <v>-1</v>
      </c>
      <c r="AA414" s="20">
        <v>2026</v>
      </c>
    </row>
    <row r="415" spans="1:27" hidden="1">
      <c r="A415" s="14">
        <v>1032</v>
      </c>
      <c r="B415" s="15" t="s">
        <v>71</v>
      </c>
      <c r="C415" s="16">
        <v>121</v>
      </c>
      <c r="D415" s="16" t="s">
        <v>194</v>
      </c>
      <c r="E415" s="17" t="s">
        <v>193</v>
      </c>
      <c r="F415" s="24">
        <v>0</v>
      </c>
      <c r="G415" s="24">
        <v>0</v>
      </c>
      <c r="H415" s="19">
        <v>0</v>
      </c>
      <c r="I415" s="19">
        <v>0</v>
      </c>
      <c r="T415" s="19">
        <f>Registro[[#This Row],[Mes 1]]+Registro[[#This Row],[Mes 2]]+Registro[[#This Row],[Mes 3]]</f>
        <v>0</v>
      </c>
      <c r="U415" s="19">
        <f>Registro[[#This Row],[Mes 4]]+Registro[[#This Row],[Mes 5]]+Registro[[#This Row],[Mes 6]]</f>
        <v>0</v>
      </c>
      <c r="V415" s="19">
        <f>Registro[[#This Row],[Mes 7]]+Registro[[#This Row],[Mes 8]]+Registro[[#This Row],[Mes 9]]</f>
        <v>0</v>
      </c>
      <c r="W415" s="20">
        <f>Registro[[#This Row],[Mes 10]]+Registro[[#This Row],[Mes 11]]+Registro[[#This Row],[Mes 12]]</f>
        <v>0</v>
      </c>
      <c r="X415" s="20">
        <f>SUM(Registro[[#This Row],[Trim I]],Registro[[#This Row],[Trim II]],Registro[[#This Row],[Trim III]],Registro[[#This Row],[Trim IV]])</f>
        <v>0</v>
      </c>
      <c r="Y415" s="22">
        <f>IFERROR((Registro[[#This Row],[Avance Total]]/Registro[[#This Row],[Meta]]),0)</f>
        <v>0</v>
      </c>
      <c r="Z415" s="22">
        <f>IFERROR((Registro[[#This Row],[Avance Total]]-Registro[[#This Row],[Línea Base 2025]])/Registro[[#This Row],[Línea Base 2025]],0)</f>
        <v>0</v>
      </c>
      <c r="AA415" s="20">
        <v>2026</v>
      </c>
    </row>
    <row r="416" spans="1:27" hidden="1">
      <c r="A416" s="14">
        <v>1032</v>
      </c>
      <c r="B416" s="15" t="s">
        <v>71</v>
      </c>
      <c r="C416" s="16">
        <v>122</v>
      </c>
      <c r="D416" s="16" t="s">
        <v>196</v>
      </c>
      <c r="E416" s="17" t="s">
        <v>195</v>
      </c>
      <c r="F416" s="24">
        <v>4</v>
      </c>
      <c r="G416" s="24">
        <v>19</v>
      </c>
      <c r="H416" s="19">
        <v>0</v>
      </c>
      <c r="I416" s="19">
        <v>0</v>
      </c>
      <c r="T416" s="19">
        <f>Registro[[#This Row],[Mes 1]]+Registro[[#This Row],[Mes 2]]+Registro[[#This Row],[Mes 3]]</f>
        <v>0</v>
      </c>
      <c r="U416" s="19">
        <f>Registro[[#This Row],[Mes 4]]+Registro[[#This Row],[Mes 5]]+Registro[[#This Row],[Mes 6]]</f>
        <v>0</v>
      </c>
      <c r="V416" s="19">
        <f>Registro[[#This Row],[Mes 7]]+Registro[[#This Row],[Mes 8]]+Registro[[#This Row],[Mes 9]]</f>
        <v>0</v>
      </c>
      <c r="W416" s="20">
        <f>Registro[[#This Row],[Mes 10]]+Registro[[#This Row],[Mes 11]]+Registro[[#This Row],[Mes 12]]</f>
        <v>0</v>
      </c>
      <c r="X416" s="20">
        <f>SUM(Registro[[#This Row],[Trim I]],Registro[[#This Row],[Trim II]],Registro[[#This Row],[Trim III]],Registro[[#This Row],[Trim IV]])</f>
        <v>0</v>
      </c>
      <c r="Y416" s="22">
        <f>IFERROR((Registro[[#This Row],[Avance Total]]/Registro[[#This Row],[Meta]]),0)</f>
        <v>0</v>
      </c>
      <c r="Z416" s="22">
        <f>IFERROR((Registro[[#This Row],[Avance Total]]-Registro[[#This Row],[Línea Base 2025]])/Registro[[#This Row],[Línea Base 2025]],0)</f>
        <v>-1</v>
      </c>
      <c r="AA416" s="20">
        <v>2026</v>
      </c>
    </row>
    <row r="417" spans="1:27" hidden="1">
      <c r="A417" s="14">
        <v>1032</v>
      </c>
      <c r="B417" s="15" t="s">
        <v>71</v>
      </c>
      <c r="C417" s="16">
        <v>123</v>
      </c>
      <c r="D417" s="16" t="s">
        <v>198</v>
      </c>
      <c r="E417" s="17" t="s">
        <v>197</v>
      </c>
      <c r="F417" s="24">
        <v>0</v>
      </c>
      <c r="G417" s="24">
        <v>2</v>
      </c>
      <c r="H417" s="19">
        <v>0</v>
      </c>
      <c r="I417" s="19">
        <v>0</v>
      </c>
      <c r="T417" s="19">
        <f>Registro[[#This Row],[Mes 1]]+Registro[[#This Row],[Mes 2]]+Registro[[#This Row],[Mes 3]]</f>
        <v>0</v>
      </c>
      <c r="U417" s="19">
        <f>Registro[[#This Row],[Mes 4]]+Registro[[#This Row],[Mes 5]]+Registro[[#This Row],[Mes 6]]</f>
        <v>0</v>
      </c>
      <c r="V417" s="19">
        <f>Registro[[#This Row],[Mes 7]]+Registro[[#This Row],[Mes 8]]+Registro[[#This Row],[Mes 9]]</f>
        <v>0</v>
      </c>
      <c r="W417" s="20">
        <f>Registro[[#This Row],[Mes 10]]+Registro[[#This Row],[Mes 11]]+Registro[[#This Row],[Mes 12]]</f>
        <v>0</v>
      </c>
      <c r="X417" s="20">
        <f>SUM(Registro[[#This Row],[Trim I]],Registro[[#This Row],[Trim II]],Registro[[#This Row],[Trim III]],Registro[[#This Row],[Trim IV]])</f>
        <v>0</v>
      </c>
      <c r="Y417" s="22">
        <f>IFERROR((Registro[[#This Row],[Avance Total]]/Registro[[#This Row],[Meta]]),0)</f>
        <v>0</v>
      </c>
      <c r="Z417" s="22">
        <f>IFERROR((Registro[[#This Row],[Avance Total]]-Registro[[#This Row],[Línea Base 2025]])/Registro[[#This Row],[Línea Base 2025]],0)</f>
        <v>0</v>
      </c>
      <c r="AA417" s="20">
        <v>2026</v>
      </c>
    </row>
    <row r="418" spans="1:27" hidden="1">
      <c r="A418" s="14">
        <v>1033</v>
      </c>
      <c r="B418" s="15" t="s">
        <v>72</v>
      </c>
      <c r="C418" s="16">
        <v>111</v>
      </c>
      <c r="D418" s="16" t="s">
        <v>171</v>
      </c>
      <c r="E418" s="17" t="s">
        <v>172</v>
      </c>
      <c r="F418" s="24">
        <v>108</v>
      </c>
      <c r="G418" s="24">
        <v>150</v>
      </c>
      <c r="H418" s="19">
        <v>2</v>
      </c>
      <c r="I418" s="19">
        <v>1</v>
      </c>
      <c r="T418" s="19">
        <f>Registro[[#This Row],[Mes 1]]+Registro[[#This Row],[Mes 2]]+Registro[[#This Row],[Mes 3]]</f>
        <v>3</v>
      </c>
      <c r="U418" s="19">
        <f>Registro[[#This Row],[Mes 4]]+Registro[[#This Row],[Mes 5]]+Registro[[#This Row],[Mes 6]]</f>
        <v>0</v>
      </c>
      <c r="V418" s="19">
        <f>Registro[[#This Row],[Mes 7]]+Registro[[#This Row],[Mes 8]]+Registro[[#This Row],[Mes 9]]</f>
        <v>0</v>
      </c>
      <c r="W418" s="20">
        <f>Registro[[#This Row],[Mes 10]]+Registro[[#This Row],[Mes 11]]+Registro[[#This Row],[Mes 12]]</f>
        <v>0</v>
      </c>
      <c r="X418" s="20">
        <f>SUM(Registro[[#This Row],[Trim I]],Registro[[#This Row],[Trim II]],Registro[[#This Row],[Trim III]],Registro[[#This Row],[Trim IV]])</f>
        <v>3</v>
      </c>
      <c r="Y418" s="22">
        <f>IFERROR((Registro[[#This Row],[Avance Total]]/Registro[[#This Row],[Meta]]),0)</f>
        <v>0.02</v>
      </c>
      <c r="Z418" s="22">
        <f>IFERROR((Registro[[#This Row],[Avance Total]]-Registro[[#This Row],[Línea Base 2025]])/Registro[[#This Row],[Línea Base 2025]],0)</f>
        <v>-0.97222222222222221</v>
      </c>
      <c r="AA418" s="20">
        <v>2026</v>
      </c>
    </row>
    <row r="419" spans="1:27" hidden="1">
      <c r="A419" s="14">
        <v>1033</v>
      </c>
      <c r="B419" s="15" t="s">
        <v>72</v>
      </c>
      <c r="C419" s="16">
        <v>112</v>
      </c>
      <c r="D419" s="16" t="s">
        <v>173</v>
      </c>
      <c r="E419" s="17" t="s">
        <v>7</v>
      </c>
      <c r="F419" s="24">
        <v>39</v>
      </c>
      <c r="G419" s="24">
        <v>157</v>
      </c>
      <c r="H419" s="19">
        <v>0</v>
      </c>
      <c r="I419" s="19">
        <v>0</v>
      </c>
      <c r="T419" s="19">
        <f>Registro[[#This Row],[Mes 1]]+Registro[[#This Row],[Mes 2]]+Registro[[#This Row],[Mes 3]]</f>
        <v>0</v>
      </c>
      <c r="U419" s="19">
        <f>Registro[[#This Row],[Mes 4]]+Registro[[#This Row],[Mes 5]]+Registro[[#This Row],[Mes 6]]</f>
        <v>0</v>
      </c>
      <c r="V419" s="19">
        <f>Registro[[#This Row],[Mes 7]]+Registro[[#This Row],[Mes 8]]+Registro[[#This Row],[Mes 9]]</f>
        <v>0</v>
      </c>
      <c r="W419" s="20">
        <f>Registro[[#This Row],[Mes 10]]+Registro[[#This Row],[Mes 11]]+Registro[[#This Row],[Mes 12]]</f>
        <v>0</v>
      </c>
      <c r="X419" s="20">
        <f>SUM(Registro[[#This Row],[Trim I]],Registro[[#This Row],[Trim II]],Registro[[#This Row],[Trim III]],Registro[[#This Row],[Trim IV]])</f>
        <v>0</v>
      </c>
      <c r="Y419" s="22">
        <f>IFERROR((Registro[[#This Row],[Avance Total]]/Registro[[#This Row],[Meta]]),0)</f>
        <v>0</v>
      </c>
      <c r="Z419" s="22">
        <f>IFERROR((Registro[[#This Row],[Avance Total]]-Registro[[#This Row],[Línea Base 2025]])/Registro[[#This Row],[Línea Base 2025]],0)</f>
        <v>-1</v>
      </c>
      <c r="AA419" s="20">
        <v>2026</v>
      </c>
    </row>
    <row r="420" spans="1:27" hidden="1">
      <c r="A420" s="14">
        <v>1033</v>
      </c>
      <c r="B420" s="15" t="s">
        <v>72</v>
      </c>
      <c r="C420" s="16">
        <v>113</v>
      </c>
      <c r="D420" s="16" t="s">
        <v>179</v>
      </c>
      <c r="E420" s="17" t="s">
        <v>178</v>
      </c>
      <c r="F420" s="24">
        <v>51</v>
      </c>
      <c r="G420" s="24">
        <v>373</v>
      </c>
      <c r="H420" s="19">
        <v>0</v>
      </c>
      <c r="I420" s="19">
        <v>0</v>
      </c>
      <c r="T420" s="19">
        <f>Registro[[#This Row],[Mes 1]]+Registro[[#This Row],[Mes 2]]+Registro[[#This Row],[Mes 3]]</f>
        <v>0</v>
      </c>
      <c r="U420" s="19">
        <f>Registro[[#This Row],[Mes 4]]+Registro[[#This Row],[Mes 5]]+Registro[[#This Row],[Mes 6]]</f>
        <v>0</v>
      </c>
      <c r="V420" s="19">
        <f>Registro[[#This Row],[Mes 7]]+Registro[[#This Row],[Mes 8]]+Registro[[#This Row],[Mes 9]]</f>
        <v>0</v>
      </c>
      <c r="W420" s="20">
        <f>Registro[[#This Row],[Mes 10]]+Registro[[#This Row],[Mes 11]]+Registro[[#This Row],[Mes 12]]</f>
        <v>0</v>
      </c>
      <c r="X420" s="20">
        <f>SUM(Registro[[#This Row],[Trim I]],Registro[[#This Row],[Trim II]],Registro[[#This Row],[Trim III]],Registro[[#This Row],[Trim IV]])</f>
        <v>0</v>
      </c>
      <c r="Y420" s="22">
        <f>IFERROR((Registro[[#This Row],[Avance Total]]/Registro[[#This Row],[Meta]]),0)</f>
        <v>0</v>
      </c>
      <c r="Z420" s="22">
        <f>IFERROR((Registro[[#This Row],[Avance Total]]-Registro[[#This Row],[Línea Base 2025]])/Registro[[#This Row],[Línea Base 2025]],0)</f>
        <v>-1</v>
      </c>
      <c r="AA420" s="20">
        <v>2026</v>
      </c>
    </row>
    <row r="421" spans="1:27" hidden="1">
      <c r="A421" s="14">
        <v>1033</v>
      </c>
      <c r="B421" s="15" t="s">
        <v>72</v>
      </c>
      <c r="C421" s="16">
        <v>114</v>
      </c>
      <c r="D421" s="16" t="s">
        <v>181</v>
      </c>
      <c r="E421" s="17" t="s">
        <v>180</v>
      </c>
      <c r="F421" s="24">
        <v>17</v>
      </c>
      <c r="G421" s="24">
        <v>44.699999999999996</v>
      </c>
      <c r="H421" s="19">
        <v>6</v>
      </c>
      <c r="I421" s="19">
        <v>0</v>
      </c>
      <c r="T421" s="19">
        <f>Registro[[#This Row],[Mes 1]]+Registro[[#This Row],[Mes 2]]+Registro[[#This Row],[Mes 3]]</f>
        <v>6</v>
      </c>
      <c r="U421" s="19">
        <f>Registro[[#This Row],[Mes 4]]+Registro[[#This Row],[Mes 5]]+Registro[[#This Row],[Mes 6]]</f>
        <v>0</v>
      </c>
      <c r="V421" s="19">
        <f>Registro[[#This Row],[Mes 7]]+Registro[[#This Row],[Mes 8]]+Registro[[#This Row],[Mes 9]]</f>
        <v>0</v>
      </c>
      <c r="W421" s="20">
        <f>Registro[[#This Row],[Mes 10]]+Registro[[#This Row],[Mes 11]]+Registro[[#This Row],[Mes 12]]</f>
        <v>0</v>
      </c>
      <c r="X421" s="20">
        <f>SUM(Registro[[#This Row],[Trim I]],Registro[[#This Row],[Trim II]],Registro[[#This Row],[Trim III]],Registro[[#This Row],[Trim IV]])</f>
        <v>6</v>
      </c>
      <c r="Y421" s="22">
        <f>IFERROR((Registro[[#This Row],[Avance Total]]/Registro[[#This Row],[Meta]]),0)</f>
        <v>0.13422818791946309</v>
      </c>
      <c r="Z421" s="22">
        <f>IFERROR((Registro[[#This Row],[Avance Total]]-Registro[[#This Row],[Línea Base 2025]])/Registro[[#This Row],[Línea Base 2025]],0)</f>
        <v>-0.6470588235294118</v>
      </c>
      <c r="AA421" s="20">
        <v>2026</v>
      </c>
    </row>
    <row r="422" spans="1:27" hidden="1">
      <c r="A422" s="14">
        <v>1033</v>
      </c>
      <c r="B422" s="15" t="s">
        <v>72</v>
      </c>
      <c r="C422" s="16">
        <v>115</v>
      </c>
      <c r="D422" s="16" t="s">
        <v>183</v>
      </c>
      <c r="E422" s="17" t="s">
        <v>182</v>
      </c>
      <c r="F422" s="24">
        <v>8</v>
      </c>
      <c r="G422" s="24">
        <v>40.229999999999997</v>
      </c>
      <c r="H422" s="19">
        <v>0</v>
      </c>
      <c r="I422" s="19">
        <v>0</v>
      </c>
      <c r="T422" s="19">
        <f>Registro[[#This Row],[Mes 1]]+Registro[[#This Row],[Mes 2]]+Registro[[#This Row],[Mes 3]]</f>
        <v>0</v>
      </c>
      <c r="U422" s="19">
        <f>Registro[[#This Row],[Mes 4]]+Registro[[#This Row],[Mes 5]]+Registro[[#This Row],[Mes 6]]</f>
        <v>0</v>
      </c>
      <c r="V422" s="19">
        <f>Registro[[#This Row],[Mes 7]]+Registro[[#This Row],[Mes 8]]+Registro[[#This Row],[Mes 9]]</f>
        <v>0</v>
      </c>
      <c r="W422" s="20">
        <f>Registro[[#This Row],[Mes 10]]+Registro[[#This Row],[Mes 11]]+Registro[[#This Row],[Mes 12]]</f>
        <v>0</v>
      </c>
      <c r="X422" s="20">
        <f>SUM(Registro[[#This Row],[Trim I]],Registro[[#This Row],[Trim II]],Registro[[#This Row],[Trim III]],Registro[[#This Row],[Trim IV]])</f>
        <v>0</v>
      </c>
      <c r="Y422" s="22">
        <f>IFERROR((Registro[[#This Row],[Avance Total]]/Registro[[#This Row],[Meta]]),0)</f>
        <v>0</v>
      </c>
      <c r="Z422" s="22">
        <f>IFERROR((Registro[[#This Row],[Avance Total]]-Registro[[#This Row],[Línea Base 2025]])/Registro[[#This Row],[Línea Base 2025]],0)</f>
        <v>-1</v>
      </c>
      <c r="AA422" s="20">
        <v>2026</v>
      </c>
    </row>
    <row r="423" spans="1:27">
      <c r="A423" s="14">
        <v>1033</v>
      </c>
      <c r="B423" s="15" t="s">
        <v>72</v>
      </c>
      <c r="C423" s="16">
        <v>116</v>
      </c>
      <c r="D423" s="16" t="s">
        <v>185</v>
      </c>
      <c r="E423" s="17" t="s">
        <v>184</v>
      </c>
      <c r="F423" s="24">
        <v>4</v>
      </c>
      <c r="G423" s="24">
        <v>5.98</v>
      </c>
      <c r="H423" s="19">
        <v>0</v>
      </c>
      <c r="I423" s="19">
        <v>0</v>
      </c>
      <c r="T423" s="19">
        <f>Registro[[#This Row],[Mes 1]]+Registro[[#This Row],[Mes 2]]+Registro[[#This Row],[Mes 3]]</f>
        <v>0</v>
      </c>
      <c r="U423" s="19">
        <f>Registro[[#This Row],[Mes 4]]+Registro[[#This Row],[Mes 5]]+Registro[[#This Row],[Mes 6]]</f>
        <v>0</v>
      </c>
      <c r="V423" s="19">
        <f>Registro[[#This Row],[Mes 7]]+Registro[[#This Row],[Mes 8]]+Registro[[#This Row],[Mes 9]]</f>
        <v>0</v>
      </c>
      <c r="W423" s="20">
        <f>Registro[[#This Row],[Mes 10]]+Registro[[#This Row],[Mes 11]]+Registro[[#This Row],[Mes 12]]</f>
        <v>0</v>
      </c>
      <c r="X423" s="20">
        <f>SUM(Registro[[#This Row],[Trim I]],Registro[[#This Row],[Trim II]],Registro[[#This Row],[Trim III]],Registro[[#This Row],[Trim IV]])</f>
        <v>0</v>
      </c>
      <c r="Y423" s="22">
        <f>IFERROR((Registro[[#This Row],[Avance Total]]/Registro[[#This Row],[Meta]]),0)</f>
        <v>0</v>
      </c>
      <c r="Z423" s="22">
        <f>IFERROR((Registro[[#This Row],[Avance Total]]-Registro[[#This Row],[Línea Base 2025]])/Registro[[#This Row],[Línea Base 2025]],0)</f>
        <v>-1</v>
      </c>
      <c r="AA423" s="20">
        <v>2026</v>
      </c>
    </row>
    <row r="424" spans="1:27" hidden="1">
      <c r="A424" s="14">
        <v>1033</v>
      </c>
      <c r="B424" s="15" t="s">
        <v>72</v>
      </c>
      <c r="C424" s="16">
        <v>117</v>
      </c>
      <c r="D424" s="16" t="s">
        <v>187</v>
      </c>
      <c r="E424" s="17" t="s">
        <v>186</v>
      </c>
      <c r="F424" s="24">
        <v>3</v>
      </c>
      <c r="G424" s="24">
        <v>6.88</v>
      </c>
      <c r="H424" s="19">
        <v>0</v>
      </c>
      <c r="I424" s="19">
        <v>0</v>
      </c>
      <c r="T424" s="19">
        <f>Registro[[#This Row],[Mes 1]]+Registro[[#This Row],[Mes 2]]+Registro[[#This Row],[Mes 3]]</f>
        <v>0</v>
      </c>
      <c r="U424" s="19">
        <f>Registro[[#This Row],[Mes 4]]+Registro[[#This Row],[Mes 5]]+Registro[[#This Row],[Mes 6]]</f>
        <v>0</v>
      </c>
      <c r="V424" s="19">
        <f>Registro[[#This Row],[Mes 7]]+Registro[[#This Row],[Mes 8]]+Registro[[#This Row],[Mes 9]]</f>
        <v>0</v>
      </c>
      <c r="W424" s="20">
        <f>Registro[[#This Row],[Mes 10]]+Registro[[#This Row],[Mes 11]]+Registro[[#This Row],[Mes 12]]</f>
        <v>0</v>
      </c>
      <c r="X424" s="20">
        <f>SUM(Registro[[#This Row],[Trim I]],Registro[[#This Row],[Trim II]],Registro[[#This Row],[Trim III]],Registro[[#This Row],[Trim IV]])</f>
        <v>0</v>
      </c>
      <c r="Y424" s="22">
        <f>IFERROR((Registro[[#This Row],[Avance Total]]/Registro[[#This Row],[Meta]]),0)</f>
        <v>0</v>
      </c>
      <c r="Z424" s="22">
        <f>IFERROR((Registro[[#This Row],[Avance Total]]-Registro[[#This Row],[Línea Base 2025]])/Registro[[#This Row],[Línea Base 2025]],0)</f>
        <v>-1</v>
      </c>
      <c r="AA424" s="20">
        <v>2026</v>
      </c>
    </row>
    <row r="425" spans="1:27" hidden="1">
      <c r="A425" s="14">
        <v>1033</v>
      </c>
      <c r="B425" s="15" t="s">
        <v>72</v>
      </c>
      <c r="C425" s="16">
        <v>118</v>
      </c>
      <c r="D425" s="16" t="s">
        <v>188</v>
      </c>
      <c r="E425" s="17" t="s">
        <v>9</v>
      </c>
      <c r="F425" s="24">
        <v>0</v>
      </c>
      <c r="G425" s="24">
        <v>44</v>
      </c>
      <c r="H425" s="19">
        <v>0</v>
      </c>
      <c r="I425" s="19">
        <v>0</v>
      </c>
      <c r="T425" s="19">
        <f>Registro[[#This Row],[Mes 1]]+Registro[[#This Row],[Mes 2]]+Registro[[#This Row],[Mes 3]]</f>
        <v>0</v>
      </c>
      <c r="U425" s="19">
        <f>Registro[[#This Row],[Mes 4]]+Registro[[#This Row],[Mes 5]]+Registro[[#This Row],[Mes 6]]</f>
        <v>0</v>
      </c>
      <c r="V425" s="19">
        <f>Registro[[#This Row],[Mes 7]]+Registro[[#This Row],[Mes 8]]+Registro[[#This Row],[Mes 9]]</f>
        <v>0</v>
      </c>
      <c r="W425" s="20">
        <f>Registro[[#This Row],[Mes 10]]+Registro[[#This Row],[Mes 11]]+Registro[[#This Row],[Mes 12]]</f>
        <v>0</v>
      </c>
      <c r="X425" s="20">
        <f>SUM(Registro[[#This Row],[Trim I]],Registro[[#This Row],[Trim II]],Registro[[#This Row],[Trim III]],Registro[[#This Row],[Trim IV]])</f>
        <v>0</v>
      </c>
      <c r="Y425" s="22">
        <f>IFERROR((Registro[[#This Row],[Avance Total]]/Registro[[#This Row],[Meta]]),0)</f>
        <v>0</v>
      </c>
      <c r="Z425" s="22">
        <f>IFERROR((Registro[[#This Row],[Avance Total]]-Registro[[#This Row],[Línea Base 2025]])/Registro[[#This Row],[Línea Base 2025]],0)</f>
        <v>0</v>
      </c>
      <c r="AA425" s="20">
        <v>2026</v>
      </c>
    </row>
    <row r="426" spans="1:27" hidden="1">
      <c r="A426" s="14">
        <v>1033</v>
      </c>
      <c r="B426" s="15" t="s">
        <v>72</v>
      </c>
      <c r="C426" s="16">
        <v>119</v>
      </c>
      <c r="D426" s="16" t="s">
        <v>190</v>
      </c>
      <c r="E426" s="17" t="s">
        <v>189</v>
      </c>
      <c r="F426" s="24">
        <v>0</v>
      </c>
      <c r="G426" s="24">
        <v>4.7840000000000007</v>
      </c>
      <c r="H426" s="19">
        <v>0</v>
      </c>
      <c r="I426" s="19">
        <v>0</v>
      </c>
      <c r="T426" s="19">
        <f>Registro[[#This Row],[Mes 1]]+Registro[[#This Row],[Mes 2]]+Registro[[#This Row],[Mes 3]]</f>
        <v>0</v>
      </c>
      <c r="U426" s="19">
        <f>Registro[[#This Row],[Mes 4]]+Registro[[#This Row],[Mes 5]]+Registro[[#This Row],[Mes 6]]</f>
        <v>0</v>
      </c>
      <c r="V426" s="19">
        <f>Registro[[#This Row],[Mes 7]]+Registro[[#This Row],[Mes 8]]+Registro[[#This Row],[Mes 9]]</f>
        <v>0</v>
      </c>
      <c r="W426" s="20">
        <f>Registro[[#This Row],[Mes 10]]+Registro[[#This Row],[Mes 11]]+Registro[[#This Row],[Mes 12]]</f>
        <v>0</v>
      </c>
      <c r="X426" s="20">
        <f>SUM(Registro[[#This Row],[Trim I]],Registro[[#This Row],[Trim II]],Registro[[#This Row],[Trim III]],Registro[[#This Row],[Trim IV]])</f>
        <v>0</v>
      </c>
      <c r="Y426" s="22">
        <f>IFERROR((Registro[[#This Row],[Avance Total]]/Registro[[#This Row],[Meta]]),0)</f>
        <v>0</v>
      </c>
      <c r="Z426" s="22">
        <f>IFERROR((Registro[[#This Row],[Avance Total]]-Registro[[#This Row],[Línea Base 2025]])/Registro[[#This Row],[Línea Base 2025]],0)</f>
        <v>0</v>
      </c>
      <c r="AA426" s="20">
        <v>2026</v>
      </c>
    </row>
    <row r="427" spans="1:27" hidden="1">
      <c r="A427" s="14">
        <v>1033</v>
      </c>
      <c r="B427" s="15" t="s">
        <v>72</v>
      </c>
      <c r="C427" s="16">
        <v>120</v>
      </c>
      <c r="D427" s="16" t="s">
        <v>192</v>
      </c>
      <c r="E427" s="17" t="s">
        <v>191</v>
      </c>
      <c r="F427" s="24">
        <v>26</v>
      </c>
      <c r="G427" s="24">
        <v>48</v>
      </c>
      <c r="H427" s="19">
        <v>0</v>
      </c>
      <c r="I427" s="19">
        <v>0</v>
      </c>
      <c r="T427" s="19">
        <f>Registro[[#This Row],[Mes 1]]+Registro[[#This Row],[Mes 2]]+Registro[[#This Row],[Mes 3]]</f>
        <v>0</v>
      </c>
      <c r="U427" s="19">
        <f>Registro[[#This Row],[Mes 4]]+Registro[[#This Row],[Mes 5]]+Registro[[#This Row],[Mes 6]]</f>
        <v>0</v>
      </c>
      <c r="V427" s="19">
        <f>Registro[[#This Row],[Mes 7]]+Registro[[#This Row],[Mes 8]]+Registro[[#This Row],[Mes 9]]</f>
        <v>0</v>
      </c>
      <c r="W427" s="20">
        <f>Registro[[#This Row],[Mes 10]]+Registro[[#This Row],[Mes 11]]+Registro[[#This Row],[Mes 12]]</f>
        <v>0</v>
      </c>
      <c r="X427" s="20">
        <f>SUM(Registro[[#This Row],[Trim I]],Registro[[#This Row],[Trim II]],Registro[[#This Row],[Trim III]],Registro[[#This Row],[Trim IV]])</f>
        <v>0</v>
      </c>
      <c r="Y427" s="22">
        <f>IFERROR((Registro[[#This Row],[Avance Total]]/Registro[[#This Row],[Meta]]),0)</f>
        <v>0</v>
      </c>
      <c r="Z427" s="22">
        <f>IFERROR((Registro[[#This Row],[Avance Total]]-Registro[[#This Row],[Línea Base 2025]])/Registro[[#This Row],[Línea Base 2025]],0)</f>
        <v>-1</v>
      </c>
      <c r="AA427" s="20">
        <v>2026</v>
      </c>
    </row>
    <row r="428" spans="1:27" hidden="1">
      <c r="A428" s="14">
        <v>1033</v>
      </c>
      <c r="B428" s="15" t="s">
        <v>72</v>
      </c>
      <c r="C428" s="16">
        <v>121</v>
      </c>
      <c r="D428" s="16" t="s">
        <v>194</v>
      </c>
      <c r="E428" s="17" t="s">
        <v>193</v>
      </c>
      <c r="F428" s="24">
        <v>1</v>
      </c>
      <c r="G428" s="24">
        <v>7</v>
      </c>
      <c r="H428" s="19">
        <v>0</v>
      </c>
      <c r="I428" s="19">
        <v>0</v>
      </c>
      <c r="T428" s="19">
        <f>Registro[[#This Row],[Mes 1]]+Registro[[#This Row],[Mes 2]]+Registro[[#This Row],[Mes 3]]</f>
        <v>0</v>
      </c>
      <c r="U428" s="19">
        <f>Registro[[#This Row],[Mes 4]]+Registro[[#This Row],[Mes 5]]+Registro[[#This Row],[Mes 6]]</f>
        <v>0</v>
      </c>
      <c r="V428" s="19">
        <f>Registro[[#This Row],[Mes 7]]+Registro[[#This Row],[Mes 8]]+Registro[[#This Row],[Mes 9]]</f>
        <v>0</v>
      </c>
      <c r="W428" s="20">
        <f>Registro[[#This Row],[Mes 10]]+Registro[[#This Row],[Mes 11]]+Registro[[#This Row],[Mes 12]]</f>
        <v>0</v>
      </c>
      <c r="X428" s="20">
        <f>SUM(Registro[[#This Row],[Trim I]],Registro[[#This Row],[Trim II]],Registro[[#This Row],[Trim III]],Registro[[#This Row],[Trim IV]])</f>
        <v>0</v>
      </c>
      <c r="Y428" s="22">
        <f>IFERROR((Registro[[#This Row],[Avance Total]]/Registro[[#This Row],[Meta]]),0)</f>
        <v>0</v>
      </c>
      <c r="Z428" s="22">
        <f>IFERROR((Registro[[#This Row],[Avance Total]]-Registro[[#This Row],[Línea Base 2025]])/Registro[[#This Row],[Línea Base 2025]],0)</f>
        <v>-1</v>
      </c>
      <c r="AA428" s="20">
        <v>2026</v>
      </c>
    </row>
    <row r="429" spans="1:27" hidden="1">
      <c r="A429" s="14">
        <v>1033</v>
      </c>
      <c r="B429" s="15" t="s">
        <v>72</v>
      </c>
      <c r="C429" s="16">
        <v>122</v>
      </c>
      <c r="D429" s="16" t="s">
        <v>196</v>
      </c>
      <c r="E429" s="17" t="s">
        <v>195</v>
      </c>
      <c r="F429" s="24">
        <v>1</v>
      </c>
      <c r="G429" s="24">
        <v>19</v>
      </c>
      <c r="H429" s="19">
        <v>0</v>
      </c>
      <c r="I429" s="19">
        <v>0</v>
      </c>
      <c r="T429" s="19">
        <f>Registro[[#This Row],[Mes 1]]+Registro[[#This Row],[Mes 2]]+Registro[[#This Row],[Mes 3]]</f>
        <v>0</v>
      </c>
      <c r="U429" s="19">
        <f>Registro[[#This Row],[Mes 4]]+Registro[[#This Row],[Mes 5]]+Registro[[#This Row],[Mes 6]]</f>
        <v>0</v>
      </c>
      <c r="V429" s="19">
        <f>Registro[[#This Row],[Mes 7]]+Registro[[#This Row],[Mes 8]]+Registro[[#This Row],[Mes 9]]</f>
        <v>0</v>
      </c>
      <c r="W429" s="20">
        <f>Registro[[#This Row],[Mes 10]]+Registro[[#This Row],[Mes 11]]+Registro[[#This Row],[Mes 12]]</f>
        <v>0</v>
      </c>
      <c r="X429" s="20">
        <f>SUM(Registro[[#This Row],[Trim I]],Registro[[#This Row],[Trim II]],Registro[[#This Row],[Trim III]],Registro[[#This Row],[Trim IV]])</f>
        <v>0</v>
      </c>
      <c r="Y429" s="22">
        <f>IFERROR((Registro[[#This Row],[Avance Total]]/Registro[[#This Row],[Meta]]),0)</f>
        <v>0</v>
      </c>
      <c r="Z429" s="22">
        <f>IFERROR((Registro[[#This Row],[Avance Total]]-Registro[[#This Row],[Línea Base 2025]])/Registro[[#This Row],[Línea Base 2025]],0)</f>
        <v>-1</v>
      </c>
      <c r="AA429" s="20">
        <v>2026</v>
      </c>
    </row>
    <row r="430" spans="1:27" hidden="1">
      <c r="A430" s="14">
        <v>1033</v>
      </c>
      <c r="B430" s="15" t="s">
        <v>72</v>
      </c>
      <c r="C430" s="16">
        <v>123</v>
      </c>
      <c r="D430" s="16" t="s">
        <v>198</v>
      </c>
      <c r="E430" s="17" t="s">
        <v>197</v>
      </c>
      <c r="F430" s="24">
        <v>0</v>
      </c>
      <c r="G430" s="24">
        <v>12</v>
      </c>
      <c r="H430" s="19">
        <v>0</v>
      </c>
      <c r="I430" s="19">
        <v>0</v>
      </c>
      <c r="T430" s="19">
        <f>Registro[[#This Row],[Mes 1]]+Registro[[#This Row],[Mes 2]]+Registro[[#This Row],[Mes 3]]</f>
        <v>0</v>
      </c>
      <c r="U430" s="19">
        <f>Registro[[#This Row],[Mes 4]]+Registro[[#This Row],[Mes 5]]+Registro[[#This Row],[Mes 6]]</f>
        <v>0</v>
      </c>
      <c r="V430" s="19">
        <f>Registro[[#This Row],[Mes 7]]+Registro[[#This Row],[Mes 8]]+Registro[[#This Row],[Mes 9]]</f>
        <v>0</v>
      </c>
      <c r="W430" s="20">
        <f>Registro[[#This Row],[Mes 10]]+Registro[[#This Row],[Mes 11]]+Registro[[#This Row],[Mes 12]]</f>
        <v>0</v>
      </c>
      <c r="X430" s="20">
        <f>SUM(Registro[[#This Row],[Trim I]],Registro[[#This Row],[Trim II]],Registro[[#This Row],[Trim III]],Registro[[#This Row],[Trim IV]])</f>
        <v>0</v>
      </c>
      <c r="Y430" s="22">
        <f>IFERROR((Registro[[#This Row],[Avance Total]]/Registro[[#This Row],[Meta]]),0)</f>
        <v>0</v>
      </c>
      <c r="Z430" s="22">
        <f>IFERROR((Registro[[#This Row],[Avance Total]]-Registro[[#This Row],[Línea Base 2025]])/Registro[[#This Row],[Línea Base 2025]],0)</f>
        <v>0</v>
      </c>
      <c r="AA430" s="20">
        <v>2026</v>
      </c>
    </row>
    <row r="431" spans="1:27" hidden="1">
      <c r="A431" s="14">
        <v>1034</v>
      </c>
      <c r="B431" s="15" t="s">
        <v>13</v>
      </c>
      <c r="C431" s="16">
        <v>111</v>
      </c>
      <c r="D431" s="16" t="s">
        <v>171</v>
      </c>
      <c r="E431" s="17" t="s">
        <v>172</v>
      </c>
      <c r="F431" s="24">
        <v>1</v>
      </c>
      <c r="G431" s="24">
        <v>63</v>
      </c>
      <c r="H431" s="19">
        <v>7</v>
      </c>
      <c r="I431" s="19">
        <v>27</v>
      </c>
      <c r="T431" s="19">
        <f>Registro[[#This Row],[Mes 1]]+Registro[[#This Row],[Mes 2]]+Registro[[#This Row],[Mes 3]]</f>
        <v>34</v>
      </c>
      <c r="U431" s="19">
        <f>Registro[[#This Row],[Mes 4]]+Registro[[#This Row],[Mes 5]]+Registro[[#This Row],[Mes 6]]</f>
        <v>0</v>
      </c>
      <c r="V431" s="19">
        <f>Registro[[#This Row],[Mes 7]]+Registro[[#This Row],[Mes 8]]+Registro[[#This Row],[Mes 9]]</f>
        <v>0</v>
      </c>
      <c r="W431" s="20">
        <f>Registro[[#This Row],[Mes 10]]+Registro[[#This Row],[Mes 11]]+Registro[[#This Row],[Mes 12]]</f>
        <v>0</v>
      </c>
      <c r="X431" s="20">
        <f>SUM(Registro[[#This Row],[Trim I]],Registro[[#This Row],[Trim II]],Registro[[#This Row],[Trim III]],Registro[[#This Row],[Trim IV]])</f>
        <v>34</v>
      </c>
      <c r="Y431" s="22">
        <f>IFERROR((Registro[[#This Row],[Avance Total]]/Registro[[#This Row],[Meta]]),0)</f>
        <v>0.53968253968253965</v>
      </c>
      <c r="Z431" s="22">
        <f>IFERROR((Registro[[#This Row],[Avance Total]]-Registro[[#This Row],[Línea Base 2025]])/Registro[[#This Row],[Línea Base 2025]],0)</f>
        <v>33</v>
      </c>
      <c r="AA431" s="20">
        <v>2026</v>
      </c>
    </row>
    <row r="432" spans="1:27" hidden="1">
      <c r="A432" s="14">
        <v>1034</v>
      </c>
      <c r="B432" s="15" t="s">
        <v>13</v>
      </c>
      <c r="C432" s="16">
        <v>112</v>
      </c>
      <c r="D432" s="16" t="s">
        <v>173</v>
      </c>
      <c r="E432" s="17" t="s">
        <v>7</v>
      </c>
      <c r="F432" s="24">
        <v>0</v>
      </c>
      <c r="G432" s="24">
        <v>1</v>
      </c>
      <c r="H432" s="19">
        <v>0</v>
      </c>
      <c r="I432" s="19">
        <v>0</v>
      </c>
      <c r="T432" s="19">
        <f>Registro[[#This Row],[Mes 1]]+Registro[[#This Row],[Mes 2]]+Registro[[#This Row],[Mes 3]]</f>
        <v>0</v>
      </c>
      <c r="U432" s="19">
        <f>Registro[[#This Row],[Mes 4]]+Registro[[#This Row],[Mes 5]]+Registro[[#This Row],[Mes 6]]</f>
        <v>0</v>
      </c>
      <c r="V432" s="19">
        <f>Registro[[#This Row],[Mes 7]]+Registro[[#This Row],[Mes 8]]+Registro[[#This Row],[Mes 9]]</f>
        <v>0</v>
      </c>
      <c r="W432" s="20">
        <f>Registro[[#This Row],[Mes 10]]+Registro[[#This Row],[Mes 11]]+Registro[[#This Row],[Mes 12]]</f>
        <v>0</v>
      </c>
      <c r="X432" s="20">
        <f>SUM(Registro[[#This Row],[Trim I]],Registro[[#This Row],[Trim II]],Registro[[#This Row],[Trim III]],Registro[[#This Row],[Trim IV]])</f>
        <v>0</v>
      </c>
      <c r="Y432" s="22">
        <f>IFERROR((Registro[[#This Row],[Avance Total]]/Registro[[#This Row],[Meta]]),0)</f>
        <v>0</v>
      </c>
      <c r="Z432" s="22">
        <f>IFERROR((Registro[[#This Row],[Avance Total]]-Registro[[#This Row],[Línea Base 2025]])/Registro[[#This Row],[Línea Base 2025]],0)</f>
        <v>0</v>
      </c>
      <c r="AA432" s="20">
        <v>2026</v>
      </c>
    </row>
    <row r="433" spans="1:27" hidden="1">
      <c r="A433" s="14">
        <v>1034</v>
      </c>
      <c r="B433" s="15" t="s">
        <v>13</v>
      </c>
      <c r="C433" s="16">
        <v>113</v>
      </c>
      <c r="D433" s="16" t="s">
        <v>179</v>
      </c>
      <c r="E433" s="17" t="s">
        <v>178</v>
      </c>
      <c r="F433" s="24">
        <v>3</v>
      </c>
      <c r="G433" s="24">
        <v>49</v>
      </c>
      <c r="H433" s="19">
        <v>1</v>
      </c>
      <c r="I433" s="19">
        <v>0</v>
      </c>
      <c r="T433" s="19">
        <f>Registro[[#This Row],[Mes 1]]+Registro[[#This Row],[Mes 2]]+Registro[[#This Row],[Mes 3]]</f>
        <v>1</v>
      </c>
      <c r="U433" s="19">
        <f>Registro[[#This Row],[Mes 4]]+Registro[[#This Row],[Mes 5]]+Registro[[#This Row],[Mes 6]]</f>
        <v>0</v>
      </c>
      <c r="V433" s="19">
        <f>Registro[[#This Row],[Mes 7]]+Registro[[#This Row],[Mes 8]]+Registro[[#This Row],[Mes 9]]</f>
        <v>0</v>
      </c>
      <c r="W433" s="20">
        <f>Registro[[#This Row],[Mes 10]]+Registro[[#This Row],[Mes 11]]+Registro[[#This Row],[Mes 12]]</f>
        <v>0</v>
      </c>
      <c r="X433" s="20">
        <f>SUM(Registro[[#This Row],[Trim I]],Registro[[#This Row],[Trim II]],Registro[[#This Row],[Trim III]],Registro[[#This Row],[Trim IV]])</f>
        <v>1</v>
      </c>
      <c r="Y433" s="22">
        <f>IFERROR((Registro[[#This Row],[Avance Total]]/Registro[[#This Row],[Meta]]),0)</f>
        <v>2.0408163265306121E-2</v>
      </c>
      <c r="Z433" s="22">
        <f>IFERROR((Registro[[#This Row],[Avance Total]]-Registro[[#This Row],[Línea Base 2025]])/Registro[[#This Row],[Línea Base 2025]],0)</f>
        <v>-0.66666666666666663</v>
      </c>
      <c r="AA433" s="20">
        <v>2026</v>
      </c>
    </row>
    <row r="434" spans="1:27" hidden="1">
      <c r="A434" s="14">
        <v>1034</v>
      </c>
      <c r="B434" s="15" t="s">
        <v>13</v>
      </c>
      <c r="C434" s="16">
        <v>114</v>
      </c>
      <c r="D434" s="16" t="s">
        <v>181</v>
      </c>
      <c r="E434" s="17" t="s">
        <v>180</v>
      </c>
      <c r="F434" s="24">
        <v>0</v>
      </c>
      <c r="G434" s="24">
        <v>0</v>
      </c>
      <c r="H434" s="19">
        <v>1</v>
      </c>
      <c r="I434" s="19">
        <v>0</v>
      </c>
      <c r="T434" s="19">
        <f>Registro[[#This Row],[Mes 1]]+Registro[[#This Row],[Mes 2]]+Registro[[#This Row],[Mes 3]]</f>
        <v>1</v>
      </c>
      <c r="U434" s="19">
        <f>Registro[[#This Row],[Mes 4]]+Registro[[#This Row],[Mes 5]]+Registro[[#This Row],[Mes 6]]</f>
        <v>0</v>
      </c>
      <c r="V434" s="19">
        <f>Registro[[#This Row],[Mes 7]]+Registro[[#This Row],[Mes 8]]+Registro[[#This Row],[Mes 9]]</f>
        <v>0</v>
      </c>
      <c r="W434" s="20">
        <f>Registro[[#This Row],[Mes 10]]+Registro[[#This Row],[Mes 11]]+Registro[[#This Row],[Mes 12]]</f>
        <v>0</v>
      </c>
      <c r="X434" s="20">
        <f>SUM(Registro[[#This Row],[Trim I]],Registro[[#This Row],[Trim II]],Registro[[#This Row],[Trim III]],Registro[[#This Row],[Trim IV]])</f>
        <v>1</v>
      </c>
      <c r="Y434" s="22">
        <f>IFERROR((Registro[[#This Row],[Avance Total]]/Registro[[#This Row],[Meta]]),0)</f>
        <v>0</v>
      </c>
      <c r="Z434" s="22">
        <f>IFERROR((Registro[[#This Row],[Avance Total]]-Registro[[#This Row],[Línea Base 2025]])/Registro[[#This Row],[Línea Base 2025]],0)</f>
        <v>0</v>
      </c>
      <c r="AA434" s="20">
        <v>2026</v>
      </c>
    </row>
    <row r="435" spans="1:27" hidden="1">
      <c r="A435" s="14">
        <v>1034</v>
      </c>
      <c r="B435" s="15" t="s">
        <v>13</v>
      </c>
      <c r="C435" s="16">
        <v>115</v>
      </c>
      <c r="D435" s="16" t="s">
        <v>183</v>
      </c>
      <c r="E435" s="17" t="s">
        <v>182</v>
      </c>
      <c r="F435" s="24">
        <v>0</v>
      </c>
      <c r="G435" s="24">
        <v>0</v>
      </c>
      <c r="H435" s="19">
        <v>0</v>
      </c>
      <c r="I435" s="19">
        <v>0</v>
      </c>
      <c r="T435" s="19">
        <f>Registro[[#This Row],[Mes 1]]+Registro[[#This Row],[Mes 2]]+Registro[[#This Row],[Mes 3]]</f>
        <v>0</v>
      </c>
      <c r="U435" s="19">
        <f>Registro[[#This Row],[Mes 4]]+Registro[[#This Row],[Mes 5]]+Registro[[#This Row],[Mes 6]]</f>
        <v>0</v>
      </c>
      <c r="V435" s="19">
        <f>Registro[[#This Row],[Mes 7]]+Registro[[#This Row],[Mes 8]]+Registro[[#This Row],[Mes 9]]</f>
        <v>0</v>
      </c>
      <c r="W435" s="20">
        <f>Registro[[#This Row],[Mes 10]]+Registro[[#This Row],[Mes 11]]+Registro[[#This Row],[Mes 12]]</f>
        <v>0</v>
      </c>
      <c r="X435" s="20">
        <f>SUM(Registro[[#This Row],[Trim I]],Registro[[#This Row],[Trim II]],Registro[[#This Row],[Trim III]],Registro[[#This Row],[Trim IV]])</f>
        <v>0</v>
      </c>
      <c r="Y435" s="22">
        <f>IFERROR((Registro[[#This Row],[Avance Total]]/Registro[[#This Row],[Meta]]),0)</f>
        <v>0</v>
      </c>
      <c r="Z435" s="22">
        <f>IFERROR((Registro[[#This Row],[Avance Total]]-Registro[[#This Row],[Línea Base 2025]])/Registro[[#This Row],[Línea Base 2025]],0)</f>
        <v>0</v>
      </c>
      <c r="AA435" s="20">
        <v>2026</v>
      </c>
    </row>
    <row r="436" spans="1:27">
      <c r="A436" s="14">
        <v>1034</v>
      </c>
      <c r="B436" s="15" t="s">
        <v>13</v>
      </c>
      <c r="C436" s="16">
        <v>116</v>
      </c>
      <c r="D436" s="16" t="s">
        <v>185</v>
      </c>
      <c r="E436" s="17" t="s">
        <v>184</v>
      </c>
      <c r="F436" s="24">
        <v>1</v>
      </c>
      <c r="G436" s="24">
        <v>0.46</v>
      </c>
      <c r="H436" s="19">
        <v>0</v>
      </c>
      <c r="I436" s="19">
        <v>0</v>
      </c>
      <c r="T436" s="19">
        <f>Registro[[#This Row],[Mes 1]]+Registro[[#This Row],[Mes 2]]+Registro[[#This Row],[Mes 3]]</f>
        <v>0</v>
      </c>
      <c r="U436" s="19">
        <f>Registro[[#This Row],[Mes 4]]+Registro[[#This Row],[Mes 5]]+Registro[[#This Row],[Mes 6]]</f>
        <v>0</v>
      </c>
      <c r="V436" s="19">
        <f>Registro[[#This Row],[Mes 7]]+Registro[[#This Row],[Mes 8]]+Registro[[#This Row],[Mes 9]]</f>
        <v>0</v>
      </c>
      <c r="W436" s="20">
        <f>Registro[[#This Row],[Mes 10]]+Registro[[#This Row],[Mes 11]]+Registro[[#This Row],[Mes 12]]</f>
        <v>0</v>
      </c>
      <c r="X436" s="20">
        <f>SUM(Registro[[#This Row],[Trim I]],Registro[[#This Row],[Trim II]],Registro[[#This Row],[Trim III]],Registro[[#This Row],[Trim IV]])</f>
        <v>0</v>
      </c>
      <c r="Y436" s="22">
        <f>IFERROR((Registro[[#This Row],[Avance Total]]/Registro[[#This Row],[Meta]]),0)</f>
        <v>0</v>
      </c>
      <c r="Z436" s="22">
        <f>IFERROR((Registro[[#This Row],[Avance Total]]-Registro[[#This Row],[Línea Base 2025]])/Registro[[#This Row],[Línea Base 2025]],0)</f>
        <v>-1</v>
      </c>
      <c r="AA436" s="20">
        <v>2026</v>
      </c>
    </row>
    <row r="437" spans="1:27" hidden="1">
      <c r="A437" s="14">
        <v>1034</v>
      </c>
      <c r="B437" s="15" t="s">
        <v>13</v>
      </c>
      <c r="C437" s="16">
        <v>117</v>
      </c>
      <c r="D437" s="16" t="s">
        <v>187</v>
      </c>
      <c r="E437" s="17" t="s">
        <v>186</v>
      </c>
      <c r="F437" s="24">
        <v>0</v>
      </c>
      <c r="G437" s="24">
        <v>0</v>
      </c>
      <c r="H437" s="19">
        <v>0</v>
      </c>
      <c r="I437" s="19">
        <v>0</v>
      </c>
      <c r="T437" s="19">
        <f>Registro[[#This Row],[Mes 1]]+Registro[[#This Row],[Mes 2]]+Registro[[#This Row],[Mes 3]]</f>
        <v>0</v>
      </c>
      <c r="U437" s="19">
        <f>Registro[[#This Row],[Mes 4]]+Registro[[#This Row],[Mes 5]]+Registro[[#This Row],[Mes 6]]</f>
        <v>0</v>
      </c>
      <c r="V437" s="19">
        <f>Registro[[#This Row],[Mes 7]]+Registro[[#This Row],[Mes 8]]+Registro[[#This Row],[Mes 9]]</f>
        <v>0</v>
      </c>
      <c r="W437" s="20">
        <f>Registro[[#This Row],[Mes 10]]+Registro[[#This Row],[Mes 11]]+Registro[[#This Row],[Mes 12]]</f>
        <v>0</v>
      </c>
      <c r="X437" s="20">
        <f>SUM(Registro[[#This Row],[Trim I]],Registro[[#This Row],[Trim II]],Registro[[#This Row],[Trim III]],Registro[[#This Row],[Trim IV]])</f>
        <v>0</v>
      </c>
      <c r="Y437" s="22">
        <f>IFERROR((Registro[[#This Row],[Avance Total]]/Registro[[#This Row],[Meta]]),0)</f>
        <v>0</v>
      </c>
      <c r="Z437" s="22">
        <f>IFERROR((Registro[[#This Row],[Avance Total]]-Registro[[#This Row],[Línea Base 2025]])/Registro[[#This Row],[Línea Base 2025]],0)</f>
        <v>0</v>
      </c>
      <c r="AA437" s="20">
        <v>2026</v>
      </c>
    </row>
    <row r="438" spans="1:27" hidden="1">
      <c r="A438" s="14">
        <v>1034</v>
      </c>
      <c r="B438" s="15" t="s">
        <v>13</v>
      </c>
      <c r="C438" s="16">
        <v>118</v>
      </c>
      <c r="D438" s="16" t="s">
        <v>188</v>
      </c>
      <c r="E438" s="17" t="s">
        <v>9</v>
      </c>
      <c r="F438" s="24">
        <v>0</v>
      </c>
      <c r="G438" s="24">
        <v>0</v>
      </c>
      <c r="H438" s="19">
        <v>0</v>
      </c>
      <c r="I438" s="19">
        <v>0</v>
      </c>
      <c r="T438" s="19">
        <f>Registro[[#This Row],[Mes 1]]+Registro[[#This Row],[Mes 2]]+Registro[[#This Row],[Mes 3]]</f>
        <v>0</v>
      </c>
      <c r="U438" s="19">
        <f>Registro[[#This Row],[Mes 4]]+Registro[[#This Row],[Mes 5]]+Registro[[#This Row],[Mes 6]]</f>
        <v>0</v>
      </c>
      <c r="V438" s="19">
        <f>Registro[[#This Row],[Mes 7]]+Registro[[#This Row],[Mes 8]]+Registro[[#This Row],[Mes 9]]</f>
        <v>0</v>
      </c>
      <c r="W438" s="20">
        <f>Registro[[#This Row],[Mes 10]]+Registro[[#This Row],[Mes 11]]+Registro[[#This Row],[Mes 12]]</f>
        <v>0</v>
      </c>
      <c r="X438" s="20">
        <f>SUM(Registro[[#This Row],[Trim I]],Registro[[#This Row],[Trim II]],Registro[[#This Row],[Trim III]],Registro[[#This Row],[Trim IV]])</f>
        <v>0</v>
      </c>
      <c r="Y438" s="22">
        <f>IFERROR((Registro[[#This Row],[Avance Total]]/Registro[[#This Row],[Meta]]),0)</f>
        <v>0</v>
      </c>
      <c r="Z438" s="22">
        <f>IFERROR((Registro[[#This Row],[Avance Total]]-Registro[[#This Row],[Línea Base 2025]])/Registro[[#This Row],[Línea Base 2025]],0)</f>
        <v>0</v>
      </c>
      <c r="AA438" s="20">
        <v>2026</v>
      </c>
    </row>
    <row r="439" spans="1:27" hidden="1">
      <c r="A439" s="14">
        <v>1034</v>
      </c>
      <c r="B439" s="15" t="s">
        <v>13</v>
      </c>
      <c r="C439" s="16">
        <v>119</v>
      </c>
      <c r="D439" s="16" t="s">
        <v>190</v>
      </c>
      <c r="E439" s="17" t="s">
        <v>189</v>
      </c>
      <c r="F439" s="24">
        <v>0</v>
      </c>
      <c r="G439" s="24">
        <v>0.36800000000000005</v>
      </c>
      <c r="H439" s="19">
        <v>0</v>
      </c>
      <c r="I439" s="19">
        <v>0</v>
      </c>
      <c r="T439" s="19">
        <f>Registro[[#This Row],[Mes 1]]+Registro[[#This Row],[Mes 2]]+Registro[[#This Row],[Mes 3]]</f>
        <v>0</v>
      </c>
      <c r="U439" s="19">
        <f>Registro[[#This Row],[Mes 4]]+Registro[[#This Row],[Mes 5]]+Registro[[#This Row],[Mes 6]]</f>
        <v>0</v>
      </c>
      <c r="V439" s="19">
        <f>Registro[[#This Row],[Mes 7]]+Registro[[#This Row],[Mes 8]]+Registro[[#This Row],[Mes 9]]</f>
        <v>0</v>
      </c>
      <c r="W439" s="20">
        <f>Registro[[#This Row],[Mes 10]]+Registro[[#This Row],[Mes 11]]+Registro[[#This Row],[Mes 12]]</f>
        <v>0</v>
      </c>
      <c r="X439" s="20">
        <f>SUM(Registro[[#This Row],[Trim I]],Registro[[#This Row],[Trim II]],Registro[[#This Row],[Trim III]],Registro[[#This Row],[Trim IV]])</f>
        <v>0</v>
      </c>
      <c r="Y439" s="22">
        <f>IFERROR((Registro[[#This Row],[Avance Total]]/Registro[[#This Row],[Meta]]),0)</f>
        <v>0</v>
      </c>
      <c r="Z439" s="22">
        <f>IFERROR((Registro[[#This Row],[Avance Total]]-Registro[[#This Row],[Línea Base 2025]])/Registro[[#This Row],[Línea Base 2025]],0)</f>
        <v>0</v>
      </c>
      <c r="AA439" s="20">
        <v>2026</v>
      </c>
    </row>
    <row r="440" spans="1:27" hidden="1">
      <c r="A440" s="14">
        <v>1034</v>
      </c>
      <c r="B440" s="15" t="s">
        <v>13</v>
      </c>
      <c r="C440" s="16">
        <v>120</v>
      </c>
      <c r="D440" s="16" t="s">
        <v>192</v>
      </c>
      <c r="E440" s="17" t="s">
        <v>191</v>
      </c>
      <c r="F440" s="24">
        <v>0</v>
      </c>
      <c r="G440" s="24">
        <v>0</v>
      </c>
      <c r="H440" s="19">
        <v>0</v>
      </c>
      <c r="I440" s="19">
        <v>0</v>
      </c>
      <c r="T440" s="19">
        <f>Registro[[#This Row],[Mes 1]]+Registro[[#This Row],[Mes 2]]+Registro[[#This Row],[Mes 3]]</f>
        <v>0</v>
      </c>
      <c r="U440" s="19">
        <f>Registro[[#This Row],[Mes 4]]+Registro[[#This Row],[Mes 5]]+Registro[[#This Row],[Mes 6]]</f>
        <v>0</v>
      </c>
      <c r="V440" s="19">
        <f>Registro[[#This Row],[Mes 7]]+Registro[[#This Row],[Mes 8]]+Registro[[#This Row],[Mes 9]]</f>
        <v>0</v>
      </c>
      <c r="W440" s="20">
        <f>Registro[[#This Row],[Mes 10]]+Registro[[#This Row],[Mes 11]]+Registro[[#This Row],[Mes 12]]</f>
        <v>0</v>
      </c>
      <c r="X440" s="20">
        <f>SUM(Registro[[#This Row],[Trim I]],Registro[[#This Row],[Trim II]],Registro[[#This Row],[Trim III]],Registro[[#This Row],[Trim IV]])</f>
        <v>0</v>
      </c>
      <c r="Y440" s="22">
        <f>IFERROR((Registro[[#This Row],[Avance Total]]/Registro[[#This Row],[Meta]]),0)</f>
        <v>0</v>
      </c>
      <c r="Z440" s="22">
        <f>IFERROR((Registro[[#This Row],[Avance Total]]-Registro[[#This Row],[Línea Base 2025]])/Registro[[#This Row],[Línea Base 2025]],0)</f>
        <v>0</v>
      </c>
      <c r="AA440" s="20">
        <v>2026</v>
      </c>
    </row>
    <row r="441" spans="1:27" hidden="1">
      <c r="A441" s="14">
        <v>1034</v>
      </c>
      <c r="B441" s="15" t="s">
        <v>13</v>
      </c>
      <c r="C441" s="16">
        <v>121</v>
      </c>
      <c r="D441" s="16" t="s">
        <v>194</v>
      </c>
      <c r="E441" s="17" t="s">
        <v>193</v>
      </c>
      <c r="F441" s="24">
        <v>0</v>
      </c>
      <c r="G441" s="24">
        <v>0</v>
      </c>
      <c r="H441" s="19">
        <v>0</v>
      </c>
      <c r="I441" s="19">
        <v>0</v>
      </c>
      <c r="T441" s="19">
        <f>Registro[[#This Row],[Mes 1]]+Registro[[#This Row],[Mes 2]]+Registro[[#This Row],[Mes 3]]</f>
        <v>0</v>
      </c>
      <c r="U441" s="19">
        <f>Registro[[#This Row],[Mes 4]]+Registro[[#This Row],[Mes 5]]+Registro[[#This Row],[Mes 6]]</f>
        <v>0</v>
      </c>
      <c r="V441" s="19">
        <f>Registro[[#This Row],[Mes 7]]+Registro[[#This Row],[Mes 8]]+Registro[[#This Row],[Mes 9]]</f>
        <v>0</v>
      </c>
      <c r="W441" s="20">
        <f>Registro[[#This Row],[Mes 10]]+Registro[[#This Row],[Mes 11]]+Registro[[#This Row],[Mes 12]]</f>
        <v>0</v>
      </c>
      <c r="X441" s="20">
        <f>SUM(Registro[[#This Row],[Trim I]],Registro[[#This Row],[Trim II]],Registro[[#This Row],[Trim III]],Registro[[#This Row],[Trim IV]])</f>
        <v>0</v>
      </c>
      <c r="Y441" s="22">
        <f>IFERROR((Registro[[#This Row],[Avance Total]]/Registro[[#This Row],[Meta]]),0)</f>
        <v>0</v>
      </c>
      <c r="Z441" s="22">
        <f>IFERROR((Registro[[#This Row],[Avance Total]]-Registro[[#This Row],[Línea Base 2025]])/Registro[[#This Row],[Línea Base 2025]],0)</f>
        <v>0</v>
      </c>
      <c r="AA441" s="20">
        <v>2026</v>
      </c>
    </row>
    <row r="442" spans="1:27" hidden="1">
      <c r="A442" s="14">
        <v>1034</v>
      </c>
      <c r="B442" s="15" t="s">
        <v>13</v>
      </c>
      <c r="C442" s="16">
        <v>122</v>
      </c>
      <c r="D442" s="16" t="s">
        <v>196</v>
      </c>
      <c r="E442" s="17" t="s">
        <v>195</v>
      </c>
      <c r="F442" s="24">
        <v>0</v>
      </c>
      <c r="G442" s="24">
        <v>0</v>
      </c>
      <c r="H442" s="19">
        <v>0</v>
      </c>
      <c r="I442" s="19">
        <v>0</v>
      </c>
      <c r="T442" s="19">
        <f>Registro[[#This Row],[Mes 1]]+Registro[[#This Row],[Mes 2]]+Registro[[#This Row],[Mes 3]]</f>
        <v>0</v>
      </c>
      <c r="U442" s="19">
        <f>Registro[[#This Row],[Mes 4]]+Registro[[#This Row],[Mes 5]]+Registro[[#This Row],[Mes 6]]</f>
        <v>0</v>
      </c>
      <c r="V442" s="19">
        <f>Registro[[#This Row],[Mes 7]]+Registro[[#This Row],[Mes 8]]+Registro[[#This Row],[Mes 9]]</f>
        <v>0</v>
      </c>
      <c r="W442" s="20">
        <f>Registro[[#This Row],[Mes 10]]+Registro[[#This Row],[Mes 11]]+Registro[[#This Row],[Mes 12]]</f>
        <v>0</v>
      </c>
      <c r="X442" s="20">
        <f>SUM(Registro[[#This Row],[Trim I]],Registro[[#This Row],[Trim II]],Registro[[#This Row],[Trim III]],Registro[[#This Row],[Trim IV]])</f>
        <v>0</v>
      </c>
      <c r="Y442" s="22">
        <f>IFERROR((Registro[[#This Row],[Avance Total]]/Registro[[#This Row],[Meta]]),0)</f>
        <v>0</v>
      </c>
      <c r="Z442" s="22">
        <f>IFERROR((Registro[[#This Row],[Avance Total]]-Registro[[#This Row],[Línea Base 2025]])/Registro[[#This Row],[Línea Base 2025]],0)</f>
        <v>0</v>
      </c>
      <c r="AA442" s="20">
        <v>2026</v>
      </c>
    </row>
    <row r="443" spans="1:27" hidden="1">
      <c r="A443" s="14">
        <v>1034</v>
      </c>
      <c r="B443" s="15" t="s">
        <v>13</v>
      </c>
      <c r="C443" s="16">
        <v>123</v>
      </c>
      <c r="D443" s="16" t="s">
        <v>198</v>
      </c>
      <c r="E443" s="17" t="s">
        <v>197</v>
      </c>
      <c r="F443" s="24">
        <v>0</v>
      </c>
      <c r="G443" s="24">
        <v>0</v>
      </c>
      <c r="H443" s="19">
        <v>0</v>
      </c>
      <c r="I443" s="19">
        <v>0</v>
      </c>
      <c r="T443" s="19">
        <f>Registro[[#This Row],[Mes 1]]+Registro[[#This Row],[Mes 2]]+Registro[[#This Row],[Mes 3]]</f>
        <v>0</v>
      </c>
      <c r="U443" s="19">
        <f>Registro[[#This Row],[Mes 4]]+Registro[[#This Row],[Mes 5]]+Registro[[#This Row],[Mes 6]]</f>
        <v>0</v>
      </c>
      <c r="V443" s="19">
        <f>Registro[[#This Row],[Mes 7]]+Registro[[#This Row],[Mes 8]]+Registro[[#This Row],[Mes 9]]</f>
        <v>0</v>
      </c>
      <c r="W443" s="20">
        <f>Registro[[#This Row],[Mes 10]]+Registro[[#This Row],[Mes 11]]+Registro[[#This Row],[Mes 12]]</f>
        <v>0</v>
      </c>
      <c r="X443" s="20">
        <f>SUM(Registro[[#This Row],[Trim I]],Registro[[#This Row],[Trim II]],Registro[[#This Row],[Trim III]],Registro[[#This Row],[Trim IV]])</f>
        <v>0</v>
      </c>
      <c r="Y443" s="22">
        <f>IFERROR((Registro[[#This Row],[Avance Total]]/Registro[[#This Row],[Meta]]),0)</f>
        <v>0</v>
      </c>
      <c r="Z443" s="22">
        <f>IFERROR((Registro[[#This Row],[Avance Total]]-Registro[[#This Row],[Línea Base 2025]])/Registro[[#This Row],[Línea Base 2025]],0)</f>
        <v>0</v>
      </c>
      <c r="AA443" s="20">
        <v>2026</v>
      </c>
    </row>
    <row r="444" spans="1:27" hidden="1">
      <c r="A444" s="14">
        <v>1035</v>
      </c>
      <c r="B444" s="15" t="s">
        <v>73</v>
      </c>
      <c r="C444" s="16">
        <v>111</v>
      </c>
      <c r="D444" s="16" t="s">
        <v>171</v>
      </c>
      <c r="E444" s="17" t="s">
        <v>172</v>
      </c>
      <c r="F444" s="24">
        <v>6</v>
      </c>
      <c r="G444" s="24">
        <v>75</v>
      </c>
      <c r="H444" s="19">
        <v>0</v>
      </c>
      <c r="I444" s="19">
        <v>3</v>
      </c>
      <c r="T444" s="19">
        <f>Registro[[#This Row],[Mes 1]]+Registro[[#This Row],[Mes 2]]+Registro[[#This Row],[Mes 3]]</f>
        <v>3</v>
      </c>
      <c r="U444" s="19">
        <f>Registro[[#This Row],[Mes 4]]+Registro[[#This Row],[Mes 5]]+Registro[[#This Row],[Mes 6]]</f>
        <v>0</v>
      </c>
      <c r="V444" s="19">
        <f>Registro[[#This Row],[Mes 7]]+Registro[[#This Row],[Mes 8]]+Registro[[#This Row],[Mes 9]]</f>
        <v>0</v>
      </c>
      <c r="W444" s="20">
        <f>Registro[[#This Row],[Mes 10]]+Registro[[#This Row],[Mes 11]]+Registro[[#This Row],[Mes 12]]</f>
        <v>0</v>
      </c>
      <c r="X444" s="20">
        <f>SUM(Registro[[#This Row],[Trim I]],Registro[[#This Row],[Trim II]],Registro[[#This Row],[Trim III]],Registro[[#This Row],[Trim IV]])</f>
        <v>3</v>
      </c>
      <c r="Y444" s="22">
        <f>IFERROR((Registro[[#This Row],[Avance Total]]/Registro[[#This Row],[Meta]]),0)</f>
        <v>0.04</v>
      </c>
      <c r="Z444" s="22">
        <f>IFERROR((Registro[[#This Row],[Avance Total]]-Registro[[#This Row],[Línea Base 2025]])/Registro[[#This Row],[Línea Base 2025]],0)</f>
        <v>-0.5</v>
      </c>
      <c r="AA444" s="20">
        <v>2026</v>
      </c>
    </row>
    <row r="445" spans="1:27" hidden="1">
      <c r="A445" s="14">
        <v>1035</v>
      </c>
      <c r="B445" s="15" t="s">
        <v>73</v>
      </c>
      <c r="C445" s="16">
        <v>112</v>
      </c>
      <c r="D445" s="16" t="s">
        <v>173</v>
      </c>
      <c r="E445" s="17" t="s">
        <v>7</v>
      </c>
      <c r="F445" s="24">
        <v>13</v>
      </c>
      <c r="G445" s="24">
        <v>41</v>
      </c>
      <c r="H445" s="19">
        <v>0</v>
      </c>
      <c r="I445" s="19">
        <v>0</v>
      </c>
      <c r="T445" s="19">
        <f>Registro[[#This Row],[Mes 1]]+Registro[[#This Row],[Mes 2]]+Registro[[#This Row],[Mes 3]]</f>
        <v>0</v>
      </c>
      <c r="U445" s="19">
        <f>Registro[[#This Row],[Mes 4]]+Registro[[#This Row],[Mes 5]]+Registro[[#This Row],[Mes 6]]</f>
        <v>0</v>
      </c>
      <c r="V445" s="19">
        <f>Registro[[#This Row],[Mes 7]]+Registro[[#This Row],[Mes 8]]+Registro[[#This Row],[Mes 9]]</f>
        <v>0</v>
      </c>
      <c r="W445" s="20">
        <f>Registro[[#This Row],[Mes 10]]+Registro[[#This Row],[Mes 11]]+Registro[[#This Row],[Mes 12]]</f>
        <v>0</v>
      </c>
      <c r="X445" s="20">
        <f>SUM(Registro[[#This Row],[Trim I]],Registro[[#This Row],[Trim II]],Registro[[#This Row],[Trim III]],Registro[[#This Row],[Trim IV]])</f>
        <v>0</v>
      </c>
      <c r="Y445" s="22">
        <f>IFERROR((Registro[[#This Row],[Avance Total]]/Registro[[#This Row],[Meta]]),0)</f>
        <v>0</v>
      </c>
      <c r="Z445" s="22">
        <f>IFERROR((Registro[[#This Row],[Avance Total]]-Registro[[#This Row],[Línea Base 2025]])/Registro[[#This Row],[Línea Base 2025]],0)</f>
        <v>-1</v>
      </c>
      <c r="AA445" s="20">
        <v>2026</v>
      </c>
    </row>
    <row r="446" spans="1:27" hidden="1">
      <c r="A446" s="14">
        <v>1035</v>
      </c>
      <c r="B446" s="15" t="s">
        <v>73</v>
      </c>
      <c r="C446" s="16">
        <v>113</v>
      </c>
      <c r="D446" s="16" t="s">
        <v>179</v>
      </c>
      <c r="E446" s="17" t="s">
        <v>178</v>
      </c>
      <c r="F446" s="24">
        <v>18</v>
      </c>
      <c r="G446" s="24">
        <v>154</v>
      </c>
      <c r="H446" s="19">
        <v>0</v>
      </c>
      <c r="I446" s="19">
        <v>0</v>
      </c>
      <c r="T446" s="19">
        <f>Registro[[#This Row],[Mes 1]]+Registro[[#This Row],[Mes 2]]+Registro[[#This Row],[Mes 3]]</f>
        <v>0</v>
      </c>
      <c r="U446" s="19">
        <f>Registro[[#This Row],[Mes 4]]+Registro[[#This Row],[Mes 5]]+Registro[[#This Row],[Mes 6]]</f>
        <v>0</v>
      </c>
      <c r="V446" s="19">
        <f>Registro[[#This Row],[Mes 7]]+Registro[[#This Row],[Mes 8]]+Registro[[#This Row],[Mes 9]]</f>
        <v>0</v>
      </c>
      <c r="W446" s="20">
        <f>Registro[[#This Row],[Mes 10]]+Registro[[#This Row],[Mes 11]]+Registro[[#This Row],[Mes 12]]</f>
        <v>0</v>
      </c>
      <c r="X446" s="20">
        <f>SUM(Registro[[#This Row],[Trim I]],Registro[[#This Row],[Trim II]],Registro[[#This Row],[Trim III]],Registro[[#This Row],[Trim IV]])</f>
        <v>0</v>
      </c>
      <c r="Y446" s="22">
        <f>IFERROR((Registro[[#This Row],[Avance Total]]/Registro[[#This Row],[Meta]]),0)</f>
        <v>0</v>
      </c>
      <c r="Z446" s="22">
        <f>IFERROR((Registro[[#This Row],[Avance Total]]-Registro[[#This Row],[Línea Base 2025]])/Registro[[#This Row],[Línea Base 2025]],0)</f>
        <v>-1</v>
      </c>
      <c r="AA446" s="20">
        <v>2026</v>
      </c>
    </row>
    <row r="447" spans="1:27" hidden="1">
      <c r="A447" s="14">
        <v>1035</v>
      </c>
      <c r="B447" s="15" t="s">
        <v>73</v>
      </c>
      <c r="C447" s="16">
        <v>114</v>
      </c>
      <c r="D447" s="16" t="s">
        <v>181</v>
      </c>
      <c r="E447" s="17" t="s">
        <v>180</v>
      </c>
      <c r="F447" s="24">
        <v>0</v>
      </c>
      <c r="G447" s="24">
        <v>13.799999999999999</v>
      </c>
      <c r="H447" s="19">
        <v>3</v>
      </c>
      <c r="I447" s="19">
        <v>0</v>
      </c>
      <c r="T447" s="19">
        <f>Registro[[#This Row],[Mes 1]]+Registro[[#This Row],[Mes 2]]+Registro[[#This Row],[Mes 3]]</f>
        <v>3</v>
      </c>
      <c r="U447" s="19">
        <f>Registro[[#This Row],[Mes 4]]+Registro[[#This Row],[Mes 5]]+Registro[[#This Row],[Mes 6]]</f>
        <v>0</v>
      </c>
      <c r="V447" s="19">
        <f>Registro[[#This Row],[Mes 7]]+Registro[[#This Row],[Mes 8]]+Registro[[#This Row],[Mes 9]]</f>
        <v>0</v>
      </c>
      <c r="W447" s="20">
        <f>Registro[[#This Row],[Mes 10]]+Registro[[#This Row],[Mes 11]]+Registro[[#This Row],[Mes 12]]</f>
        <v>0</v>
      </c>
      <c r="X447" s="20">
        <f>SUM(Registro[[#This Row],[Trim I]],Registro[[#This Row],[Trim II]],Registro[[#This Row],[Trim III]],Registro[[#This Row],[Trim IV]])</f>
        <v>3</v>
      </c>
      <c r="Y447" s="22">
        <f>IFERROR((Registro[[#This Row],[Avance Total]]/Registro[[#This Row],[Meta]]),0)</f>
        <v>0.21739130434782611</v>
      </c>
      <c r="Z447" s="22">
        <f>IFERROR((Registro[[#This Row],[Avance Total]]-Registro[[#This Row],[Línea Base 2025]])/Registro[[#This Row],[Línea Base 2025]],0)</f>
        <v>0</v>
      </c>
      <c r="AA447" s="20">
        <v>2026</v>
      </c>
    </row>
    <row r="448" spans="1:27" hidden="1">
      <c r="A448" s="14">
        <v>1035</v>
      </c>
      <c r="B448" s="15" t="s">
        <v>73</v>
      </c>
      <c r="C448" s="16">
        <v>115</v>
      </c>
      <c r="D448" s="16" t="s">
        <v>183</v>
      </c>
      <c r="E448" s="17" t="s">
        <v>182</v>
      </c>
      <c r="F448" s="24">
        <v>0</v>
      </c>
      <c r="G448" s="24">
        <v>12.42</v>
      </c>
      <c r="H448" s="19">
        <v>0</v>
      </c>
      <c r="I448" s="19">
        <v>0</v>
      </c>
      <c r="T448" s="19">
        <f>Registro[[#This Row],[Mes 1]]+Registro[[#This Row],[Mes 2]]+Registro[[#This Row],[Mes 3]]</f>
        <v>0</v>
      </c>
      <c r="U448" s="19">
        <f>Registro[[#This Row],[Mes 4]]+Registro[[#This Row],[Mes 5]]+Registro[[#This Row],[Mes 6]]</f>
        <v>0</v>
      </c>
      <c r="V448" s="19">
        <f>Registro[[#This Row],[Mes 7]]+Registro[[#This Row],[Mes 8]]+Registro[[#This Row],[Mes 9]]</f>
        <v>0</v>
      </c>
      <c r="W448" s="20">
        <f>Registro[[#This Row],[Mes 10]]+Registro[[#This Row],[Mes 11]]+Registro[[#This Row],[Mes 12]]</f>
        <v>0</v>
      </c>
      <c r="X448" s="20">
        <f>SUM(Registro[[#This Row],[Trim I]],Registro[[#This Row],[Trim II]],Registro[[#This Row],[Trim III]],Registro[[#This Row],[Trim IV]])</f>
        <v>0</v>
      </c>
      <c r="Y448" s="22">
        <f>IFERROR((Registro[[#This Row],[Avance Total]]/Registro[[#This Row],[Meta]]),0)</f>
        <v>0</v>
      </c>
      <c r="Z448" s="22">
        <f>IFERROR((Registro[[#This Row],[Avance Total]]-Registro[[#This Row],[Línea Base 2025]])/Registro[[#This Row],[Línea Base 2025]],0)</f>
        <v>0</v>
      </c>
      <c r="AA448" s="20">
        <v>2026</v>
      </c>
    </row>
    <row r="449" spans="1:27">
      <c r="A449" s="14">
        <v>1035</v>
      </c>
      <c r="B449" s="15" t="s">
        <v>73</v>
      </c>
      <c r="C449" s="16">
        <v>116</v>
      </c>
      <c r="D449" s="16" t="s">
        <v>185</v>
      </c>
      <c r="E449" s="17" t="s">
        <v>184</v>
      </c>
      <c r="F449" s="24">
        <v>1</v>
      </c>
      <c r="G449" s="24">
        <v>5.98</v>
      </c>
      <c r="H449" s="19">
        <v>0</v>
      </c>
      <c r="I449" s="19">
        <v>0</v>
      </c>
      <c r="T449" s="19">
        <f>Registro[[#This Row],[Mes 1]]+Registro[[#This Row],[Mes 2]]+Registro[[#This Row],[Mes 3]]</f>
        <v>0</v>
      </c>
      <c r="U449" s="19">
        <f>Registro[[#This Row],[Mes 4]]+Registro[[#This Row],[Mes 5]]+Registro[[#This Row],[Mes 6]]</f>
        <v>0</v>
      </c>
      <c r="V449" s="19">
        <f>Registro[[#This Row],[Mes 7]]+Registro[[#This Row],[Mes 8]]+Registro[[#This Row],[Mes 9]]</f>
        <v>0</v>
      </c>
      <c r="W449" s="20">
        <f>Registro[[#This Row],[Mes 10]]+Registro[[#This Row],[Mes 11]]+Registro[[#This Row],[Mes 12]]</f>
        <v>0</v>
      </c>
      <c r="X449" s="20">
        <f>SUM(Registro[[#This Row],[Trim I]],Registro[[#This Row],[Trim II]],Registro[[#This Row],[Trim III]],Registro[[#This Row],[Trim IV]])</f>
        <v>0</v>
      </c>
      <c r="Y449" s="22">
        <f>IFERROR((Registro[[#This Row],[Avance Total]]/Registro[[#This Row],[Meta]]),0)</f>
        <v>0</v>
      </c>
      <c r="Z449" s="22">
        <f>IFERROR((Registro[[#This Row],[Avance Total]]-Registro[[#This Row],[Línea Base 2025]])/Registro[[#This Row],[Línea Base 2025]],0)</f>
        <v>-1</v>
      </c>
      <c r="AA449" s="20">
        <v>2026</v>
      </c>
    </row>
    <row r="450" spans="1:27" hidden="1">
      <c r="A450" s="14">
        <v>1035</v>
      </c>
      <c r="B450" s="15" t="s">
        <v>73</v>
      </c>
      <c r="C450" s="16">
        <v>117</v>
      </c>
      <c r="D450" s="16" t="s">
        <v>187</v>
      </c>
      <c r="E450" s="17" t="s">
        <v>186</v>
      </c>
      <c r="F450" s="24">
        <v>3</v>
      </c>
      <c r="G450" s="24">
        <v>2.04</v>
      </c>
      <c r="H450" s="19">
        <v>0</v>
      </c>
      <c r="I450" s="19">
        <v>0</v>
      </c>
      <c r="T450" s="19">
        <f>Registro[[#This Row],[Mes 1]]+Registro[[#This Row],[Mes 2]]+Registro[[#This Row],[Mes 3]]</f>
        <v>0</v>
      </c>
      <c r="U450" s="19">
        <f>Registro[[#This Row],[Mes 4]]+Registro[[#This Row],[Mes 5]]+Registro[[#This Row],[Mes 6]]</f>
        <v>0</v>
      </c>
      <c r="V450" s="19">
        <f>Registro[[#This Row],[Mes 7]]+Registro[[#This Row],[Mes 8]]+Registro[[#This Row],[Mes 9]]</f>
        <v>0</v>
      </c>
      <c r="W450" s="20">
        <f>Registro[[#This Row],[Mes 10]]+Registro[[#This Row],[Mes 11]]+Registro[[#This Row],[Mes 12]]</f>
        <v>0</v>
      </c>
      <c r="X450" s="20">
        <f>SUM(Registro[[#This Row],[Trim I]],Registro[[#This Row],[Trim II]],Registro[[#This Row],[Trim III]],Registro[[#This Row],[Trim IV]])</f>
        <v>0</v>
      </c>
      <c r="Y450" s="22">
        <f>IFERROR((Registro[[#This Row],[Avance Total]]/Registro[[#This Row],[Meta]]),0)</f>
        <v>0</v>
      </c>
      <c r="Z450" s="22">
        <f>IFERROR((Registro[[#This Row],[Avance Total]]-Registro[[#This Row],[Línea Base 2025]])/Registro[[#This Row],[Línea Base 2025]],0)</f>
        <v>-1</v>
      </c>
      <c r="AA450" s="20">
        <v>2026</v>
      </c>
    </row>
    <row r="451" spans="1:27" hidden="1">
      <c r="A451" s="14">
        <v>1035</v>
      </c>
      <c r="B451" s="15" t="s">
        <v>73</v>
      </c>
      <c r="C451" s="16">
        <v>118</v>
      </c>
      <c r="D451" s="16" t="s">
        <v>188</v>
      </c>
      <c r="E451" s="17" t="s">
        <v>9</v>
      </c>
      <c r="F451" s="24">
        <v>0</v>
      </c>
      <c r="G451" s="24">
        <v>2</v>
      </c>
      <c r="H451" s="19">
        <v>0</v>
      </c>
      <c r="I451" s="19">
        <v>0</v>
      </c>
      <c r="T451" s="19">
        <f>Registro[[#This Row],[Mes 1]]+Registro[[#This Row],[Mes 2]]+Registro[[#This Row],[Mes 3]]</f>
        <v>0</v>
      </c>
      <c r="U451" s="19">
        <f>Registro[[#This Row],[Mes 4]]+Registro[[#This Row],[Mes 5]]+Registro[[#This Row],[Mes 6]]</f>
        <v>0</v>
      </c>
      <c r="V451" s="19">
        <f>Registro[[#This Row],[Mes 7]]+Registro[[#This Row],[Mes 8]]+Registro[[#This Row],[Mes 9]]</f>
        <v>0</v>
      </c>
      <c r="W451" s="20">
        <f>Registro[[#This Row],[Mes 10]]+Registro[[#This Row],[Mes 11]]+Registro[[#This Row],[Mes 12]]</f>
        <v>0</v>
      </c>
      <c r="X451" s="20">
        <f>SUM(Registro[[#This Row],[Trim I]],Registro[[#This Row],[Trim II]],Registro[[#This Row],[Trim III]],Registro[[#This Row],[Trim IV]])</f>
        <v>0</v>
      </c>
      <c r="Y451" s="22">
        <f>IFERROR((Registro[[#This Row],[Avance Total]]/Registro[[#This Row],[Meta]]),0)</f>
        <v>0</v>
      </c>
      <c r="Z451" s="22">
        <f>IFERROR((Registro[[#This Row],[Avance Total]]-Registro[[#This Row],[Línea Base 2025]])/Registro[[#This Row],[Línea Base 2025]],0)</f>
        <v>0</v>
      </c>
      <c r="AA451" s="20">
        <v>2026</v>
      </c>
    </row>
    <row r="452" spans="1:27" hidden="1">
      <c r="A452" s="14">
        <v>1035</v>
      </c>
      <c r="B452" s="15" t="s">
        <v>73</v>
      </c>
      <c r="C452" s="16">
        <v>119</v>
      </c>
      <c r="D452" s="16" t="s">
        <v>190</v>
      </c>
      <c r="E452" s="17" t="s">
        <v>189</v>
      </c>
      <c r="F452" s="24">
        <v>0</v>
      </c>
      <c r="G452" s="24">
        <v>4.7840000000000007</v>
      </c>
      <c r="H452" s="19">
        <v>0</v>
      </c>
      <c r="I452" s="19">
        <v>0</v>
      </c>
      <c r="T452" s="19">
        <f>Registro[[#This Row],[Mes 1]]+Registro[[#This Row],[Mes 2]]+Registro[[#This Row],[Mes 3]]</f>
        <v>0</v>
      </c>
      <c r="U452" s="19">
        <f>Registro[[#This Row],[Mes 4]]+Registro[[#This Row],[Mes 5]]+Registro[[#This Row],[Mes 6]]</f>
        <v>0</v>
      </c>
      <c r="V452" s="19">
        <f>Registro[[#This Row],[Mes 7]]+Registro[[#This Row],[Mes 8]]+Registro[[#This Row],[Mes 9]]</f>
        <v>0</v>
      </c>
      <c r="W452" s="20">
        <f>Registro[[#This Row],[Mes 10]]+Registro[[#This Row],[Mes 11]]+Registro[[#This Row],[Mes 12]]</f>
        <v>0</v>
      </c>
      <c r="X452" s="20">
        <f>SUM(Registro[[#This Row],[Trim I]],Registro[[#This Row],[Trim II]],Registro[[#This Row],[Trim III]],Registro[[#This Row],[Trim IV]])</f>
        <v>0</v>
      </c>
      <c r="Y452" s="22">
        <f>IFERROR((Registro[[#This Row],[Avance Total]]/Registro[[#This Row],[Meta]]),0)</f>
        <v>0</v>
      </c>
      <c r="Z452" s="22">
        <f>IFERROR((Registro[[#This Row],[Avance Total]]-Registro[[#This Row],[Línea Base 2025]])/Registro[[#This Row],[Línea Base 2025]],0)</f>
        <v>0</v>
      </c>
      <c r="AA452" s="20">
        <v>2026</v>
      </c>
    </row>
    <row r="453" spans="1:27" hidden="1">
      <c r="A453" s="14">
        <v>1035</v>
      </c>
      <c r="B453" s="15" t="s">
        <v>73</v>
      </c>
      <c r="C453" s="16">
        <v>120</v>
      </c>
      <c r="D453" s="16" t="s">
        <v>192</v>
      </c>
      <c r="E453" s="17" t="s">
        <v>191</v>
      </c>
      <c r="F453" s="24">
        <v>3</v>
      </c>
      <c r="G453" s="24">
        <v>15</v>
      </c>
      <c r="H453" s="19">
        <v>0</v>
      </c>
      <c r="I453" s="19">
        <v>0</v>
      </c>
      <c r="T453" s="19">
        <f>Registro[[#This Row],[Mes 1]]+Registro[[#This Row],[Mes 2]]+Registro[[#This Row],[Mes 3]]</f>
        <v>0</v>
      </c>
      <c r="U453" s="19">
        <f>Registro[[#This Row],[Mes 4]]+Registro[[#This Row],[Mes 5]]+Registro[[#This Row],[Mes 6]]</f>
        <v>0</v>
      </c>
      <c r="V453" s="19">
        <f>Registro[[#This Row],[Mes 7]]+Registro[[#This Row],[Mes 8]]+Registro[[#This Row],[Mes 9]]</f>
        <v>0</v>
      </c>
      <c r="W453" s="20">
        <f>Registro[[#This Row],[Mes 10]]+Registro[[#This Row],[Mes 11]]+Registro[[#This Row],[Mes 12]]</f>
        <v>0</v>
      </c>
      <c r="X453" s="20">
        <f>SUM(Registro[[#This Row],[Trim I]],Registro[[#This Row],[Trim II]],Registro[[#This Row],[Trim III]],Registro[[#This Row],[Trim IV]])</f>
        <v>0</v>
      </c>
      <c r="Y453" s="22">
        <f>IFERROR((Registro[[#This Row],[Avance Total]]/Registro[[#This Row],[Meta]]),0)</f>
        <v>0</v>
      </c>
      <c r="Z453" s="22">
        <f>IFERROR((Registro[[#This Row],[Avance Total]]-Registro[[#This Row],[Línea Base 2025]])/Registro[[#This Row],[Línea Base 2025]],0)</f>
        <v>-1</v>
      </c>
      <c r="AA453" s="20">
        <v>2026</v>
      </c>
    </row>
    <row r="454" spans="1:27" hidden="1">
      <c r="A454" s="14">
        <v>1035</v>
      </c>
      <c r="B454" s="15" t="s">
        <v>73</v>
      </c>
      <c r="C454" s="16">
        <v>121</v>
      </c>
      <c r="D454" s="16" t="s">
        <v>194</v>
      </c>
      <c r="E454" s="17" t="s">
        <v>193</v>
      </c>
      <c r="F454" s="24">
        <v>0</v>
      </c>
      <c r="G454" s="24">
        <v>4</v>
      </c>
      <c r="H454" s="19">
        <v>0</v>
      </c>
      <c r="I454" s="19">
        <v>0</v>
      </c>
      <c r="T454" s="19">
        <f>Registro[[#This Row],[Mes 1]]+Registro[[#This Row],[Mes 2]]+Registro[[#This Row],[Mes 3]]</f>
        <v>0</v>
      </c>
      <c r="U454" s="19">
        <f>Registro[[#This Row],[Mes 4]]+Registro[[#This Row],[Mes 5]]+Registro[[#This Row],[Mes 6]]</f>
        <v>0</v>
      </c>
      <c r="V454" s="19">
        <f>Registro[[#This Row],[Mes 7]]+Registro[[#This Row],[Mes 8]]+Registro[[#This Row],[Mes 9]]</f>
        <v>0</v>
      </c>
      <c r="W454" s="20">
        <f>Registro[[#This Row],[Mes 10]]+Registro[[#This Row],[Mes 11]]+Registro[[#This Row],[Mes 12]]</f>
        <v>0</v>
      </c>
      <c r="X454" s="20">
        <f>SUM(Registro[[#This Row],[Trim I]],Registro[[#This Row],[Trim II]],Registro[[#This Row],[Trim III]],Registro[[#This Row],[Trim IV]])</f>
        <v>0</v>
      </c>
      <c r="Y454" s="22">
        <f>IFERROR((Registro[[#This Row],[Avance Total]]/Registro[[#This Row],[Meta]]),0)</f>
        <v>0</v>
      </c>
      <c r="Z454" s="22">
        <f>IFERROR((Registro[[#This Row],[Avance Total]]-Registro[[#This Row],[Línea Base 2025]])/Registro[[#This Row],[Línea Base 2025]],0)</f>
        <v>0</v>
      </c>
      <c r="AA454" s="20">
        <v>2026</v>
      </c>
    </row>
    <row r="455" spans="1:27" hidden="1">
      <c r="A455" s="14">
        <v>1035</v>
      </c>
      <c r="B455" s="15" t="s">
        <v>73</v>
      </c>
      <c r="C455" s="16">
        <v>122</v>
      </c>
      <c r="D455" s="16" t="s">
        <v>196</v>
      </c>
      <c r="E455" s="17" t="s">
        <v>195</v>
      </c>
      <c r="F455" s="24">
        <v>0</v>
      </c>
      <c r="G455" s="24">
        <v>6</v>
      </c>
      <c r="H455" s="19">
        <v>0</v>
      </c>
      <c r="I455" s="19">
        <v>0</v>
      </c>
      <c r="T455" s="19">
        <f>Registro[[#This Row],[Mes 1]]+Registro[[#This Row],[Mes 2]]+Registro[[#This Row],[Mes 3]]</f>
        <v>0</v>
      </c>
      <c r="U455" s="19">
        <f>Registro[[#This Row],[Mes 4]]+Registro[[#This Row],[Mes 5]]+Registro[[#This Row],[Mes 6]]</f>
        <v>0</v>
      </c>
      <c r="V455" s="19">
        <f>Registro[[#This Row],[Mes 7]]+Registro[[#This Row],[Mes 8]]+Registro[[#This Row],[Mes 9]]</f>
        <v>0</v>
      </c>
      <c r="W455" s="20">
        <f>Registro[[#This Row],[Mes 10]]+Registro[[#This Row],[Mes 11]]+Registro[[#This Row],[Mes 12]]</f>
        <v>0</v>
      </c>
      <c r="X455" s="20">
        <f>SUM(Registro[[#This Row],[Trim I]],Registro[[#This Row],[Trim II]],Registro[[#This Row],[Trim III]],Registro[[#This Row],[Trim IV]])</f>
        <v>0</v>
      </c>
      <c r="Y455" s="22">
        <f>IFERROR((Registro[[#This Row],[Avance Total]]/Registro[[#This Row],[Meta]]),0)</f>
        <v>0</v>
      </c>
      <c r="Z455" s="22">
        <f>IFERROR((Registro[[#This Row],[Avance Total]]-Registro[[#This Row],[Línea Base 2025]])/Registro[[#This Row],[Línea Base 2025]],0)</f>
        <v>0</v>
      </c>
      <c r="AA455" s="20">
        <v>2026</v>
      </c>
    </row>
    <row r="456" spans="1:27" hidden="1">
      <c r="A456" s="14">
        <v>1035</v>
      </c>
      <c r="B456" s="15" t="s">
        <v>73</v>
      </c>
      <c r="C456" s="16">
        <v>123</v>
      </c>
      <c r="D456" s="16" t="s">
        <v>198</v>
      </c>
      <c r="E456" s="17" t="s">
        <v>197</v>
      </c>
      <c r="F456" s="24">
        <v>0</v>
      </c>
      <c r="G456" s="24">
        <v>6</v>
      </c>
      <c r="H456" s="19">
        <v>0</v>
      </c>
      <c r="I456" s="19">
        <v>0</v>
      </c>
      <c r="T456" s="19">
        <f>Registro[[#This Row],[Mes 1]]+Registro[[#This Row],[Mes 2]]+Registro[[#This Row],[Mes 3]]</f>
        <v>0</v>
      </c>
      <c r="U456" s="19">
        <f>Registro[[#This Row],[Mes 4]]+Registro[[#This Row],[Mes 5]]+Registro[[#This Row],[Mes 6]]</f>
        <v>0</v>
      </c>
      <c r="V456" s="19">
        <f>Registro[[#This Row],[Mes 7]]+Registro[[#This Row],[Mes 8]]+Registro[[#This Row],[Mes 9]]</f>
        <v>0</v>
      </c>
      <c r="W456" s="20">
        <f>Registro[[#This Row],[Mes 10]]+Registro[[#This Row],[Mes 11]]+Registro[[#This Row],[Mes 12]]</f>
        <v>0</v>
      </c>
      <c r="X456" s="20">
        <f>SUM(Registro[[#This Row],[Trim I]],Registro[[#This Row],[Trim II]],Registro[[#This Row],[Trim III]],Registro[[#This Row],[Trim IV]])</f>
        <v>0</v>
      </c>
      <c r="Y456" s="22">
        <f>IFERROR((Registro[[#This Row],[Avance Total]]/Registro[[#This Row],[Meta]]),0)</f>
        <v>0</v>
      </c>
      <c r="Z456" s="22">
        <f>IFERROR((Registro[[#This Row],[Avance Total]]-Registro[[#This Row],[Línea Base 2025]])/Registro[[#This Row],[Línea Base 2025]],0)</f>
        <v>0</v>
      </c>
      <c r="AA456" s="20">
        <v>2026</v>
      </c>
    </row>
    <row r="457" spans="1:27" hidden="1">
      <c r="A457" s="14">
        <v>1036</v>
      </c>
      <c r="B457" s="15" t="s">
        <v>74</v>
      </c>
      <c r="C457" s="16">
        <v>111</v>
      </c>
      <c r="D457" s="16" t="s">
        <v>171</v>
      </c>
      <c r="E457" s="17" t="s">
        <v>172</v>
      </c>
      <c r="F457" s="24">
        <v>8</v>
      </c>
      <c r="G457" s="24">
        <v>13</v>
      </c>
      <c r="H457" s="19">
        <v>0</v>
      </c>
      <c r="I457" s="19">
        <v>2</v>
      </c>
      <c r="T457" s="19">
        <f>Registro[[#This Row],[Mes 1]]+Registro[[#This Row],[Mes 2]]+Registro[[#This Row],[Mes 3]]</f>
        <v>2</v>
      </c>
      <c r="U457" s="19">
        <f>Registro[[#This Row],[Mes 4]]+Registro[[#This Row],[Mes 5]]+Registro[[#This Row],[Mes 6]]</f>
        <v>0</v>
      </c>
      <c r="V457" s="19">
        <f>Registro[[#This Row],[Mes 7]]+Registro[[#This Row],[Mes 8]]+Registro[[#This Row],[Mes 9]]</f>
        <v>0</v>
      </c>
      <c r="W457" s="20">
        <f>Registro[[#This Row],[Mes 10]]+Registro[[#This Row],[Mes 11]]+Registro[[#This Row],[Mes 12]]</f>
        <v>0</v>
      </c>
      <c r="X457" s="20">
        <f>SUM(Registro[[#This Row],[Trim I]],Registro[[#This Row],[Trim II]],Registro[[#This Row],[Trim III]],Registro[[#This Row],[Trim IV]])</f>
        <v>2</v>
      </c>
      <c r="Y457" s="22">
        <f>IFERROR((Registro[[#This Row],[Avance Total]]/Registro[[#This Row],[Meta]]),0)</f>
        <v>0.15384615384615385</v>
      </c>
      <c r="Z457" s="22">
        <f>IFERROR((Registro[[#This Row],[Avance Total]]-Registro[[#This Row],[Línea Base 2025]])/Registro[[#This Row],[Línea Base 2025]],0)</f>
        <v>-0.75</v>
      </c>
      <c r="AA457" s="20">
        <v>2026</v>
      </c>
    </row>
    <row r="458" spans="1:27" hidden="1">
      <c r="A458" s="14">
        <v>1036</v>
      </c>
      <c r="B458" s="15" t="s">
        <v>74</v>
      </c>
      <c r="C458" s="16">
        <v>112</v>
      </c>
      <c r="D458" s="16" t="s">
        <v>173</v>
      </c>
      <c r="E458" s="17" t="s">
        <v>7</v>
      </c>
      <c r="F458" s="24">
        <v>6</v>
      </c>
      <c r="G458" s="24">
        <v>10</v>
      </c>
      <c r="H458" s="19">
        <v>0</v>
      </c>
      <c r="I458" s="19">
        <v>0</v>
      </c>
      <c r="T458" s="19">
        <f>Registro[[#This Row],[Mes 1]]+Registro[[#This Row],[Mes 2]]+Registro[[#This Row],[Mes 3]]</f>
        <v>0</v>
      </c>
      <c r="U458" s="19">
        <f>Registro[[#This Row],[Mes 4]]+Registro[[#This Row],[Mes 5]]+Registro[[#This Row],[Mes 6]]</f>
        <v>0</v>
      </c>
      <c r="V458" s="19">
        <f>Registro[[#This Row],[Mes 7]]+Registro[[#This Row],[Mes 8]]+Registro[[#This Row],[Mes 9]]</f>
        <v>0</v>
      </c>
      <c r="W458" s="20">
        <f>Registro[[#This Row],[Mes 10]]+Registro[[#This Row],[Mes 11]]+Registro[[#This Row],[Mes 12]]</f>
        <v>0</v>
      </c>
      <c r="X458" s="20">
        <f>SUM(Registro[[#This Row],[Trim I]],Registro[[#This Row],[Trim II]],Registro[[#This Row],[Trim III]],Registro[[#This Row],[Trim IV]])</f>
        <v>0</v>
      </c>
      <c r="Y458" s="22">
        <f>IFERROR((Registro[[#This Row],[Avance Total]]/Registro[[#This Row],[Meta]]),0)</f>
        <v>0</v>
      </c>
      <c r="Z458" s="22">
        <f>IFERROR((Registro[[#This Row],[Avance Total]]-Registro[[#This Row],[Línea Base 2025]])/Registro[[#This Row],[Línea Base 2025]],0)</f>
        <v>-1</v>
      </c>
      <c r="AA458" s="20">
        <v>2026</v>
      </c>
    </row>
    <row r="459" spans="1:27" hidden="1">
      <c r="A459" s="14">
        <v>1036</v>
      </c>
      <c r="B459" s="15" t="s">
        <v>74</v>
      </c>
      <c r="C459" s="16">
        <v>113</v>
      </c>
      <c r="D459" s="16" t="s">
        <v>179</v>
      </c>
      <c r="E459" s="17" t="s">
        <v>178</v>
      </c>
      <c r="F459" s="24">
        <v>1</v>
      </c>
      <c r="G459" s="24">
        <v>25</v>
      </c>
      <c r="H459" s="19">
        <v>0</v>
      </c>
      <c r="I459" s="19">
        <v>0</v>
      </c>
      <c r="T459" s="19">
        <f>Registro[[#This Row],[Mes 1]]+Registro[[#This Row],[Mes 2]]+Registro[[#This Row],[Mes 3]]</f>
        <v>0</v>
      </c>
      <c r="U459" s="19">
        <f>Registro[[#This Row],[Mes 4]]+Registro[[#This Row],[Mes 5]]+Registro[[#This Row],[Mes 6]]</f>
        <v>0</v>
      </c>
      <c r="V459" s="19">
        <f>Registro[[#This Row],[Mes 7]]+Registro[[#This Row],[Mes 8]]+Registro[[#This Row],[Mes 9]]</f>
        <v>0</v>
      </c>
      <c r="W459" s="20">
        <f>Registro[[#This Row],[Mes 10]]+Registro[[#This Row],[Mes 11]]+Registro[[#This Row],[Mes 12]]</f>
        <v>0</v>
      </c>
      <c r="X459" s="20">
        <f>SUM(Registro[[#This Row],[Trim I]],Registro[[#This Row],[Trim II]],Registro[[#This Row],[Trim III]],Registro[[#This Row],[Trim IV]])</f>
        <v>0</v>
      </c>
      <c r="Y459" s="22">
        <f>IFERROR((Registro[[#This Row],[Avance Total]]/Registro[[#This Row],[Meta]]),0)</f>
        <v>0</v>
      </c>
      <c r="Z459" s="22">
        <f>IFERROR((Registro[[#This Row],[Avance Total]]-Registro[[#This Row],[Línea Base 2025]])/Registro[[#This Row],[Línea Base 2025]],0)</f>
        <v>-1</v>
      </c>
      <c r="AA459" s="20">
        <v>2026</v>
      </c>
    </row>
    <row r="460" spans="1:27" hidden="1">
      <c r="A460" s="14">
        <v>1036</v>
      </c>
      <c r="B460" s="15" t="s">
        <v>74</v>
      </c>
      <c r="C460" s="16">
        <v>114</v>
      </c>
      <c r="D460" s="16" t="s">
        <v>181</v>
      </c>
      <c r="E460" s="17" t="s">
        <v>180</v>
      </c>
      <c r="F460" s="24">
        <v>0</v>
      </c>
      <c r="G460" s="24">
        <v>4.2</v>
      </c>
      <c r="H460" s="19">
        <v>1</v>
      </c>
      <c r="I460" s="19">
        <v>0</v>
      </c>
      <c r="T460" s="19">
        <f>Registro[[#This Row],[Mes 1]]+Registro[[#This Row],[Mes 2]]+Registro[[#This Row],[Mes 3]]</f>
        <v>1</v>
      </c>
      <c r="U460" s="19">
        <f>Registro[[#This Row],[Mes 4]]+Registro[[#This Row],[Mes 5]]+Registro[[#This Row],[Mes 6]]</f>
        <v>0</v>
      </c>
      <c r="V460" s="19">
        <f>Registro[[#This Row],[Mes 7]]+Registro[[#This Row],[Mes 8]]+Registro[[#This Row],[Mes 9]]</f>
        <v>0</v>
      </c>
      <c r="W460" s="20">
        <f>Registro[[#This Row],[Mes 10]]+Registro[[#This Row],[Mes 11]]+Registro[[#This Row],[Mes 12]]</f>
        <v>0</v>
      </c>
      <c r="X460" s="20">
        <f>SUM(Registro[[#This Row],[Trim I]],Registro[[#This Row],[Trim II]],Registro[[#This Row],[Trim III]],Registro[[#This Row],[Trim IV]])</f>
        <v>1</v>
      </c>
      <c r="Y460" s="22">
        <f>IFERROR((Registro[[#This Row],[Avance Total]]/Registro[[#This Row],[Meta]]),0)</f>
        <v>0.23809523809523808</v>
      </c>
      <c r="Z460" s="22">
        <f>IFERROR((Registro[[#This Row],[Avance Total]]-Registro[[#This Row],[Línea Base 2025]])/Registro[[#This Row],[Línea Base 2025]],0)</f>
        <v>0</v>
      </c>
      <c r="AA460" s="20">
        <v>2026</v>
      </c>
    </row>
    <row r="461" spans="1:27" hidden="1">
      <c r="A461" s="14">
        <v>1036</v>
      </c>
      <c r="B461" s="15" t="s">
        <v>74</v>
      </c>
      <c r="C461" s="16">
        <v>115</v>
      </c>
      <c r="D461" s="16" t="s">
        <v>183</v>
      </c>
      <c r="E461" s="17" t="s">
        <v>182</v>
      </c>
      <c r="F461" s="24">
        <v>0</v>
      </c>
      <c r="G461" s="24">
        <v>3.7800000000000002</v>
      </c>
      <c r="H461" s="19">
        <v>0</v>
      </c>
      <c r="I461" s="19">
        <v>0</v>
      </c>
      <c r="T461" s="19">
        <f>Registro[[#This Row],[Mes 1]]+Registro[[#This Row],[Mes 2]]+Registro[[#This Row],[Mes 3]]</f>
        <v>0</v>
      </c>
      <c r="U461" s="19">
        <f>Registro[[#This Row],[Mes 4]]+Registro[[#This Row],[Mes 5]]+Registro[[#This Row],[Mes 6]]</f>
        <v>0</v>
      </c>
      <c r="V461" s="19">
        <f>Registro[[#This Row],[Mes 7]]+Registro[[#This Row],[Mes 8]]+Registro[[#This Row],[Mes 9]]</f>
        <v>0</v>
      </c>
      <c r="W461" s="20">
        <f>Registro[[#This Row],[Mes 10]]+Registro[[#This Row],[Mes 11]]+Registro[[#This Row],[Mes 12]]</f>
        <v>0</v>
      </c>
      <c r="X461" s="20">
        <f>SUM(Registro[[#This Row],[Trim I]],Registro[[#This Row],[Trim II]],Registro[[#This Row],[Trim III]],Registro[[#This Row],[Trim IV]])</f>
        <v>0</v>
      </c>
      <c r="Y461" s="22">
        <f>IFERROR((Registro[[#This Row],[Avance Total]]/Registro[[#This Row],[Meta]]),0)</f>
        <v>0</v>
      </c>
      <c r="Z461" s="22">
        <f>IFERROR((Registro[[#This Row],[Avance Total]]-Registro[[#This Row],[Línea Base 2025]])/Registro[[#This Row],[Línea Base 2025]],0)</f>
        <v>0</v>
      </c>
      <c r="AA461" s="20">
        <v>2026</v>
      </c>
    </row>
    <row r="462" spans="1:27">
      <c r="A462" s="14">
        <v>1036</v>
      </c>
      <c r="B462" s="15" t="s">
        <v>74</v>
      </c>
      <c r="C462" s="16">
        <v>116</v>
      </c>
      <c r="D462" s="16" t="s">
        <v>185</v>
      </c>
      <c r="E462" s="17" t="s">
        <v>184</v>
      </c>
      <c r="F462" s="24">
        <v>0</v>
      </c>
      <c r="G462" s="24">
        <v>0.92</v>
      </c>
      <c r="H462" s="19">
        <v>0</v>
      </c>
      <c r="I462" s="19">
        <v>0</v>
      </c>
      <c r="T462" s="19">
        <f>Registro[[#This Row],[Mes 1]]+Registro[[#This Row],[Mes 2]]+Registro[[#This Row],[Mes 3]]</f>
        <v>0</v>
      </c>
      <c r="U462" s="19">
        <f>Registro[[#This Row],[Mes 4]]+Registro[[#This Row],[Mes 5]]+Registro[[#This Row],[Mes 6]]</f>
        <v>0</v>
      </c>
      <c r="V462" s="19">
        <f>Registro[[#This Row],[Mes 7]]+Registro[[#This Row],[Mes 8]]+Registro[[#This Row],[Mes 9]]</f>
        <v>0</v>
      </c>
      <c r="W462" s="20">
        <f>Registro[[#This Row],[Mes 10]]+Registro[[#This Row],[Mes 11]]+Registro[[#This Row],[Mes 12]]</f>
        <v>0</v>
      </c>
      <c r="X462" s="20">
        <f>SUM(Registro[[#This Row],[Trim I]],Registro[[#This Row],[Trim II]],Registro[[#This Row],[Trim III]],Registro[[#This Row],[Trim IV]])</f>
        <v>0</v>
      </c>
      <c r="Y462" s="22">
        <f>IFERROR((Registro[[#This Row],[Avance Total]]/Registro[[#This Row],[Meta]]),0)</f>
        <v>0</v>
      </c>
      <c r="Z462" s="22">
        <f>IFERROR((Registro[[#This Row],[Avance Total]]-Registro[[#This Row],[Línea Base 2025]])/Registro[[#This Row],[Línea Base 2025]],0)</f>
        <v>0</v>
      </c>
      <c r="AA462" s="20">
        <v>2026</v>
      </c>
    </row>
    <row r="463" spans="1:27" hidden="1">
      <c r="A463" s="14">
        <v>1036</v>
      </c>
      <c r="B463" s="15" t="s">
        <v>74</v>
      </c>
      <c r="C463" s="16">
        <v>117</v>
      </c>
      <c r="D463" s="16" t="s">
        <v>187</v>
      </c>
      <c r="E463" s="17" t="s">
        <v>186</v>
      </c>
      <c r="F463" s="24">
        <v>0</v>
      </c>
      <c r="G463" s="24">
        <v>1</v>
      </c>
      <c r="H463" s="19">
        <v>0</v>
      </c>
      <c r="I463" s="19">
        <v>0</v>
      </c>
      <c r="T463" s="19">
        <f>Registro[[#This Row],[Mes 1]]+Registro[[#This Row],[Mes 2]]+Registro[[#This Row],[Mes 3]]</f>
        <v>0</v>
      </c>
      <c r="U463" s="19">
        <f>Registro[[#This Row],[Mes 4]]+Registro[[#This Row],[Mes 5]]+Registro[[#This Row],[Mes 6]]</f>
        <v>0</v>
      </c>
      <c r="V463" s="19">
        <f>Registro[[#This Row],[Mes 7]]+Registro[[#This Row],[Mes 8]]+Registro[[#This Row],[Mes 9]]</f>
        <v>0</v>
      </c>
      <c r="W463" s="20">
        <f>Registro[[#This Row],[Mes 10]]+Registro[[#This Row],[Mes 11]]+Registro[[#This Row],[Mes 12]]</f>
        <v>0</v>
      </c>
      <c r="X463" s="20">
        <f>SUM(Registro[[#This Row],[Trim I]],Registro[[#This Row],[Trim II]],Registro[[#This Row],[Trim III]],Registro[[#This Row],[Trim IV]])</f>
        <v>0</v>
      </c>
      <c r="Y463" s="22">
        <f>IFERROR((Registro[[#This Row],[Avance Total]]/Registro[[#This Row],[Meta]]),0)</f>
        <v>0</v>
      </c>
      <c r="Z463" s="22">
        <f>IFERROR((Registro[[#This Row],[Avance Total]]-Registro[[#This Row],[Línea Base 2025]])/Registro[[#This Row],[Línea Base 2025]],0)</f>
        <v>0</v>
      </c>
      <c r="AA463" s="20">
        <v>2026</v>
      </c>
    </row>
    <row r="464" spans="1:27" hidden="1">
      <c r="A464" s="14">
        <v>1036</v>
      </c>
      <c r="B464" s="15" t="s">
        <v>74</v>
      </c>
      <c r="C464" s="16">
        <v>118</v>
      </c>
      <c r="D464" s="16" t="s">
        <v>188</v>
      </c>
      <c r="E464" s="17" t="s">
        <v>9</v>
      </c>
      <c r="F464" s="24">
        <v>0</v>
      </c>
      <c r="G464" s="24">
        <v>0</v>
      </c>
      <c r="H464" s="19">
        <v>0</v>
      </c>
      <c r="I464" s="19">
        <v>0</v>
      </c>
      <c r="T464" s="19">
        <f>Registro[[#This Row],[Mes 1]]+Registro[[#This Row],[Mes 2]]+Registro[[#This Row],[Mes 3]]</f>
        <v>0</v>
      </c>
      <c r="U464" s="19">
        <f>Registro[[#This Row],[Mes 4]]+Registro[[#This Row],[Mes 5]]+Registro[[#This Row],[Mes 6]]</f>
        <v>0</v>
      </c>
      <c r="V464" s="19">
        <f>Registro[[#This Row],[Mes 7]]+Registro[[#This Row],[Mes 8]]+Registro[[#This Row],[Mes 9]]</f>
        <v>0</v>
      </c>
      <c r="W464" s="20">
        <f>Registro[[#This Row],[Mes 10]]+Registro[[#This Row],[Mes 11]]+Registro[[#This Row],[Mes 12]]</f>
        <v>0</v>
      </c>
      <c r="X464" s="20">
        <f>SUM(Registro[[#This Row],[Trim I]],Registro[[#This Row],[Trim II]],Registro[[#This Row],[Trim III]],Registro[[#This Row],[Trim IV]])</f>
        <v>0</v>
      </c>
      <c r="Y464" s="22">
        <f>IFERROR((Registro[[#This Row],[Avance Total]]/Registro[[#This Row],[Meta]]),0)</f>
        <v>0</v>
      </c>
      <c r="Z464" s="22">
        <f>IFERROR((Registro[[#This Row],[Avance Total]]-Registro[[#This Row],[Línea Base 2025]])/Registro[[#This Row],[Línea Base 2025]],0)</f>
        <v>0</v>
      </c>
      <c r="AA464" s="20">
        <v>2026</v>
      </c>
    </row>
    <row r="465" spans="1:27" hidden="1">
      <c r="A465" s="14">
        <v>1036</v>
      </c>
      <c r="B465" s="15" t="s">
        <v>74</v>
      </c>
      <c r="C465" s="16">
        <v>119</v>
      </c>
      <c r="D465" s="16" t="s">
        <v>190</v>
      </c>
      <c r="E465" s="17" t="s">
        <v>189</v>
      </c>
      <c r="F465" s="24">
        <v>0</v>
      </c>
      <c r="G465" s="24">
        <v>0.7360000000000001</v>
      </c>
      <c r="H465" s="19">
        <v>0</v>
      </c>
      <c r="I465" s="19">
        <v>0</v>
      </c>
      <c r="T465" s="19">
        <f>Registro[[#This Row],[Mes 1]]+Registro[[#This Row],[Mes 2]]+Registro[[#This Row],[Mes 3]]</f>
        <v>0</v>
      </c>
      <c r="U465" s="19">
        <f>Registro[[#This Row],[Mes 4]]+Registro[[#This Row],[Mes 5]]+Registro[[#This Row],[Mes 6]]</f>
        <v>0</v>
      </c>
      <c r="V465" s="19">
        <f>Registro[[#This Row],[Mes 7]]+Registro[[#This Row],[Mes 8]]+Registro[[#This Row],[Mes 9]]</f>
        <v>0</v>
      </c>
      <c r="W465" s="20">
        <f>Registro[[#This Row],[Mes 10]]+Registro[[#This Row],[Mes 11]]+Registro[[#This Row],[Mes 12]]</f>
        <v>0</v>
      </c>
      <c r="X465" s="20">
        <f>SUM(Registro[[#This Row],[Trim I]],Registro[[#This Row],[Trim II]],Registro[[#This Row],[Trim III]],Registro[[#This Row],[Trim IV]])</f>
        <v>0</v>
      </c>
      <c r="Y465" s="22">
        <f>IFERROR((Registro[[#This Row],[Avance Total]]/Registro[[#This Row],[Meta]]),0)</f>
        <v>0</v>
      </c>
      <c r="Z465" s="22">
        <f>IFERROR((Registro[[#This Row],[Avance Total]]-Registro[[#This Row],[Línea Base 2025]])/Registro[[#This Row],[Línea Base 2025]],0)</f>
        <v>0</v>
      </c>
      <c r="AA465" s="20">
        <v>2026</v>
      </c>
    </row>
    <row r="466" spans="1:27" hidden="1">
      <c r="A466" s="14">
        <v>1036</v>
      </c>
      <c r="B466" s="15" t="s">
        <v>74</v>
      </c>
      <c r="C466" s="16">
        <v>120</v>
      </c>
      <c r="D466" s="16" t="s">
        <v>192</v>
      </c>
      <c r="E466" s="17" t="s">
        <v>191</v>
      </c>
      <c r="F466" s="24">
        <v>1</v>
      </c>
      <c r="G466" s="24">
        <v>4</v>
      </c>
      <c r="H466" s="19">
        <v>0</v>
      </c>
      <c r="I466" s="19">
        <v>0</v>
      </c>
      <c r="T466" s="19">
        <f>Registro[[#This Row],[Mes 1]]+Registro[[#This Row],[Mes 2]]+Registro[[#This Row],[Mes 3]]</f>
        <v>0</v>
      </c>
      <c r="U466" s="19">
        <f>Registro[[#This Row],[Mes 4]]+Registro[[#This Row],[Mes 5]]+Registro[[#This Row],[Mes 6]]</f>
        <v>0</v>
      </c>
      <c r="V466" s="19">
        <f>Registro[[#This Row],[Mes 7]]+Registro[[#This Row],[Mes 8]]+Registro[[#This Row],[Mes 9]]</f>
        <v>0</v>
      </c>
      <c r="W466" s="20">
        <f>Registro[[#This Row],[Mes 10]]+Registro[[#This Row],[Mes 11]]+Registro[[#This Row],[Mes 12]]</f>
        <v>0</v>
      </c>
      <c r="X466" s="20">
        <f>SUM(Registro[[#This Row],[Trim I]],Registro[[#This Row],[Trim II]],Registro[[#This Row],[Trim III]],Registro[[#This Row],[Trim IV]])</f>
        <v>0</v>
      </c>
      <c r="Y466" s="22">
        <f>IFERROR((Registro[[#This Row],[Avance Total]]/Registro[[#This Row],[Meta]]),0)</f>
        <v>0</v>
      </c>
      <c r="Z466" s="22">
        <f>IFERROR((Registro[[#This Row],[Avance Total]]-Registro[[#This Row],[Línea Base 2025]])/Registro[[#This Row],[Línea Base 2025]],0)</f>
        <v>-1</v>
      </c>
      <c r="AA466" s="20">
        <v>2026</v>
      </c>
    </row>
    <row r="467" spans="1:27" hidden="1">
      <c r="A467" s="14">
        <v>1036</v>
      </c>
      <c r="B467" s="15" t="s">
        <v>74</v>
      </c>
      <c r="C467" s="16">
        <v>121</v>
      </c>
      <c r="D467" s="16" t="s">
        <v>194</v>
      </c>
      <c r="E467" s="17" t="s">
        <v>193</v>
      </c>
      <c r="F467" s="24">
        <v>0</v>
      </c>
      <c r="G467" s="24">
        <v>3</v>
      </c>
      <c r="H467" s="19">
        <v>0</v>
      </c>
      <c r="I467" s="19">
        <v>0</v>
      </c>
      <c r="T467" s="19">
        <f>Registro[[#This Row],[Mes 1]]+Registro[[#This Row],[Mes 2]]+Registro[[#This Row],[Mes 3]]</f>
        <v>0</v>
      </c>
      <c r="U467" s="19">
        <f>Registro[[#This Row],[Mes 4]]+Registro[[#This Row],[Mes 5]]+Registro[[#This Row],[Mes 6]]</f>
        <v>0</v>
      </c>
      <c r="V467" s="19">
        <f>Registro[[#This Row],[Mes 7]]+Registro[[#This Row],[Mes 8]]+Registro[[#This Row],[Mes 9]]</f>
        <v>0</v>
      </c>
      <c r="W467" s="20">
        <f>Registro[[#This Row],[Mes 10]]+Registro[[#This Row],[Mes 11]]+Registro[[#This Row],[Mes 12]]</f>
        <v>0</v>
      </c>
      <c r="X467" s="20">
        <f>SUM(Registro[[#This Row],[Trim I]],Registro[[#This Row],[Trim II]],Registro[[#This Row],[Trim III]],Registro[[#This Row],[Trim IV]])</f>
        <v>0</v>
      </c>
      <c r="Y467" s="22">
        <f>IFERROR((Registro[[#This Row],[Avance Total]]/Registro[[#This Row],[Meta]]),0)</f>
        <v>0</v>
      </c>
      <c r="Z467" s="22">
        <f>IFERROR((Registro[[#This Row],[Avance Total]]-Registro[[#This Row],[Línea Base 2025]])/Registro[[#This Row],[Línea Base 2025]],0)</f>
        <v>0</v>
      </c>
      <c r="AA467" s="20">
        <v>2026</v>
      </c>
    </row>
    <row r="468" spans="1:27" hidden="1">
      <c r="A468" s="14">
        <v>1036</v>
      </c>
      <c r="B468" s="15" t="s">
        <v>74</v>
      </c>
      <c r="C468" s="16">
        <v>122</v>
      </c>
      <c r="D468" s="16" t="s">
        <v>196</v>
      </c>
      <c r="E468" s="17" t="s">
        <v>195</v>
      </c>
      <c r="F468" s="24">
        <v>0</v>
      </c>
      <c r="G468" s="24">
        <v>3</v>
      </c>
      <c r="H468" s="19">
        <v>0</v>
      </c>
      <c r="I468" s="19">
        <v>0</v>
      </c>
      <c r="T468" s="19">
        <f>Registro[[#This Row],[Mes 1]]+Registro[[#This Row],[Mes 2]]+Registro[[#This Row],[Mes 3]]</f>
        <v>0</v>
      </c>
      <c r="U468" s="19">
        <f>Registro[[#This Row],[Mes 4]]+Registro[[#This Row],[Mes 5]]+Registro[[#This Row],[Mes 6]]</f>
        <v>0</v>
      </c>
      <c r="V468" s="19">
        <f>Registro[[#This Row],[Mes 7]]+Registro[[#This Row],[Mes 8]]+Registro[[#This Row],[Mes 9]]</f>
        <v>0</v>
      </c>
      <c r="W468" s="20">
        <f>Registro[[#This Row],[Mes 10]]+Registro[[#This Row],[Mes 11]]+Registro[[#This Row],[Mes 12]]</f>
        <v>0</v>
      </c>
      <c r="X468" s="20">
        <f>SUM(Registro[[#This Row],[Trim I]],Registro[[#This Row],[Trim II]],Registro[[#This Row],[Trim III]],Registro[[#This Row],[Trim IV]])</f>
        <v>0</v>
      </c>
      <c r="Y468" s="22">
        <f>IFERROR((Registro[[#This Row],[Avance Total]]/Registro[[#This Row],[Meta]]),0)</f>
        <v>0</v>
      </c>
      <c r="Z468" s="22">
        <f>IFERROR((Registro[[#This Row],[Avance Total]]-Registro[[#This Row],[Línea Base 2025]])/Registro[[#This Row],[Línea Base 2025]],0)</f>
        <v>0</v>
      </c>
      <c r="AA468" s="20">
        <v>2026</v>
      </c>
    </row>
    <row r="469" spans="1:27" hidden="1">
      <c r="A469" s="14">
        <v>1036</v>
      </c>
      <c r="B469" s="15" t="s">
        <v>74</v>
      </c>
      <c r="C469" s="16">
        <v>123</v>
      </c>
      <c r="D469" s="16" t="s">
        <v>198</v>
      </c>
      <c r="E469" s="17" t="s">
        <v>197</v>
      </c>
      <c r="F469" s="24">
        <v>0</v>
      </c>
      <c r="G469" s="24">
        <v>3</v>
      </c>
      <c r="H469" s="19">
        <v>0</v>
      </c>
      <c r="I469" s="19">
        <v>0</v>
      </c>
      <c r="T469" s="19">
        <f>Registro[[#This Row],[Mes 1]]+Registro[[#This Row],[Mes 2]]+Registro[[#This Row],[Mes 3]]</f>
        <v>0</v>
      </c>
      <c r="U469" s="19">
        <f>Registro[[#This Row],[Mes 4]]+Registro[[#This Row],[Mes 5]]+Registro[[#This Row],[Mes 6]]</f>
        <v>0</v>
      </c>
      <c r="V469" s="19">
        <f>Registro[[#This Row],[Mes 7]]+Registro[[#This Row],[Mes 8]]+Registro[[#This Row],[Mes 9]]</f>
        <v>0</v>
      </c>
      <c r="W469" s="20">
        <f>Registro[[#This Row],[Mes 10]]+Registro[[#This Row],[Mes 11]]+Registro[[#This Row],[Mes 12]]</f>
        <v>0</v>
      </c>
      <c r="X469" s="20">
        <f>SUM(Registro[[#This Row],[Trim I]],Registro[[#This Row],[Trim II]],Registro[[#This Row],[Trim III]],Registro[[#This Row],[Trim IV]])</f>
        <v>0</v>
      </c>
      <c r="Y469" s="22">
        <f>IFERROR((Registro[[#This Row],[Avance Total]]/Registro[[#This Row],[Meta]]),0)</f>
        <v>0</v>
      </c>
      <c r="Z469" s="22">
        <f>IFERROR((Registro[[#This Row],[Avance Total]]-Registro[[#This Row],[Línea Base 2025]])/Registro[[#This Row],[Línea Base 2025]],0)</f>
        <v>0</v>
      </c>
      <c r="AA469" s="20">
        <v>2026</v>
      </c>
    </row>
    <row r="470" spans="1:27" hidden="1">
      <c r="A470" s="14">
        <v>1037</v>
      </c>
      <c r="B470" s="15" t="s">
        <v>75</v>
      </c>
      <c r="C470" s="16">
        <v>111</v>
      </c>
      <c r="D470" s="16" t="s">
        <v>171</v>
      </c>
      <c r="E470" s="17" t="s">
        <v>172</v>
      </c>
      <c r="F470" s="24">
        <v>6</v>
      </c>
      <c r="G470" s="24">
        <v>3</v>
      </c>
      <c r="H470" s="19">
        <v>0</v>
      </c>
      <c r="I470" s="19">
        <v>1</v>
      </c>
      <c r="T470" s="19">
        <f>Registro[[#This Row],[Mes 1]]+Registro[[#This Row],[Mes 2]]+Registro[[#This Row],[Mes 3]]</f>
        <v>1</v>
      </c>
      <c r="U470" s="19">
        <f>Registro[[#This Row],[Mes 4]]+Registro[[#This Row],[Mes 5]]+Registro[[#This Row],[Mes 6]]</f>
        <v>0</v>
      </c>
      <c r="V470" s="19">
        <f>Registro[[#This Row],[Mes 7]]+Registro[[#This Row],[Mes 8]]+Registro[[#This Row],[Mes 9]]</f>
        <v>0</v>
      </c>
      <c r="W470" s="20">
        <f>Registro[[#This Row],[Mes 10]]+Registro[[#This Row],[Mes 11]]+Registro[[#This Row],[Mes 12]]</f>
        <v>0</v>
      </c>
      <c r="X470" s="20">
        <f>SUM(Registro[[#This Row],[Trim I]],Registro[[#This Row],[Trim II]],Registro[[#This Row],[Trim III]],Registro[[#This Row],[Trim IV]])</f>
        <v>1</v>
      </c>
      <c r="Y470" s="22">
        <f>IFERROR((Registro[[#This Row],[Avance Total]]/Registro[[#This Row],[Meta]]),0)</f>
        <v>0.33333333333333331</v>
      </c>
      <c r="Z470" s="22">
        <f>IFERROR((Registro[[#This Row],[Avance Total]]-Registro[[#This Row],[Línea Base 2025]])/Registro[[#This Row],[Línea Base 2025]],0)</f>
        <v>-0.83333333333333337</v>
      </c>
      <c r="AA470" s="20">
        <v>2026</v>
      </c>
    </row>
    <row r="471" spans="1:27" hidden="1">
      <c r="A471" s="14">
        <v>1037</v>
      </c>
      <c r="B471" s="15" t="s">
        <v>75</v>
      </c>
      <c r="C471" s="16">
        <v>112</v>
      </c>
      <c r="D471" s="16" t="s">
        <v>173</v>
      </c>
      <c r="E471" s="17" t="s">
        <v>7</v>
      </c>
      <c r="F471" s="24">
        <v>3</v>
      </c>
      <c r="G471" s="24">
        <v>15</v>
      </c>
      <c r="H471" s="19">
        <v>0</v>
      </c>
      <c r="I471" s="19">
        <v>0</v>
      </c>
      <c r="T471" s="19">
        <f>Registro[[#This Row],[Mes 1]]+Registro[[#This Row],[Mes 2]]+Registro[[#This Row],[Mes 3]]</f>
        <v>0</v>
      </c>
      <c r="U471" s="19">
        <f>Registro[[#This Row],[Mes 4]]+Registro[[#This Row],[Mes 5]]+Registro[[#This Row],[Mes 6]]</f>
        <v>0</v>
      </c>
      <c r="V471" s="19">
        <f>Registro[[#This Row],[Mes 7]]+Registro[[#This Row],[Mes 8]]+Registro[[#This Row],[Mes 9]]</f>
        <v>0</v>
      </c>
      <c r="W471" s="20">
        <f>Registro[[#This Row],[Mes 10]]+Registro[[#This Row],[Mes 11]]+Registro[[#This Row],[Mes 12]]</f>
        <v>0</v>
      </c>
      <c r="X471" s="20">
        <f>SUM(Registro[[#This Row],[Trim I]],Registro[[#This Row],[Trim II]],Registro[[#This Row],[Trim III]],Registro[[#This Row],[Trim IV]])</f>
        <v>0</v>
      </c>
      <c r="Y471" s="22">
        <f>IFERROR((Registro[[#This Row],[Avance Total]]/Registro[[#This Row],[Meta]]),0)</f>
        <v>0</v>
      </c>
      <c r="Z471" s="22">
        <f>IFERROR((Registro[[#This Row],[Avance Total]]-Registro[[#This Row],[Línea Base 2025]])/Registro[[#This Row],[Línea Base 2025]],0)</f>
        <v>-1</v>
      </c>
      <c r="AA471" s="20">
        <v>2026</v>
      </c>
    </row>
    <row r="472" spans="1:27" hidden="1">
      <c r="A472" s="14">
        <v>1037</v>
      </c>
      <c r="B472" s="15" t="s">
        <v>75</v>
      </c>
      <c r="C472" s="16">
        <v>113</v>
      </c>
      <c r="D472" s="16" t="s">
        <v>179</v>
      </c>
      <c r="E472" s="17" t="s">
        <v>178</v>
      </c>
      <c r="F472" s="24">
        <v>6</v>
      </c>
      <c r="G472" s="24">
        <v>29</v>
      </c>
      <c r="H472" s="19">
        <v>0</v>
      </c>
      <c r="I472" s="19">
        <v>0</v>
      </c>
      <c r="T472" s="19">
        <f>Registro[[#This Row],[Mes 1]]+Registro[[#This Row],[Mes 2]]+Registro[[#This Row],[Mes 3]]</f>
        <v>0</v>
      </c>
      <c r="U472" s="19">
        <f>Registro[[#This Row],[Mes 4]]+Registro[[#This Row],[Mes 5]]+Registro[[#This Row],[Mes 6]]</f>
        <v>0</v>
      </c>
      <c r="V472" s="19">
        <f>Registro[[#This Row],[Mes 7]]+Registro[[#This Row],[Mes 8]]+Registro[[#This Row],[Mes 9]]</f>
        <v>0</v>
      </c>
      <c r="W472" s="20">
        <f>Registro[[#This Row],[Mes 10]]+Registro[[#This Row],[Mes 11]]+Registro[[#This Row],[Mes 12]]</f>
        <v>0</v>
      </c>
      <c r="X472" s="20">
        <f>SUM(Registro[[#This Row],[Trim I]],Registro[[#This Row],[Trim II]],Registro[[#This Row],[Trim III]],Registro[[#This Row],[Trim IV]])</f>
        <v>0</v>
      </c>
      <c r="Y472" s="22">
        <f>IFERROR((Registro[[#This Row],[Avance Total]]/Registro[[#This Row],[Meta]]),0)</f>
        <v>0</v>
      </c>
      <c r="Z472" s="22">
        <f>IFERROR((Registro[[#This Row],[Avance Total]]-Registro[[#This Row],[Línea Base 2025]])/Registro[[#This Row],[Línea Base 2025]],0)</f>
        <v>-1</v>
      </c>
      <c r="AA472" s="20">
        <v>2026</v>
      </c>
    </row>
    <row r="473" spans="1:27" hidden="1">
      <c r="A473" s="14">
        <v>1037</v>
      </c>
      <c r="B473" s="15" t="s">
        <v>75</v>
      </c>
      <c r="C473" s="16">
        <v>114</v>
      </c>
      <c r="D473" s="16" t="s">
        <v>181</v>
      </c>
      <c r="E473" s="17" t="s">
        <v>180</v>
      </c>
      <c r="F473" s="24">
        <v>0</v>
      </c>
      <c r="G473" s="24">
        <v>6.1499999999999995</v>
      </c>
      <c r="H473" s="19">
        <v>2</v>
      </c>
      <c r="I473" s="19">
        <v>0</v>
      </c>
      <c r="T473" s="19">
        <f>Registro[[#This Row],[Mes 1]]+Registro[[#This Row],[Mes 2]]+Registro[[#This Row],[Mes 3]]</f>
        <v>2</v>
      </c>
      <c r="U473" s="19">
        <f>Registro[[#This Row],[Mes 4]]+Registro[[#This Row],[Mes 5]]+Registro[[#This Row],[Mes 6]]</f>
        <v>0</v>
      </c>
      <c r="V473" s="19">
        <f>Registro[[#This Row],[Mes 7]]+Registro[[#This Row],[Mes 8]]+Registro[[#This Row],[Mes 9]]</f>
        <v>0</v>
      </c>
      <c r="W473" s="20">
        <f>Registro[[#This Row],[Mes 10]]+Registro[[#This Row],[Mes 11]]+Registro[[#This Row],[Mes 12]]</f>
        <v>0</v>
      </c>
      <c r="X473" s="20">
        <f>SUM(Registro[[#This Row],[Trim I]],Registro[[#This Row],[Trim II]],Registro[[#This Row],[Trim III]],Registro[[#This Row],[Trim IV]])</f>
        <v>2</v>
      </c>
      <c r="Y473" s="22">
        <f>IFERROR((Registro[[#This Row],[Avance Total]]/Registro[[#This Row],[Meta]]),0)</f>
        <v>0.32520325203252037</v>
      </c>
      <c r="Z473" s="22">
        <f>IFERROR((Registro[[#This Row],[Avance Total]]-Registro[[#This Row],[Línea Base 2025]])/Registro[[#This Row],[Línea Base 2025]],0)</f>
        <v>0</v>
      </c>
      <c r="AA473" s="20">
        <v>2026</v>
      </c>
    </row>
    <row r="474" spans="1:27" hidden="1">
      <c r="A474" s="14">
        <v>1037</v>
      </c>
      <c r="B474" s="15" t="s">
        <v>75</v>
      </c>
      <c r="C474" s="16">
        <v>115</v>
      </c>
      <c r="D474" s="16" t="s">
        <v>183</v>
      </c>
      <c r="E474" s="17" t="s">
        <v>182</v>
      </c>
      <c r="F474" s="24">
        <v>0</v>
      </c>
      <c r="G474" s="24">
        <v>5.5349999999999993</v>
      </c>
      <c r="H474" s="19">
        <v>0</v>
      </c>
      <c r="I474" s="19">
        <v>0</v>
      </c>
      <c r="T474" s="19">
        <f>Registro[[#This Row],[Mes 1]]+Registro[[#This Row],[Mes 2]]+Registro[[#This Row],[Mes 3]]</f>
        <v>0</v>
      </c>
      <c r="U474" s="19">
        <f>Registro[[#This Row],[Mes 4]]+Registro[[#This Row],[Mes 5]]+Registro[[#This Row],[Mes 6]]</f>
        <v>0</v>
      </c>
      <c r="V474" s="19">
        <f>Registro[[#This Row],[Mes 7]]+Registro[[#This Row],[Mes 8]]+Registro[[#This Row],[Mes 9]]</f>
        <v>0</v>
      </c>
      <c r="W474" s="20">
        <f>Registro[[#This Row],[Mes 10]]+Registro[[#This Row],[Mes 11]]+Registro[[#This Row],[Mes 12]]</f>
        <v>0</v>
      </c>
      <c r="X474" s="20">
        <f>SUM(Registro[[#This Row],[Trim I]],Registro[[#This Row],[Trim II]],Registro[[#This Row],[Trim III]],Registro[[#This Row],[Trim IV]])</f>
        <v>0</v>
      </c>
      <c r="Y474" s="22">
        <f>IFERROR((Registro[[#This Row],[Avance Total]]/Registro[[#This Row],[Meta]]),0)</f>
        <v>0</v>
      </c>
      <c r="Z474" s="22">
        <f>IFERROR((Registro[[#This Row],[Avance Total]]-Registro[[#This Row],[Línea Base 2025]])/Registro[[#This Row],[Línea Base 2025]],0)</f>
        <v>0</v>
      </c>
      <c r="AA474" s="20">
        <v>2026</v>
      </c>
    </row>
    <row r="475" spans="1:27">
      <c r="A475" s="14">
        <v>1037</v>
      </c>
      <c r="B475" s="15" t="s">
        <v>75</v>
      </c>
      <c r="C475" s="16">
        <v>116</v>
      </c>
      <c r="D475" s="16" t="s">
        <v>185</v>
      </c>
      <c r="E475" s="17" t="s">
        <v>184</v>
      </c>
      <c r="F475" s="24">
        <v>0</v>
      </c>
      <c r="G475" s="24">
        <v>0</v>
      </c>
      <c r="H475" s="19">
        <v>0</v>
      </c>
      <c r="I475" s="19">
        <v>0</v>
      </c>
      <c r="T475" s="19">
        <f>Registro[[#This Row],[Mes 1]]+Registro[[#This Row],[Mes 2]]+Registro[[#This Row],[Mes 3]]</f>
        <v>0</v>
      </c>
      <c r="U475" s="19">
        <f>Registro[[#This Row],[Mes 4]]+Registro[[#This Row],[Mes 5]]+Registro[[#This Row],[Mes 6]]</f>
        <v>0</v>
      </c>
      <c r="V475" s="19">
        <f>Registro[[#This Row],[Mes 7]]+Registro[[#This Row],[Mes 8]]+Registro[[#This Row],[Mes 9]]</f>
        <v>0</v>
      </c>
      <c r="W475" s="20">
        <f>Registro[[#This Row],[Mes 10]]+Registro[[#This Row],[Mes 11]]+Registro[[#This Row],[Mes 12]]</f>
        <v>0</v>
      </c>
      <c r="X475" s="20">
        <f>SUM(Registro[[#This Row],[Trim I]],Registro[[#This Row],[Trim II]],Registro[[#This Row],[Trim III]],Registro[[#This Row],[Trim IV]])</f>
        <v>0</v>
      </c>
      <c r="Y475" s="22">
        <f>IFERROR((Registro[[#This Row],[Avance Total]]/Registro[[#This Row],[Meta]]),0)</f>
        <v>0</v>
      </c>
      <c r="Z475" s="22">
        <f>IFERROR((Registro[[#This Row],[Avance Total]]-Registro[[#This Row],[Línea Base 2025]])/Registro[[#This Row],[Línea Base 2025]],0)</f>
        <v>0</v>
      </c>
      <c r="AA475" s="20">
        <v>2026</v>
      </c>
    </row>
    <row r="476" spans="1:27" hidden="1">
      <c r="A476" s="14">
        <v>1037</v>
      </c>
      <c r="B476" s="15" t="s">
        <v>75</v>
      </c>
      <c r="C476" s="16">
        <v>117</v>
      </c>
      <c r="D476" s="16" t="s">
        <v>187</v>
      </c>
      <c r="E476" s="17" t="s">
        <v>186</v>
      </c>
      <c r="F476" s="24">
        <v>0</v>
      </c>
      <c r="G476" s="24">
        <v>1</v>
      </c>
      <c r="H476" s="19">
        <v>0</v>
      </c>
      <c r="I476" s="19">
        <v>0</v>
      </c>
      <c r="T476" s="19">
        <f>Registro[[#This Row],[Mes 1]]+Registro[[#This Row],[Mes 2]]+Registro[[#This Row],[Mes 3]]</f>
        <v>0</v>
      </c>
      <c r="U476" s="19">
        <f>Registro[[#This Row],[Mes 4]]+Registro[[#This Row],[Mes 5]]+Registro[[#This Row],[Mes 6]]</f>
        <v>0</v>
      </c>
      <c r="V476" s="19">
        <f>Registro[[#This Row],[Mes 7]]+Registro[[#This Row],[Mes 8]]+Registro[[#This Row],[Mes 9]]</f>
        <v>0</v>
      </c>
      <c r="W476" s="20">
        <f>Registro[[#This Row],[Mes 10]]+Registro[[#This Row],[Mes 11]]+Registro[[#This Row],[Mes 12]]</f>
        <v>0</v>
      </c>
      <c r="X476" s="20">
        <f>SUM(Registro[[#This Row],[Trim I]],Registro[[#This Row],[Trim II]],Registro[[#This Row],[Trim III]],Registro[[#This Row],[Trim IV]])</f>
        <v>0</v>
      </c>
      <c r="Y476" s="22">
        <f>IFERROR((Registro[[#This Row],[Avance Total]]/Registro[[#This Row],[Meta]]),0)</f>
        <v>0</v>
      </c>
      <c r="Z476" s="22">
        <f>IFERROR((Registro[[#This Row],[Avance Total]]-Registro[[#This Row],[Línea Base 2025]])/Registro[[#This Row],[Línea Base 2025]],0)</f>
        <v>0</v>
      </c>
      <c r="AA476" s="20">
        <v>2026</v>
      </c>
    </row>
    <row r="477" spans="1:27" hidden="1">
      <c r="A477" s="14">
        <v>1037</v>
      </c>
      <c r="B477" s="15" t="s">
        <v>75</v>
      </c>
      <c r="C477" s="16">
        <v>118</v>
      </c>
      <c r="D477" s="16" t="s">
        <v>188</v>
      </c>
      <c r="E477" s="17" t="s">
        <v>9</v>
      </c>
      <c r="F477" s="24">
        <v>0</v>
      </c>
      <c r="G477" s="24">
        <v>0</v>
      </c>
      <c r="H477" s="19">
        <v>0</v>
      </c>
      <c r="I477" s="19">
        <v>0</v>
      </c>
      <c r="T477" s="19">
        <f>Registro[[#This Row],[Mes 1]]+Registro[[#This Row],[Mes 2]]+Registro[[#This Row],[Mes 3]]</f>
        <v>0</v>
      </c>
      <c r="U477" s="19">
        <f>Registro[[#This Row],[Mes 4]]+Registro[[#This Row],[Mes 5]]+Registro[[#This Row],[Mes 6]]</f>
        <v>0</v>
      </c>
      <c r="V477" s="19">
        <f>Registro[[#This Row],[Mes 7]]+Registro[[#This Row],[Mes 8]]+Registro[[#This Row],[Mes 9]]</f>
        <v>0</v>
      </c>
      <c r="W477" s="20">
        <f>Registro[[#This Row],[Mes 10]]+Registro[[#This Row],[Mes 11]]+Registro[[#This Row],[Mes 12]]</f>
        <v>0</v>
      </c>
      <c r="X477" s="20">
        <f>SUM(Registro[[#This Row],[Trim I]],Registro[[#This Row],[Trim II]],Registro[[#This Row],[Trim III]],Registro[[#This Row],[Trim IV]])</f>
        <v>0</v>
      </c>
      <c r="Y477" s="22">
        <f>IFERROR((Registro[[#This Row],[Avance Total]]/Registro[[#This Row],[Meta]]),0)</f>
        <v>0</v>
      </c>
      <c r="Z477" s="22">
        <f>IFERROR((Registro[[#This Row],[Avance Total]]-Registro[[#This Row],[Línea Base 2025]])/Registro[[#This Row],[Línea Base 2025]],0)</f>
        <v>0</v>
      </c>
      <c r="AA477" s="20">
        <v>2026</v>
      </c>
    </row>
    <row r="478" spans="1:27" hidden="1">
      <c r="A478" s="14">
        <v>1037</v>
      </c>
      <c r="B478" s="15" t="s">
        <v>75</v>
      </c>
      <c r="C478" s="16">
        <v>119</v>
      </c>
      <c r="D478" s="16" t="s">
        <v>190</v>
      </c>
      <c r="E478" s="17" t="s">
        <v>189</v>
      </c>
      <c r="F478" s="24">
        <v>0</v>
      </c>
      <c r="G478" s="24">
        <v>0</v>
      </c>
      <c r="H478" s="19">
        <v>0</v>
      </c>
      <c r="I478" s="19">
        <v>0</v>
      </c>
      <c r="T478" s="19">
        <f>Registro[[#This Row],[Mes 1]]+Registro[[#This Row],[Mes 2]]+Registro[[#This Row],[Mes 3]]</f>
        <v>0</v>
      </c>
      <c r="U478" s="19">
        <f>Registro[[#This Row],[Mes 4]]+Registro[[#This Row],[Mes 5]]+Registro[[#This Row],[Mes 6]]</f>
        <v>0</v>
      </c>
      <c r="V478" s="19">
        <f>Registro[[#This Row],[Mes 7]]+Registro[[#This Row],[Mes 8]]+Registro[[#This Row],[Mes 9]]</f>
        <v>0</v>
      </c>
      <c r="W478" s="20">
        <f>Registro[[#This Row],[Mes 10]]+Registro[[#This Row],[Mes 11]]+Registro[[#This Row],[Mes 12]]</f>
        <v>0</v>
      </c>
      <c r="X478" s="20">
        <f>SUM(Registro[[#This Row],[Trim I]],Registro[[#This Row],[Trim II]],Registro[[#This Row],[Trim III]],Registro[[#This Row],[Trim IV]])</f>
        <v>0</v>
      </c>
      <c r="Y478" s="22">
        <f>IFERROR((Registro[[#This Row],[Avance Total]]/Registro[[#This Row],[Meta]]),0)</f>
        <v>0</v>
      </c>
      <c r="Z478" s="22">
        <f>IFERROR((Registro[[#This Row],[Avance Total]]-Registro[[#This Row],[Línea Base 2025]])/Registro[[#This Row],[Línea Base 2025]],0)</f>
        <v>0</v>
      </c>
      <c r="AA478" s="20">
        <v>2026</v>
      </c>
    </row>
    <row r="479" spans="1:27" hidden="1">
      <c r="A479" s="14">
        <v>1037</v>
      </c>
      <c r="B479" s="15" t="s">
        <v>75</v>
      </c>
      <c r="C479" s="16">
        <v>120</v>
      </c>
      <c r="D479" s="16" t="s">
        <v>192</v>
      </c>
      <c r="E479" s="17" t="s">
        <v>191</v>
      </c>
      <c r="F479" s="24">
        <v>0</v>
      </c>
      <c r="G479" s="24">
        <v>7</v>
      </c>
      <c r="H479" s="19">
        <v>0</v>
      </c>
      <c r="I479" s="19">
        <v>0</v>
      </c>
      <c r="T479" s="19">
        <f>Registro[[#This Row],[Mes 1]]+Registro[[#This Row],[Mes 2]]+Registro[[#This Row],[Mes 3]]</f>
        <v>0</v>
      </c>
      <c r="U479" s="19">
        <f>Registro[[#This Row],[Mes 4]]+Registro[[#This Row],[Mes 5]]+Registro[[#This Row],[Mes 6]]</f>
        <v>0</v>
      </c>
      <c r="V479" s="19">
        <f>Registro[[#This Row],[Mes 7]]+Registro[[#This Row],[Mes 8]]+Registro[[#This Row],[Mes 9]]</f>
        <v>0</v>
      </c>
      <c r="W479" s="20">
        <f>Registro[[#This Row],[Mes 10]]+Registro[[#This Row],[Mes 11]]+Registro[[#This Row],[Mes 12]]</f>
        <v>0</v>
      </c>
      <c r="X479" s="20">
        <f>SUM(Registro[[#This Row],[Trim I]],Registro[[#This Row],[Trim II]],Registro[[#This Row],[Trim III]],Registro[[#This Row],[Trim IV]])</f>
        <v>0</v>
      </c>
      <c r="Y479" s="22">
        <f>IFERROR((Registro[[#This Row],[Avance Total]]/Registro[[#This Row],[Meta]]),0)</f>
        <v>0</v>
      </c>
      <c r="Z479" s="22">
        <f>IFERROR((Registro[[#This Row],[Avance Total]]-Registro[[#This Row],[Línea Base 2025]])/Registro[[#This Row],[Línea Base 2025]],0)</f>
        <v>0</v>
      </c>
      <c r="AA479" s="20">
        <v>2026</v>
      </c>
    </row>
    <row r="480" spans="1:27" hidden="1">
      <c r="A480" s="14">
        <v>1037</v>
      </c>
      <c r="B480" s="15" t="s">
        <v>75</v>
      </c>
      <c r="C480" s="16">
        <v>121</v>
      </c>
      <c r="D480" s="16" t="s">
        <v>194</v>
      </c>
      <c r="E480" s="17" t="s">
        <v>193</v>
      </c>
      <c r="F480" s="24">
        <v>0</v>
      </c>
      <c r="G480" s="24">
        <v>2</v>
      </c>
      <c r="H480" s="19">
        <v>0</v>
      </c>
      <c r="I480" s="19">
        <v>0</v>
      </c>
      <c r="T480" s="19">
        <f>Registro[[#This Row],[Mes 1]]+Registro[[#This Row],[Mes 2]]+Registro[[#This Row],[Mes 3]]</f>
        <v>0</v>
      </c>
      <c r="U480" s="19">
        <f>Registro[[#This Row],[Mes 4]]+Registro[[#This Row],[Mes 5]]+Registro[[#This Row],[Mes 6]]</f>
        <v>0</v>
      </c>
      <c r="V480" s="19">
        <f>Registro[[#This Row],[Mes 7]]+Registro[[#This Row],[Mes 8]]+Registro[[#This Row],[Mes 9]]</f>
        <v>0</v>
      </c>
      <c r="W480" s="20">
        <f>Registro[[#This Row],[Mes 10]]+Registro[[#This Row],[Mes 11]]+Registro[[#This Row],[Mes 12]]</f>
        <v>0</v>
      </c>
      <c r="X480" s="20">
        <f>SUM(Registro[[#This Row],[Trim I]],Registro[[#This Row],[Trim II]],Registro[[#This Row],[Trim III]],Registro[[#This Row],[Trim IV]])</f>
        <v>0</v>
      </c>
      <c r="Y480" s="22">
        <f>IFERROR((Registro[[#This Row],[Avance Total]]/Registro[[#This Row],[Meta]]),0)</f>
        <v>0</v>
      </c>
      <c r="Z480" s="22">
        <f>IFERROR((Registro[[#This Row],[Avance Total]]-Registro[[#This Row],[Línea Base 2025]])/Registro[[#This Row],[Línea Base 2025]],0)</f>
        <v>0</v>
      </c>
      <c r="AA480" s="20">
        <v>2026</v>
      </c>
    </row>
    <row r="481" spans="1:27" hidden="1">
      <c r="A481" s="14">
        <v>1037</v>
      </c>
      <c r="B481" s="15" t="s">
        <v>75</v>
      </c>
      <c r="C481" s="16">
        <v>122</v>
      </c>
      <c r="D481" s="16" t="s">
        <v>196</v>
      </c>
      <c r="E481" s="17" t="s">
        <v>195</v>
      </c>
      <c r="F481" s="24">
        <v>1</v>
      </c>
      <c r="G481" s="24">
        <v>5</v>
      </c>
      <c r="H481" s="19">
        <v>0</v>
      </c>
      <c r="I481" s="19">
        <v>0</v>
      </c>
      <c r="T481" s="19">
        <f>Registro[[#This Row],[Mes 1]]+Registro[[#This Row],[Mes 2]]+Registro[[#This Row],[Mes 3]]</f>
        <v>0</v>
      </c>
      <c r="U481" s="19">
        <f>Registro[[#This Row],[Mes 4]]+Registro[[#This Row],[Mes 5]]+Registro[[#This Row],[Mes 6]]</f>
        <v>0</v>
      </c>
      <c r="V481" s="19">
        <f>Registro[[#This Row],[Mes 7]]+Registro[[#This Row],[Mes 8]]+Registro[[#This Row],[Mes 9]]</f>
        <v>0</v>
      </c>
      <c r="W481" s="20">
        <f>Registro[[#This Row],[Mes 10]]+Registro[[#This Row],[Mes 11]]+Registro[[#This Row],[Mes 12]]</f>
        <v>0</v>
      </c>
      <c r="X481" s="20">
        <f>SUM(Registro[[#This Row],[Trim I]],Registro[[#This Row],[Trim II]],Registro[[#This Row],[Trim III]],Registro[[#This Row],[Trim IV]])</f>
        <v>0</v>
      </c>
      <c r="Y481" s="22">
        <f>IFERROR((Registro[[#This Row],[Avance Total]]/Registro[[#This Row],[Meta]]),0)</f>
        <v>0</v>
      </c>
      <c r="Z481" s="22">
        <f>IFERROR((Registro[[#This Row],[Avance Total]]-Registro[[#This Row],[Línea Base 2025]])/Registro[[#This Row],[Línea Base 2025]],0)</f>
        <v>-1</v>
      </c>
      <c r="AA481" s="20">
        <v>2026</v>
      </c>
    </row>
    <row r="482" spans="1:27" hidden="1">
      <c r="A482" s="14">
        <v>1037</v>
      </c>
      <c r="B482" s="15" t="s">
        <v>75</v>
      </c>
      <c r="C482" s="16">
        <v>123</v>
      </c>
      <c r="D482" s="16" t="s">
        <v>198</v>
      </c>
      <c r="E482" s="17" t="s">
        <v>197</v>
      </c>
      <c r="F482" s="24">
        <v>0</v>
      </c>
      <c r="G482" s="24">
        <v>2</v>
      </c>
      <c r="H482" s="19">
        <v>0</v>
      </c>
      <c r="I482" s="19">
        <v>0</v>
      </c>
      <c r="T482" s="19">
        <f>Registro[[#This Row],[Mes 1]]+Registro[[#This Row],[Mes 2]]+Registro[[#This Row],[Mes 3]]</f>
        <v>0</v>
      </c>
      <c r="U482" s="19">
        <f>Registro[[#This Row],[Mes 4]]+Registro[[#This Row],[Mes 5]]+Registro[[#This Row],[Mes 6]]</f>
        <v>0</v>
      </c>
      <c r="V482" s="19">
        <f>Registro[[#This Row],[Mes 7]]+Registro[[#This Row],[Mes 8]]+Registro[[#This Row],[Mes 9]]</f>
        <v>0</v>
      </c>
      <c r="W482" s="20">
        <f>Registro[[#This Row],[Mes 10]]+Registro[[#This Row],[Mes 11]]+Registro[[#This Row],[Mes 12]]</f>
        <v>0</v>
      </c>
      <c r="X482" s="20">
        <f>SUM(Registro[[#This Row],[Trim I]],Registro[[#This Row],[Trim II]],Registro[[#This Row],[Trim III]],Registro[[#This Row],[Trim IV]])</f>
        <v>0</v>
      </c>
      <c r="Y482" s="22">
        <f>IFERROR((Registro[[#This Row],[Avance Total]]/Registro[[#This Row],[Meta]]),0)</f>
        <v>0</v>
      </c>
      <c r="Z482" s="22">
        <f>IFERROR((Registro[[#This Row],[Avance Total]]-Registro[[#This Row],[Línea Base 2025]])/Registro[[#This Row],[Línea Base 2025]],0)</f>
        <v>0</v>
      </c>
      <c r="AA482" s="20">
        <v>2026</v>
      </c>
    </row>
    <row r="483" spans="1:27" hidden="1">
      <c r="A483" s="14">
        <v>1038</v>
      </c>
      <c r="B483" s="15" t="s">
        <v>76</v>
      </c>
      <c r="C483" s="16">
        <v>111</v>
      </c>
      <c r="D483" s="16" t="s">
        <v>171</v>
      </c>
      <c r="E483" s="17" t="s">
        <v>172</v>
      </c>
      <c r="F483" s="24">
        <v>13</v>
      </c>
      <c r="G483" s="24">
        <v>28</v>
      </c>
      <c r="H483" s="19">
        <v>0</v>
      </c>
      <c r="I483" s="19">
        <v>0</v>
      </c>
      <c r="T483" s="19">
        <f>Registro[[#This Row],[Mes 1]]+Registro[[#This Row],[Mes 2]]+Registro[[#This Row],[Mes 3]]</f>
        <v>0</v>
      </c>
      <c r="U483" s="19">
        <f>Registro[[#This Row],[Mes 4]]+Registro[[#This Row],[Mes 5]]+Registro[[#This Row],[Mes 6]]</f>
        <v>0</v>
      </c>
      <c r="V483" s="19">
        <f>Registro[[#This Row],[Mes 7]]+Registro[[#This Row],[Mes 8]]+Registro[[#This Row],[Mes 9]]</f>
        <v>0</v>
      </c>
      <c r="W483" s="20">
        <f>Registro[[#This Row],[Mes 10]]+Registro[[#This Row],[Mes 11]]+Registro[[#This Row],[Mes 12]]</f>
        <v>0</v>
      </c>
      <c r="X483" s="20">
        <f>SUM(Registro[[#This Row],[Trim I]],Registro[[#This Row],[Trim II]],Registro[[#This Row],[Trim III]],Registro[[#This Row],[Trim IV]])</f>
        <v>0</v>
      </c>
      <c r="Y483" s="22">
        <f>IFERROR((Registro[[#This Row],[Avance Total]]/Registro[[#This Row],[Meta]]),0)</f>
        <v>0</v>
      </c>
      <c r="Z483" s="22">
        <f>IFERROR((Registro[[#This Row],[Avance Total]]-Registro[[#This Row],[Línea Base 2025]])/Registro[[#This Row],[Línea Base 2025]],0)</f>
        <v>-1</v>
      </c>
      <c r="AA483" s="20">
        <v>2026</v>
      </c>
    </row>
    <row r="484" spans="1:27" hidden="1">
      <c r="A484" s="14">
        <v>1038</v>
      </c>
      <c r="B484" s="15" t="s">
        <v>76</v>
      </c>
      <c r="C484" s="16">
        <v>112</v>
      </c>
      <c r="D484" s="16" t="s">
        <v>173</v>
      </c>
      <c r="E484" s="17" t="s">
        <v>7</v>
      </c>
      <c r="F484" s="24">
        <v>9</v>
      </c>
      <c r="G484" s="19">
        <v>40</v>
      </c>
      <c r="H484" s="19">
        <v>0</v>
      </c>
      <c r="I484" s="19">
        <v>0</v>
      </c>
      <c r="T484" s="19">
        <f>Registro[[#This Row],[Mes 1]]+Registro[[#This Row],[Mes 2]]+Registro[[#This Row],[Mes 3]]</f>
        <v>0</v>
      </c>
      <c r="U484" s="19">
        <f>Registro[[#This Row],[Mes 4]]+Registro[[#This Row],[Mes 5]]+Registro[[#This Row],[Mes 6]]</f>
        <v>0</v>
      </c>
      <c r="V484" s="19">
        <f>Registro[[#This Row],[Mes 7]]+Registro[[#This Row],[Mes 8]]+Registro[[#This Row],[Mes 9]]</f>
        <v>0</v>
      </c>
      <c r="W484" s="20">
        <f>Registro[[#This Row],[Mes 10]]+Registro[[#This Row],[Mes 11]]+Registro[[#This Row],[Mes 12]]</f>
        <v>0</v>
      </c>
      <c r="X484" s="20">
        <f>SUM(Registro[[#This Row],[Trim I]],Registro[[#This Row],[Trim II]],Registro[[#This Row],[Trim III]],Registro[[#This Row],[Trim IV]])</f>
        <v>0</v>
      </c>
      <c r="Y484" s="22">
        <f>IFERROR((Registro[[#This Row],[Avance Total]]/Registro[[#This Row],[Meta]]),0)</f>
        <v>0</v>
      </c>
      <c r="Z484" s="22">
        <f>IFERROR((Registro[[#This Row],[Avance Total]]-Registro[[#This Row],[Línea Base 2025]])/Registro[[#This Row],[Línea Base 2025]],0)</f>
        <v>-1</v>
      </c>
      <c r="AA484" s="20">
        <v>2026</v>
      </c>
    </row>
    <row r="485" spans="1:27" hidden="1">
      <c r="A485" s="14">
        <v>1038</v>
      </c>
      <c r="B485" s="15" t="s">
        <v>76</v>
      </c>
      <c r="C485" s="16">
        <v>113</v>
      </c>
      <c r="D485" s="16" t="s">
        <v>179</v>
      </c>
      <c r="E485" s="17" t="s">
        <v>178</v>
      </c>
      <c r="F485" s="24">
        <v>11</v>
      </c>
      <c r="G485" s="19">
        <v>91</v>
      </c>
      <c r="H485" s="19">
        <v>0</v>
      </c>
      <c r="I485" s="19">
        <v>0</v>
      </c>
      <c r="T485" s="19">
        <f>Registro[[#This Row],[Mes 1]]+Registro[[#This Row],[Mes 2]]+Registro[[#This Row],[Mes 3]]</f>
        <v>0</v>
      </c>
      <c r="U485" s="19">
        <f>Registro[[#This Row],[Mes 4]]+Registro[[#This Row],[Mes 5]]+Registro[[#This Row],[Mes 6]]</f>
        <v>0</v>
      </c>
      <c r="V485" s="19">
        <f>Registro[[#This Row],[Mes 7]]+Registro[[#This Row],[Mes 8]]+Registro[[#This Row],[Mes 9]]</f>
        <v>0</v>
      </c>
      <c r="W485" s="20">
        <f>Registro[[#This Row],[Mes 10]]+Registro[[#This Row],[Mes 11]]+Registro[[#This Row],[Mes 12]]</f>
        <v>0</v>
      </c>
      <c r="X485" s="20">
        <f>SUM(Registro[[#This Row],[Trim I]],Registro[[#This Row],[Trim II]],Registro[[#This Row],[Trim III]],Registro[[#This Row],[Trim IV]])</f>
        <v>0</v>
      </c>
      <c r="Y485" s="22">
        <f>IFERROR((Registro[[#This Row],[Avance Total]]/Registro[[#This Row],[Meta]]),0)</f>
        <v>0</v>
      </c>
      <c r="Z485" s="22">
        <f>IFERROR((Registro[[#This Row],[Avance Total]]-Registro[[#This Row],[Línea Base 2025]])/Registro[[#This Row],[Línea Base 2025]],0)</f>
        <v>-1</v>
      </c>
      <c r="AA485" s="20">
        <v>2026</v>
      </c>
    </row>
    <row r="486" spans="1:27" hidden="1">
      <c r="A486" s="14">
        <v>1038</v>
      </c>
      <c r="B486" s="15" t="s">
        <v>76</v>
      </c>
      <c r="C486" s="16">
        <v>114</v>
      </c>
      <c r="D486" s="16" t="s">
        <v>181</v>
      </c>
      <c r="E486" s="17" t="s">
        <v>180</v>
      </c>
      <c r="F486" s="24">
        <v>0</v>
      </c>
      <c r="G486" s="19">
        <v>12</v>
      </c>
      <c r="H486" s="19">
        <v>0</v>
      </c>
      <c r="I486" s="19">
        <v>0</v>
      </c>
      <c r="T486" s="19">
        <f>Registro[[#This Row],[Mes 1]]+Registro[[#This Row],[Mes 2]]+Registro[[#This Row],[Mes 3]]</f>
        <v>0</v>
      </c>
      <c r="U486" s="19">
        <f>Registro[[#This Row],[Mes 4]]+Registro[[#This Row],[Mes 5]]+Registro[[#This Row],[Mes 6]]</f>
        <v>0</v>
      </c>
      <c r="V486" s="19">
        <f>Registro[[#This Row],[Mes 7]]+Registro[[#This Row],[Mes 8]]+Registro[[#This Row],[Mes 9]]</f>
        <v>0</v>
      </c>
      <c r="W486" s="20">
        <f>Registro[[#This Row],[Mes 10]]+Registro[[#This Row],[Mes 11]]+Registro[[#This Row],[Mes 12]]</f>
        <v>0</v>
      </c>
      <c r="X486" s="20">
        <f>SUM(Registro[[#This Row],[Trim I]],Registro[[#This Row],[Trim II]],Registro[[#This Row],[Trim III]],Registro[[#This Row],[Trim IV]])</f>
        <v>0</v>
      </c>
      <c r="Y486" s="22">
        <f>IFERROR((Registro[[#This Row],[Avance Total]]/Registro[[#This Row],[Meta]]),0)</f>
        <v>0</v>
      </c>
      <c r="Z486" s="22">
        <f>IFERROR((Registro[[#This Row],[Avance Total]]-Registro[[#This Row],[Línea Base 2025]])/Registro[[#This Row],[Línea Base 2025]],0)</f>
        <v>0</v>
      </c>
      <c r="AA486" s="20">
        <v>2026</v>
      </c>
    </row>
    <row r="487" spans="1:27" hidden="1">
      <c r="A487" s="14">
        <v>1038</v>
      </c>
      <c r="B487" s="15" t="s">
        <v>76</v>
      </c>
      <c r="C487" s="16">
        <v>115</v>
      </c>
      <c r="D487" s="16" t="s">
        <v>183</v>
      </c>
      <c r="E487" s="17" t="s">
        <v>182</v>
      </c>
      <c r="F487" s="24">
        <v>2</v>
      </c>
      <c r="G487" s="19">
        <v>11</v>
      </c>
      <c r="H487" s="19">
        <v>0</v>
      </c>
      <c r="I487" s="19">
        <v>0</v>
      </c>
      <c r="T487" s="19">
        <f>Registro[[#This Row],[Mes 1]]+Registro[[#This Row],[Mes 2]]+Registro[[#This Row],[Mes 3]]</f>
        <v>0</v>
      </c>
      <c r="U487" s="19">
        <f>Registro[[#This Row],[Mes 4]]+Registro[[#This Row],[Mes 5]]+Registro[[#This Row],[Mes 6]]</f>
        <v>0</v>
      </c>
      <c r="V487" s="19">
        <f>Registro[[#This Row],[Mes 7]]+Registro[[#This Row],[Mes 8]]+Registro[[#This Row],[Mes 9]]</f>
        <v>0</v>
      </c>
      <c r="W487" s="20">
        <f>Registro[[#This Row],[Mes 10]]+Registro[[#This Row],[Mes 11]]+Registro[[#This Row],[Mes 12]]</f>
        <v>0</v>
      </c>
      <c r="X487" s="20">
        <f>SUM(Registro[[#This Row],[Trim I]],Registro[[#This Row],[Trim II]],Registro[[#This Row],[Trim III]],Registro[[#This Row],[Trim IV]])</f>
        <v>0</v>
      </c>
      <c r="Y487" s="22">
        <f>IFERROR((Registro[[#This Row],[Avance Total]]/Registro[[#This Row],[Meta]]),0)</f>
        <v>0</v>
      </c>
      <c r="Z487" s="22">
        <f>IFERROR((Registro[[#This Row],[Avance Total]]-Registro[[#This Row],[Línea Base 2025]])/Registro[[#This Row],[Línea Base 2025]],0)</f>
        <v>-1</v>
      </c>
      <c r="AA487" s="20">
        <v>2026</v>
      </c>
    </row>
    <row r="488" spans="1:27">
      <c r="A488" s="14">
        <v>1038</v>
      </c>
      <c r="B488" s="15" t="s">
        <v>76</v>
      </c>
      <c r="C488" s="16">
        <v>116</v>
      </c>
      <c r="D488" s="16" t="s">
        <v>185</v>
      </c>
      <c r="E488" s="17" t="s">
        <v>184</v>
      </c>
      <c r="F488" s="24">
        <v>2</v>
      </c>
      <c r="G488" s="19">
        <v>2</v>
      </c>
      <c r="H488" s="19">
        <v>0</v>
      </c>
      <c r="I488" s="19">
        <v>0</v>
      </c>
      <c r="T488" s="19">
        <f>Registro[[#This Row],[Mes 1]]+Registro[[#This Row],[Mes 2]]+Registro[[#This Row],[Mes 3]]</f>
        <v>0</v>
      </c>
      <c r="U488" s="19">
        <f>Registro[[#This Row],[Mes 4]]+Registro[[#This Row],[Mes 5]]+Registro[[#This Row],[Mes 6]]</f>
        <v>0</v>
      </c>
      <c r="V488" s="19">
        <f>Registro[[#This Row],[Mes 7]]+Registro[[#This Row],[Mes 8]]+Registro[[#This Row],[Mes 9]]</f>
        <v>0</v>
      </c>
      <c r="W488" s="20">
        <f>Registro[[#This Row],[Mes 10]]+Registro[[#This Row],[Mes 11]]+Registro[[#This Row],[Mes 12]]</f>
        <v>0</v>
      </c>
      <c r="X488" s="20">
        <f>SUM(Registro[[#This Row],[Trim I]],Registro[[#This Row],[Trim II]],Registro[[#This Row],[Trim III]],Registro[[#This Row],[Trim IV]])</f>
        <v>0</v>
      </c>
      <c r="Y488" s="22">
        <f>IFERROR((Registro[[#This Row],[Avance Total]]/Registro[[#This Row],[Meta]]),0)</f>
        <v>0</v>
      </c>
      <c r="Z488" s="22">
        <f>IFERROR((Registro[[#This Row],[Avance Total]]-Registro[[#This Row],[Línea Base 2025]])/Registro[[#This Row],[Línea Base 2025]],0)</f>
        <v>-1</v>
      </c>
      <c r="AA488" s="20">
        <v>2026</v>
      </c>
    </row>
    <row r="489" spans="1:27" hidden="1">
      <c r="A489" s="14">
        <v>1038</v>
      </c>
      <c r="B489" s="15" t="s">
        <v>76</v>
      </c>
      <c r="C489" s="16">
        <v>117</v>
      </c>
      <c r="D489" s="16" t="s">
        <v>187</v>
      </c>
      <c r="E489" s="17" t="s">
        <v>186</v>
      </c>
      <c r="F489" s="24">
        <v>1</v>
      </c>
      <c r="G489" s="19">
        <v>1</v>
      </c>
      <c r="H489" s="19">
        <v>0</v>
      </c>
      <c r="I489" s="19">
        <v>0</v>
      </c>
      <c r="T489" s="19">
        <f>Registro[[#This Row],[Mes 1]]+Registro[[#This Row],[Mes 2]]+Registro[[#This Row],[Mes 3]]</f>
        <v>0</v>
      </c>
      <c r="U489" s="19">
        <f>Registro[[#This Row],[Mes 4]]+Registro[[#This Row],[Mes 5]]+Registro[[#This Row],[Mes 6]]</f>
        <v>0</v>
      </c>
      <c r="V489" s="19">
        <f>Registro[[#This Row],[Mes 7]]+Registro[[#This Row],[Mes 8]]+Registro[[#This Row],[Mes 9]]</f>
        <v>0</v>
      </c>
      <c r="W489" s="20">
        <f>Registro[[#This Row],[Mes 10]]+Registro[[#This Row],[Mes 11]]+Registro[[#This Row],[Mes 12]]</f>
        <v>0</v>
      </c>
      <c r="X489" s="20">
        <f>SUM(Registro[[#This Row],[Trim I]],Registro[[#This Row],[Trim II]],Registro[[#This Row],[Trim III]],Registro[[#This Row],[Trim IV]])</f>
        <v>0</v>
      </c>
      <c r="Y489" s="22">
        <f>IFERROR((Registro[[#This Row],[Avance Total]]/Registro[[#This Row],[Meta]]),0)</f>
        <v>0</v>
      </c>
      <c r="Z489" s="22">
        <f>IFERROR((Registro[[#This Row],[Avance Total]]-Registro[[#This Row],[Línea Base 2025]])/Registro[[#This Row],[Línea Base 2025]],0)</f>
        <v>-1</v>
      </c>
      <c r="AA489" s="20">
        <v>2026</v>
      </c>
    </row>
    <row r="490" spans="1:27" hidden="1">
      <c r="A490" s="14">
        <v>1038</v>
      </c>
      <c r="B490" s="15" t="s">
        <v>76</v>
      </c>
      <c r="C490" s="16">
        <v>118</v>
      </c>
      <c r="D490" s="16" t="s">
        <v>188</v>
      </c>
      <c r="E490" s="17" t="s">
        <v>9</v>
      </c>
      <c r="F490" s="24">
        <v>0</v>
      </c>
      <c r="G490" s="19">
        <v>4</v>
      </c>
      <c r="H490" s="19">
        <v>0</v>
      </c>
      <c r="I490" s="19">
        <v>0</v>
      </c>
      <c r="T490" s="19">
        <f>Registro[[#This Row],[Mes 1]]+Registro[[#This Row],[Mes 2]]+Registro[[#This Row],[Mes 3]]</f>
        <v>0</v>
      </c>
      <c r="U490" s="19">
        <f>Registro[[#This Row],[Mes 4]]+Registro[[#This Row],[Mes 5]]+Registro[[#This Row],[Mes 6]]</f>
        <v>0</v>
      </c>
      <c r="V490" s="19">
        <f>Registro[[#This Row],[Mes 7]]+Registro[[#This Row],[Mes 8]]+Registro[[#This Row],[Mes 9]]</f>
        <v>0</v>
      </c>
      <c r="W490" s="20">
        <f>Registro[[#This Row],[Mes 10]]+Registro[[#This Row],[Mes 11]]+Registro[[#This Row],[Mes 12]]</f>
        <v>0</v>
      </c>
      <c r="X490" s="20">
        <f>SUM(Registro[[#This Row],[Trim I]],Registro[[#This Row],[Trim II]],Registro[[#This Row],[Trim III]],Registro[[#This Row],[Trim IV]])</f>
        <v>0</v>
      </c>
      <c r="Y490" s="22">
        <f>IFERROR((Registro[[#This Row],[Avance Total]]/Registro[[#This Row],[Meta]]),0)</f>
        <v>0</v>
      </c>
      <c r="Z490" s="22">
        <f>IFERROR((Registro[[#This Row],[Avance Total]]-Registro[[#This Row],[Línea Base 2025]])/Registro[[#This Row],[Línea Base 2025]],0)</f>
        <v>0</v>
      </c>
      <c r="AA490" s="20">
        <v>2026</v>
      </c>
    </row>
    <row r="491" spans="1:27" hidden="1">
      <c r="A491" s="14">
        <v>1038</v>
      </c>
      <c r="B491" s="15" t="s">
        <v>76</v>
      </c>
      <c r="C491" s="16">
        <v>119</v>
      </c>
      <c r="D491" s="16" t="s">
        <v>190</v>
      </c>
      <c r="E491" s="17" t="s">
        <v>189</v>
      </c>
      <c r="F491" s="24">
        <v>0</v>
      </c>
      <c r="G491" s="19">
        <v>2</v>
      </c>
      <c r="H491" s="19">
        <v>0</v>
      </c>
      <c r="I491" s="19">
        <v>0</v>
      </c>
      <c r="T491" s="19">
        <f>Registro[[#This Row],[Mes 1]]+Registro[[#This Row],[Mes 2]]+Registro[[#This Row],[Mes 3]]</f>
        <v>0</v>
      </c>
      <c r="U491" s="19">
        <f>Registro[[#This Row],[Mes 4]]+Registro[[#This Row],[Mes 5]]+Registro[[#This Row],[Mes 6]]</f>
        <v>0</v>
      </c>
      <c r="V491" s="19">
        <f>Registro[[#This Row],[Mes 7]]+Registro[[#This Row],[Mes 8]]+Registro[[#This Row],[Mes 9]]</f>
        <v>0</v>
      </c>
      <c r="W491" s="20">
        <f>Registro[[#This Row],[Mes 10]]+Registro[[#This Row],[Mes 11]]+Registro[[#This Row],[Mes 12]]</f>
        <v>0</v>
      </c>
      <c r="X491" s="20">
        <f>SUM(Registro[[#This Row],[Trim I]],Registro[[#This Row],[Trim II]],Registro[[#This Row],[Trim III]],Registro[[#This Row],[Trim IV]])</f>
        <v>0</v>
      </c>
      <c r="Y491" s="22">
        <f>IFERROR((Registro[[#This Row],[Avance Total]]/Registro[[#This Row],[Meta]]),0)</f>
        <v>0</v>
      </c>
      <c r="Z491" s="22">
        <f>IFERROR((Registro[[#This Row],[Avance Total]]-Registro[[#This Row],[Línea Base 2025]])/Registro[[#This Row],[Línea Base 2025]],0)</f>
        <v>0</v>
      </c>
      <c r="AA491" s="20">
        <v>2026</v>
      </c>
    </row>
    <row r="492" spans="1:27" hidden="1">
      <c r="A492" s="14">
        <v>1038</v>
      </c>
      <c r="B492" s="15" t="s">
        <v>76</v>
      </c>
      <c r="C492" s="16">
        <v>120</v>
      </c>
      <c r="D492" s="16" t="s">
        <v>192</v>
      </c>
      <c r="E492" s="17" t="s">
        <v>191</v>
      </c>
      <c r="F492" s="24">
        <v>8</v>
      </c>
      <c r="G492" s="19">
        <v>8</v>
      </c>
      <c r="H492" s="19">
        <v>0</v>
      </c>
      <c r="I492" s="19">
        <v>0</v>
      </c>
      <c r="T492" s="19">
        <f>Registro[[#This Row],[Mes 1]]+Registro[[#This Row],[Mes 2]]+Registro[[#This Row],[Mes 3]]</f>
        <v>0</v>
      </c>
      <c r="U492" s="19">
        <f>Registro[[#This Row],[Mes 4]]+Registro[[#This Row],[Mes 5]]+Registro[[#This Row],[Mes 6]]</f>
        <v>0</v>
      </c>
      <c r="V492" s="19">
        <f>Registro[[#This Row],[Mes 7]]+Registro[[#This Row],[Mes 8]]+Registro[[#This Row],[Mes 9]]</f>
        <v>0</v>
      </c>
      <c r="W492" s="20">
        <f>Registro[[#This Row],[Mes 10]]+Registro[[#This Row],[Mes 11]]+Registro[[#This Row],[Mes 12]]</f>
        <v>0</v>
      </c>
      <c r="X492" s="20">
        <f>SUM(Registro[[#This Row],[Trim I]],Registro[[#This Row],[Trim II]],Registro[[#This Row],[Trim III]],Registro[[#This Row],[Trim IV]])</f>
        <v>0</v>
      </c>
      <c r="Y492" s="22">
        <f>IFERROR((Registro[[#This Row],[Avance Total]]/Registro[[#This Row],[Meta]]),0)</f>
        <v>0</v>
      </c>
      <c r="Z492" s="22">
        <f>IFERROR((Registro[[#This Row],[Avance Total]]-Registro[[#This Row],[Línea Base 2025]])/Registro[[#This Row],[Línea Base 2025]],0)</f>
        <v>-1</v>
      </c>
      <c r="AA492" s="20">
        <v>2026</v>
      </c>
    </row>
    <row r="493" spans="1:27" hidden="1">
      <c r="A493" s="14">
        <v>1038</v>
      </c>
      <c r="B493" s="15" t="s">
        <v>76</v>
      </c>
      <c r="C493" s="16">
        <v>121</v>
      </c>
      <c r="D493" s="16" t="s">
        <v>194</v>
      </c>
      <c r="E493" s="17" t="s">
        <v>193</v>
      </c>
      <c r="F493" s="24">
        <v>3</v>
      </c>
      <c r="G493" s="19">
        <v>5</v>
      </c>
      <c r="H493" s="19">
        <v>0</v>
      </c>
      <c r="I493" s="19">
        <v>0</v>
      </c>
      <c r="T493" s="19">
        <f>Registro[[#This Row],[Mes 1]]+Registro[[#This Row],[Mes 2]]+Registro[[#This Row],[Mes 3]]</f>
        <v>0</v>
      </c>
      <c r="U493" s="19">
        <f>Registro[[#This Row],[Mes 4]]+Registro[[#This Row],[Mes 5]]+Registro[[#This Row],[Mes 6]]</f>
        <v>0</v>
      </c>
      <c r="V493" s="19">
        <f>Registro[[#This Row],[Mes 7]]+Registro[[#This Row],[Mes 8]]+Registro[[#This Row],[Mes 9]]</f>
        <v>0</v>
      </c>
      <c r="W493" s="20">
        <f>Registro[[#This Row],[Mes 10]]+Registro[[#This Row],[Mes 11]]+Registro[[#This Row],[Mes 12]]</f>
        <v>0</v>
      </c>
      <c r="X493" s="20">
        <f>SUM(Registro[[#This Row],[Trim I]],Registro[[#This Row],[Trim II]],Registro[[#This Row],[Trim III]],Registro[[#This Row],[Trim IV]])</f>
        <v>0</v>
      </c>
      <c r="Y493" s="22">
        <f>IFERROR((Registro[[#This Row],[Avance Total]]/Registro[[#This Row],[Meta]]),0)</f>
        <v>0</v>
      </c>
      <c r="Z493" s="22">
        <f>IFERROR((Registro[[#This Row],[Avance Total]]-Registro[[#This Row],[Línea Base 2025]])/Registro[[#This Row],[Línea Base 2025]],0)</f>
        <v>-1</v>
      </c>
      <c r="AA493" s="20">
        <v>2026</v>
      </c>
    </row>
    <row r="494" spans="1:27" hidden="1">
      <c r="A494" s="14">
        <v>1038</v>
      </c>
      <c r="B494" s="15" t="s">
        <v>76</v>
      </c>
      <c r="C494" s="16">
        <v>122</v>
      </c>
      <c r="D494" s="16" t="s">
        <v>196</v>
      </c>
      <c r="E494" s="17" t="s">
        <v>195</v>
      </c>
      <c r="F494" s="24">
        <v>3</v>
      </c>
      <c r="G494" s="19">
        <v>4</v>
      </c>
      <c r="H494" s="19">
        <v>0</v>
      </c>
      <c r="I494" s="19">
        <v>0</v>
      </c>
      <c r="T494" s="19">
        <f>Registro[[#This Row],[Mes 1]]+Registro[[#This Row],[Mes 2]]+Registro[[#This Row],[Mes 3]]</f>
        <v>0</v>
      </c>
      <c r="U494" s="19">
        <f>Registro[[#This Row],[Mes 4]]+Registro[[#This Row],[Mes 5]]+Registro[[#This Row],[Mes 6]]</f>
        <v>0</v>
      </c>
      <c r="V494" s="19">
        <f>Registro[[#This Row],[Mes 7]]+Registro[[#This Row],[Mes 8]]+Registro[[#This Row],[Mes 9]]</f>
        <v>0</v>
      </c>
      <c r="W494" s="20">
        <f>Registro[[#This Row],[Mes 10]]+Registro[[#This Row],[Mes 11]]+Registro[[#This Row],[Mes 12]]</f>
        <v>0</v>
      </c>
      <c r="X494" s="20">
        <f>SUM(Registro[[#This Row],[Trim I]],Registro[[#This Row],[Trim II]],Registro[[#This Row],[Trim III]],Registro[[#This Row],[Trim IV]])</f>
        <v>0</v>
      </c>
      <c r="Y494" s="22">
        <f>IFERROR((Registro[[#This Row],[Avance Total]]/Registro[[#This Row],[Meta]]),0)</f>
        <v>0</v>
      </c>
      <c r="Z494" s="22">
        <f>IFERROR((Registro[[#This Row],[Avance Total]]-Registro[[#This Row],[Línea Base 2025]])/Registro[[#This Row],[Línea Base 2025]],0)</f>
        <v>-1</v>
      </c>
      <c r="AA494" s="20">
        <v>2026</v>
      </c>
    </row>
    <row r="495" spans="1:27" hidden="1">
      <c r="A495" s="14">
        <v>1038</v>
      </c>
      <c r="B495" s="15" t="s">
        <v>76</v>
      </c>
      <c r="C495" s="16">
        <v>123</v>
      </c>
      <c r="D495" s="16" t="s">
        <v>198</v>
      </c>
      <c r="E495" s="17" t="s">
        <v>197</v>
      </c>
      <c r="F495" s="24">
        <v>0</v>
      </c>
      <c r="G495" s="19">
        <v>2</v>
      </c>
      <c r="H495" s="19">
        <v>0</v>
      </c>
      <c r="I495" s="19">
        <v>0</v>
      </c>
      <c r="T495" s="19">
        <f>Registro[[#This Row],[Mes 1]]+Registro[[#This Row],[Mes 2]]+Registro[[#This Row],[Mes 3]]</f>
        <v>0</v>
      </c>
      <c r="U495" s="19">
        <f>Registro[[#This Row],[Mes 4]]+Registro[[#This Row],[Mes 5]]+Registro[[#This Row],[Mes 6]]</f>
        <v>0</v>
      </c>
      <c r="V495" s="19">
        <f>Registro[[#This Row],[Mes 7]]+Registro[[#This Row],[Mes 8]]+Registro[[#This Row],[Mes 9]]</f>
        <v>0</v>
      </c>
      <c r="W495" s="20">
        <f>Registro[[#This Row],[Mes 10]]+Registro[[#This Row],[Mes 11]]+Registro[[#This Row],[Mes 12]]</f>
        <v>0</v>
      </c>
      <c r="X495" s="20">
        <f>SUM(Registro[[#This Row],[Trim I]],Registro[[#This Row],[Trim II]],Registro[[#This Row],[Trim III]],Registro[[#This Row],[Trim IV]])</f>
        <v>0</v>
      </c>
      <c r="Y495" s="22">
        <f>IFERROR((Registro[[#This Row],[Avance Total]]/Registro[[#This Row],[Meta]]),0)</f>
        <v>0</v>
      </c>
      <c r="Z495" s="22">
        <f>IFERROR((Registro[[#This Row],[Avance Total]]-Registro[[#This Row],[Línea Base 2025]])/Registro[[#This Row],[Línea Base 2025]],0)</f>
        <v>0</v>
      </c>
      <c r="AA495" s="20">
        <v>2026</v>
      </c>
    </row>
    <row r="496" spans="1:27" hidden="1">
      <c r="A496" s="14">
        <v>1039</v>
      </c>
      <c r="B496" s="15" t="s">
        <v>13</v>
      </c>
      <c r="C496" s="16">
        <v>111</v>
      </c>
      <c r="D496" s="16" t="s">
        <v>171</v>
      </c>
      <c r="E496" s="17" t="s">
        <v>172</v>
      </c>
      <c r="F496" s="24">
        <v>0</v>
      </c>
      <c r="G496" s="19">
        <v>67</v>
      </c>
      <c r="H496" s="19">
        <v>0</v>
      </c>
      <c r="I496" s="19">
        <v>0</v>
      </c>
      <c r="T496" s="19">
        <f>Registro[[#This Row],[Mes 1]]+Registro[[#This Row],[Mes 2]]+Registro[[#This Row],[Mes 3]]</f>
        <v>0</v>
      </c>
      <c r="U496" s="19">
        <f>Registro[[#This Row],[Mes 4]]+Registro[[#This Row],[Mes 5]]+Registro[[#This Row],[Mes 6]]</f>
        <v>0</v>
      </c>
      <c r="V496" s="19">
        <f>Registro[[#This Row],[Mes 7]]+Registro[[#This Row],[Mes 8]]+Registro[[#This Row],[Mes 9]]</f>
        <v>0</v>
      </c>
      <c r="W496" s="20">
        <f>Registro[[#This Row],[Mes 10]]+Registro[[#This Row],[Mes 11]]+Registro[[#This Row],[Mes 12]]</f>
        <v>0</v>
      </c>
      <c r="X496" s="20">
        <f>SUM(Registro[[#This Row],[Trim I]],Registro[[#This Row],[Trim II]],Registro[[#This Row],[Trim III]],Registro[[#This Row],[Trim IV]])</f>
        <v>0</v>
      </c>
      <c r="Y496" s="22">
        <f>IFERROR((Registro[[#This Row],[Avance Total]]/Registro[[#This Row],[Meta]]),0)</f>
        <v>0</v>
      </c>
      <c r="Z496" s="22">
        <f>IFERROR((Registro[[#This Row],[Avance Total]]-Registro[[#This Row],[Línea Base 2025]])/Registro[[#This Row],[Línea Base 2025]],0)</f>
        <v>0</v>
      </c>
      <c r="AA496" s="20">
        <v>2026</v>
      </c>
    </row>
    <row r="497" spans="1:27" hidden="1">
      <c r="A497" s="14">
        <v>1039</v>
      </c>
      <c r="B497" s="15" t="s">
        <v>13</v>
      </c>
      <c r="C497" s="16">
        <v>112</v>
      </c>
      <c r="D497" s="16" t="s">
        <v>173</v>
      </c>
      <c r="E497" s="17" t="s">
        <v>7</v>
      </c>
      <c r="F497" s="24">
        <v>0</v>
      </c>
      <c r="G497" s="19">
        <v>1</v>
      </c>
      <c r="H497" s="19">
        <v>0</v>
      </c>
      <c r="I497" s="19">
        <v>0</v>
      </c>
      <c r="T497" s="19">
        <f>Registro[[#This Row],[Mes 1]]+Registro[[#This Row],[Mes 2]]+Registro[[#This Row],[Mes 3]]</f>
        <v>0</v>
      </c>
      <c r="U497" s="19">
        <f>Registro[[#This Row],[Mes 4]]+Registro[[#This Row],[Mes 5]]+Registro[[#This Row],[Mes 6]]</f>
        <v>0</v>
      </c>
      <c r="V497" s="19">
        <f>Registro[[#This Row],[Mes 7]]+Registro[[#This Row],[Mes 8]]+Registro[[#This Row],[Mes 9]]</f>
        <v>0</v>
      </c>
      <c r="W497" s="20">
        <f>Registro[[#This Row],[Mes 10]]+Registro[[#This Row],[Mes 11]]+Registro[[#This Row],[Mes 12]]</f>
        <v>0</v>
      </c>
      <c r="X497" s="20">
        <f>SUM(Registro[[#This Row],[Trim I]],Registro[[#This Row],[Trim II]],Registro[[#This Row],[Trim III]],Registro[[#This Row],[Trim IV]])</f>
        <v>0</v>
      </c>
      <c r="Y497" s="22">
        <f>IFERROR((Registro[[#This Row],[Avance Total]]/Registro[[#This Row],[Meta]]),0)</f>
        <v>0</v>
      </c>
      <c r="Z497" s="22">
        <f>IFERROR((Registro[[#This Row],[Avance Total]]-Registro[[#This Row],[Línea Base 2025]])/Registro[[#This Row],[Línea Base 2025]],0)</f>
        <v>0</v>
      </c>
      <c r="AA497" s="20">
        <v>2026</v>
      </c>
    </row>
    <row r="498" spans="1:27" hidden="1">
      <c r="A498" s="14">
        <v>1039</v>
      </c>
      <c r="B498" s="15" t="s">
        <v>13</v>
      </c>
      <c r="C498" s="16">
        <v>113</v>
      </c>
      <c r="D498" s="16" t="s">
        <v>179</v>
      </c>
      <c r="E498" s="17" t="s">
        <v>178</v>
      </c>
      <c r="F498" s="24">
        <v>0</v>
      </c>
      <c r="G498" s="19">
        <v>48</v>
      </c>
      <c r="H498" s="19">
        <v>0</v>
      </c>
      <c r="I498" s="19">
        <v>0</v>
      </c>
      <c r="T498" s="19">
        <f>Registro[[#This Row],[Mes 1]]+Registro[[#This Row],[Mes 2]]+Registro[[#This Row],[Mes 3]]</f>
        <v>0</v>
      </c>
      <c r="U498" s="19">
        <f>Registro[[#This Row],[Mes 4]]+Registro[[#This Row],[Mes 5]]+Registro[[#This Row],[Mes 6]]</f>
        <v>0</v>
      </c>
      <c r="V498" s="19">
        <f>Registro[[#This Row],[Mes 7]]+Registro[[#This Row],[Mes 8]]+Registro[[#This Row],[Mes 9]]</f>
        <v>0</v>
      </c>
      <c r="W498" s="20">
        <f>Registro[[#This Row],[Mes 10]]+Registro[[#This Row],[Mes 11]]+Registro[[#This Row],[Mes 12]]</f>
        <v>0</v>
      </c>
      <c r="X498" s="20">
        <f>SUM(Registro[[#This Row],[Trim I]],Registro[[#This Row],[Trim II]],Registro[[#This Row],[Trim III]],Registro[[#This Row],[Trim IV]])</f>
        <v>0</v>
      </c>
      <c r="Y498" s="22">
        <f>IFERROR((Registro[[#This Row],[Avance Total]]/Registro[[#This Row],[Meta]]),0)</f>
        <v>0</v>
      </c>
      <c r="Z498" s="22">
        <f>IFERROR((Registro[[#This Row],[Avance Total]]-Registro[[#This Row],[Línea Base 2025]])/Registro[[#This Row],[Línea Base 2025]],0)</f>
        <v>0</v>
      </c>
      <c r="AA498" s="20">
        <v>2026</v>
      </c>
    </row>
    <row r="499" spans="1:27" hidden="1">
      <c r="A499" s="14">
        <v>1039</v>
      </c>
      <c r="B499" s="15" t="s">
        <v>13</v>
      </c>
      <c r="C499" s="16">
        <v>114</v>
      </c>
      <c r="D499" s="16" t="s">
        <v>181</v>
      </c>
      <c r="E499" s="17" t="s">
        <v>180</v>
      </c>
      <c r="F499" s="24">
        <v>0</v>
      </c>
      <c r="G499" s="19">
        <v>0</v>
      </c>
      <c r="H499" s="19">
        <v>0</v>
      </c>
      <c r="I499" s="19">
        <v>0</v>
      </c>
      <c r="T499" s="19">
        <f>Registro[[#This Row],[Mes 1]]+Registro[[#This Row],[Mes 2]]+Registro[[#This Row],[Mes 3]]</f>
        <v>0</v>
      </c>
      <c r="U499" s="19">
        <f>Registro[[#This Row],[Mes 4]]+Registro[[#This Row],[Mes 5]]+Registro[[#This Row],[Mes 6]]</f>
        <v>0</v>
      </c>
      <c r="V499" s="19">
        <f>Registro[[#This Row],[Mes 7]]+Registro[[#This Row],[Mes 8]]+Registro[[#This Row],[Mes 9]]</f>
        <v>0</v>
      </c>
      <c r="W499" s="20">
        <f>Registro[[#This Row],[Mes 10]]+Registro[[#This Row],[Mes 11]]+Registro[[#This Row],[Mes 12]]</f>
        <v>0</v>
      </c>
      <c r="X499" s="20">
        <f>SUM(Registro[[#This Row],[Trim I]],Registro[[#This Row],[Trim II]],Registro[[#This Row],[Trim III]],Registro[[#This Row],[Trim IV]])</f>
        <v>0</v>
      </c>
      <c r="Y499" s="22">
        <f>IFERROR((Registro[[#This Row],[Avance Total]]/Registro[[#This Row],[Meta]]),0)</f>
        <v>0</v>
      </c>
      <c r="Z499" s="22">
        <f>IFERROR((Registro[[#This Row],[Avance Total]]-Registro[[#This Row],[Línea Base 2025]])/Registro[[#This Row],[Línea Base 2025]],0)</f>
        <v>0</v>
      </c>
      <c r="AA499" s="20">
        <v>2026</v>
      </c>
    </row>
    <row r="500" spans="1:27" hidden="1">
      <c r="A500" s="14">
        <v>1039</v>
      </c>
      <c r="B500" s="15" t="s">
        <v>13</v>
      </c>
      <c r="C500" s="16">
        <v>115</v>
      </c>
      <c r="D500" s="16" t="s">
        <v>183</v>
      </c>
      <c r="E500" s="17" t="s">
        <v>182</v>
      </c>
      <c r="F500" s="24">
        <v>0</v>
      </c>
      <c r="G500" s="19">
        <v>0</v>
      </c>
      <c r="H500" s="19">
        <v>0</v>
      </c>
      <c r="I500" s="19">
        <v>0</v>
      </c>
      <c r="T500" s="19">
        <f>Registro[[#This Row],[Mes 1]]+Registro[[#This Row],[Mes 2]]+Registro[[#This Row],[Mes 3]]</f>
        <v>0</v>
      </c>
      <c r="U500" s="19">
        <f>Registro[[#This Row],[Mes 4]]+Registro[[#This Row],[Mes 5]]+Registro[[#This Row],[Mes 6]]</f>
        <v>0</v>
      </c>
      <c r="V500" s="19">
        <f>Registro[[#This Row],[Mes 7]]+Registro[[#This Row],[Mes 8]]+Registro[[#This Row],[Mes 9]]</f>
        <v>0</v>
      </c>
      <c r="W500" s="20">
        <f>Registro[[#This Row],[Mes 10]]+Registro[[#This Row],[Mes 11]]+Registro[[#This Row],[Mes 12]]</f>
        <v>0</v>
      </c>
      <c r="X500" s="20">
        <f>SUM(Registro[[#This Row],[Trim I]],Registro[[#This Row],[Trim II]],Registro[[#This Row],[Trim III]],Registro[[#This Row],[Trim IV]])</f>
        <v>0</v>
      </c>
      <c r="Y500" s="22">
        <f>IFERROR((Registro[[#This Row],[Avance Total]]/Registro[[#This Row],[Meta]]),0)</f>
        <v>0</v>
      </c>
      <c r="Z500" s="22">
        <f>IFERROR((Registro[[#This Row],[Avance Total]]-Registro[[#This Row],[Línea Base 2025]])/Registro[[#This Row],[Línea Base 2025]],0)</f>
        <v>0</v>
      </c>
      <c r="AA500" s="20">
        <v>2026</v>
      </c>
    </row>
    <row r="501" spans="1:27">
      <c r="A501" s="14">
        <v>1039</v>
      </c>
      <c r="B501" s="15" t="s">
        <v>13</v>
      </c>
      <c r="C501" s="16">
        <v>116</v>
      </c>
      <c r="D501" s="16" t="s">
        <v>185</v>
      </c>
      <c r="E501" s="17" t="s">
        <v>184</v>
      </c>
      <c r="F501" s="24">
        <v>0</v>
      </c>
      <c r="G501" s="19">
        <v>0</v>
      </c>
      <c r="H501" s="19">
        <v>0</v>
      </c>
      <c r="I501" s="19">
        <v>0</v>
      </c>
      <c r="T501" s="19">
        <f>Registro[[#This Row],[Mes 1]]+Registro[[#This Row],[Mes 2]]+Registro[[#This Row],[Mes 3]]</f>
        <v>0</v>
      </c>
      <c r="U501" s="19">
        <f>Registro[[#This Row],[Mes 4]]+Registro[[#This Row],[Mes 5]]+Registro[[#This Row],[Mes 6]]</f>
        <v>0</v>
      </c>
      <c r="V501" s="19">
        <f>Registro[[#This Row],[Mes 7]]+Registro[[#This Row],[Mes 8]]+Registro[[#This Row],[Mes 9]]</f>
        <v>0</v>
      </c>
      <c r="W501" s="20">
        <f>Registro[[#This Row],[Mes 10]]+Registro[[#This Row],[Mes 11]]+Registro[[#This Row],[Mes 12]]</f>
        <v>0</v>
      </c>
      <c r="X501" s="20">
        <f>SUM(Registro[[#This Row],[Trim I]],Registro[[#This Row],[Trim II]],Registro[[#This Row],[Trim III]],Registro[[#This Row],[Trim IV]])</f>
        <v>0</v>
      </c>
      <c r="Y501" s="22">
        <f>IFERROR((Registro[[#This Row],[Avance Total]]/Registro[[#This Row],[Meta]]),0)</f>
        <v>0</v>
      </c>
      <c r="Z501" s="22">
        <f>IFERROR((Registro[[#This Row],[Avance Total]]-Registro[[#This Row],[Línea Base 2025]])/Registro[[#This Row],[Línea Base 2025]],0)</f>
        <v>0</v>
      </c>
      <c r="AA501" s="20">
        <v>2026</v>
      </c>
    </row>
    <row r="502" spans="1:27" hidden="1">
      <c r="A502" s="14">
        <v>1039</v>
      </c>
      <c r="B502" s="15" t="s">
        <v>13</v>
      </c>
      <c r="C502" s="16">
        <v>117</v>
      </c>
      <c r="D502" s="16" t="s">
        <v>187</v>
      </c>
      <c r="E502" s="17" t="s">
        <v>186</v>
      </c>
      <c r="F502" s="24">
        <v>0</v>
      </c>
      <c r="G502" s="19">
        <v>0</v>
      </c>
      <c r="H502" s="19">
        <v>0</v>
      </c>
      <c r="I502" s="19">
        <v>0</v>
      </c>
      <c r="T502" s="19">
        <f>Registro[[#This Row],[Mes 1]]+Registro[[#This Row],[Mes 2]]+Registro[[#This Row],[Mes 3]]</f>
        <v>0</v>
      </c>
      <c r="U502" s="19">
        <f>Registro[[#This Row],[Mes 4]]+Registro[[#This Row],[Mes 5]]+Registro[[#This Row],[Mes 6]]</f>
        <v>0</v>
      </c>
      <c r="V502" s="19">
        <f>Registro[[#This Row],[Mes 7]]+Registro[[#This Row],[Mes 8]]+Registro[[#This Row],[Mes 9]]</f>
        <v>0</v>
      </c>
      <c r="W502" s="20">
        <f>Registro[[#This Row],[Mes 10]]+Registro[[#This Row],[Mes 11]]+Registro[[#This Row],[Mes 12]]</f>
        <v>0</v>
      </c>
      <c r="X502" s="20">
        <f>SUM(Registro[[#This Row],[Trim I]],Registro[[#This Row],[Trim II]],Registro[[#This Row],[Trim III]],Registro[[#This Row],[Trim IV]])</f>
        <v>0</v>
      </c>
      <c r="Y502" s="22">
        <f>IFERROR((Registro[[#This Row],[Avance Total]]/Registro[[#This Row],[Meta]]),0)</f>
        <v>0</v>
      </c>
      <c r="Z502" s="22">
        <f>IFERROR((Registro[[#This Row],[Avance Total]]-Registro[[#This Row],[Línea Base 2025]])/Registro[[#This Row],[Línea Base 2025]],0)</f>
        <v>0</v>
      </c>
      <c r="AA502" s="20">
        <v>2026</v>
      </c>
    </row>
    <row r="503" spans="1:27" hidden="1">
      <c r="A503" s="14">
        <v>1039</v>
      </c>
      <c r="B503" s="15" t="s">
        <v>13</v>
      </c>
      <c r="C503" s="16">
        <v>118</v>
      </c>
      <c r="D503" s="16" t="s">
        <v>188</v>
      </c>
      <c r="E503" s="17" t="s">
        <v>9</v>
      </c>
      <c r="F503" s="24">
        <v>0</v>
      </c>
      <c r="G503" s="19">
        <v>0</v>
      </c>
      <c r="H503" s="19">
        <v>0</v>
      </c>
      <c r="I503" s="19">
        <v>0</v>
      </c>
      <c r="T503" s="19">
        <f>Registro[[#This Row],[Mes 1]]+Registro[[#This Row],[Mes 2]]+Registro[[#This Row],[Mes 3]]</f>
        <v>0</v>
      </c>
      <c r="U503" s="19">
        <f>Registro[[#This Row],[Mes 4]]+Registro[[#This Row],[Mes 5]]+Registro[[#This Row],[Mes 6]]</f>
        <v>0</v>
      </c>
      <c r="V503" s="19">
        <f>Registro[[#This Row],[Mes 7]]+Registro[[#This Row],[Mes 8]]+Registro[[#This Row],[Mes 9]]</f>
        <v>0</v>
      </c>
      <c r="W503" s="20">
        <f>Registro[[#This Row],[Mes 10]]+Registro[[#This Row],[Mes 11]]+Registro[[#This Row],[Mes 12]]</f>
        <v>0</v>
      </c>
      <c r="X503" s="20">
        <f>SUM(Registro[[#This Row],[Trim I]],Registro[[#This Row],[Trim II]],Registro[[#This Row],[Trim III]],Registro[[#This Row],[Trim IV]])</f>
        <v>0</v>
      </c>
      <c r="Y503" s="22">
        <f>IFERROR((Registro[[#This Row],[Avance Total]]/Registro[[#This Row],[Meta]]),0)</f>
        <v>0</v>
      </c>
      <c r="Z503" s="22">
        <f>IFERROR((Registro[[#This Row],[Avance Total]]-Registro[[#This Row],[Línea Base 2025]])/Registro[[#This Row],[Línea Base 2025]],0)</f>
        <v>0</v>
      </c>
      <c r="AA503" s="20">
        <v>2026</v>
      </c>
    </row>
    <row r="504" spans="1:27" hidden="1">
      <c r="A504" s="14">
        <v>1039</v>
      </c>
      <c r="B504" s="15" t="s">
        <v>13</v>
      </c>
      <c r="C504" s="16">
        <v>119</v>
      </c>
      <c r="D504" s="16" t="s">
        <v>190</v>
      </c>
      <c r="E504" s="17" t="s">
        <v>189</v>
      </c>
      <c r="F504" s="24">
        <v>0</v>
      </c>
      <c r="G504" s="19">
        <v>0</v>
      </c>
      <c r="H504" s="19">
        <v>0</v>
      </c>
      <c r="I504" s="19">
        <v>0</v>
      </c>
      <c r="T504" s="19">
        <f>Registro[[#This Row],[Mes 1]]+Registro[[#This Row],[Mes 2]]+Registro[[#This Row],[Mes 3]]</f>
        <v>0</v>
      </c>
      <c r="U504" s="19">
        <f>Registro[[#This Row],[Mes 4]]+Registro[[#This Row],[Mes 5]]+Registro[[#This Row],[Mes 6]]</f>
        <v>0</v>
      </c>
      <c r="V504" s="19">
        <f>Registro[[#This Row],[Mes 7]]+Registro[[#This Row],[Mes 8]]+Registro[[#This Row],[Mes 9]]</f>
        <v>0</v>
      </c>
      <c r="W504" s="20">
        <f>Registro[[#This Row],[Mes 10]]+Registro[[#This Row],[Mes 11]]+Registro[[#This Row],[Mes 12]]</f>
        <v>0</v>
      </c>
      <c r="X504" s="20">
        <f>SUM(Registro[[#This Row],[Trim I]],Registro[[#This Row],[Trim II]],Registro[[#This Row],[Trim III]],Registro[[#This Row],[Trim IV]])</f>
        <v>0</v>
      </c>
      <c r="Y504" s="22">
        <f>IFERROR((Registro[[#This Row],[Avance Total]]/Registro[[#This Row],[Meta]]),0)</f>
        <v>0</v>
      </c>
      <c r="Z504" s="22">
        <f>IFERROR((Registro[[#This Row],[Avance Total]]-Registro[[#This Row],[Línea Base 2025]])/Registro[[#This Row],[Línea Base 2025]],0)</f>
        <v>0</v>
      </c>
      <c r="AA504" s="20">
        <v>2026</v>
      </c>
    </row>
    <row r="505" spans="1:27" hidden="1">
      <c r="A505" s="14">
        <v>1039</v>
      </c>
      <c r="B505" s="15" t="s">
        <v>13</v>
      </c>
      <c r="C505" s="16">
        <v>120</v>
      </c>
      <c r="D505" s="16" t="s">
        <v>192</v>
      </c>
      <c r="E505" s="17" t="s">
        <v>191</v>
      </c>
      <c r="F505" s="24">
        <v>0</v>
      </c>
      <c r="G505" s="19">
        <v>0</v>
      </c>
      <c r="H505" s="19">
        <v>0</v>
      </c>
      <c r="I505" s="19">
        <v>0</v>
      </c>
      <c r="T505" s="19">
        <f>Registro[[#This Row],[Mes 1]]+Registro[[#This Row],[Mes 2]]+Registro[[#This Row],[Mes 3]]</f>
        <v>0</v>
      </c>
      <c r="U505" s="19">
        <f>Registro[[#This Row],[Mes 4]]+Registro[[#This Row],[Mes 5]]+Registro[[#This Row],[Mes 6]]</f>
        <v>0</v>
      </c>
      <c r="V505" s="19">
        <f>Registro[[#This Row],[Mes 7]]+Registro[[#This Row],[Mes 8]]+Registro[[#This Row],[Mes 9]]</f>
        <v>0</v>
      </c>
      <c r="W505" s="20">
        <f>Registro[[#This Row],[Mes 10]]+Registro[[#This Row],[Mes 11]]+Registro[[#This Row],[Mes 12]]</f>
        <v>0</v>
      </c>
      <c r="X505" s="20">
        <f>SUM(Registro[[#This Row],[Trim I]],Registro[[#This Row],[Trim II]],Registro[[#This Row],[Trim III]],Registro[[#This Row],[Trim IV]])</f>
        <v>0</v>
      </c>
      <c r="Y505" s="22">
        <f>IFERROR((Registro[[#This Row],[Avance Total]]/Registro[[#This Row],[Meta]]),0)</f>
        <v>0</v>
      </c>
      <c r="Z505" s="22">
        <f>IFERROR((Registro[[#This Row],[Avance Total]]-Registro[[#This Row],[Línea Base 2025]])/Registro[[#This Row],[Línea Base 2025]],0)</f>
        <v>0</v>
      </c>
      <c r="AA505" s="20">
        <v>2026</v>
      </c>
    </row>
    <row r="506" spans="1:27" hidden="1">
      <c r="A506" s="14">
        <v>1039</v>
      </c>
      <c r="B506" s="15" t="s">
        <v>13</v>
      </c>
      <c r="C506" s="16">
        <v>121</v>
      </c>
      <c r="D506" s="16" t="s">
        <v>194</v>
      </c>
      <c r="E506" s="17" t="s">
        <v>193</v>
      </c>
      <c r="F506" s="24">
        <v>0</v>
      </c>
      <c r="G506" s="19">
        <v>0</v>
      </c>
      <c r="H506" s="19">
        <v>0</v>
      </c>
      <c r="I506" s="19">
        <v>0</v>
      </c>
      <c r="T506" s="19">
        <f>Registro[[#This Row],[Mes 1]]+Registro[[#This Row],[Mes 2]]+Registro[[#This Row],[Mes 3]]</f>
        <v>0</v>
      </c>
      <c r="U506" s="19">
        <f>Registro[[#This Row],[Mes 4]]+Registro[[#This Row],[Mes 5]]+Registro[[#This Row],[Mes 6]]</f>
        <v>0</v>
      </c>
      <c r="V506" s="19">
        <f>Registro[[#This Row],[Mes 7]]+Registro[[#This Row],[Mes 8]]+Registro[[#This Row],[Mes 9]]</f>
        <v>0</v>
      </c>
      <c r="W506" s="20">
        <f>Registro[[#This Row],[Mes 10]]+Registro[[#This Row],[Mes 11]]+Registro[[#This Row],[Mes 12]]</f>
        <v>0</v>
      </c>
      <c r="X506" s="20">
        <f>SUM(Registro[[#This Row],[Trim I]],Registro[[#This Row],[Trim II]],Registro[[#This Row],[Trim III]],Registro[[#This Row],[Trim IV]])</f>
        <v>0</v>
      </c>
      <c r="Y506" s="22">
        <f>IFERROR((Registro[[#This Row],[Avance Total]]/Registro[[#This Row],[Meta]]),0)</f>
        <v>0</v>
      </c>
      <c r="Z506" s="22">
        <f>IFERROR((Registro[[#This Row],[Avance Total]]-Registro[[#This Row],[Línea Base 2025]])/Registro[[#This Row],[Línea Base 2025]],0)</f>
        <v>0</v>
      </c>
      <c r="AA506" s="20">
        <v>2026</v>
      </c>
    </row>
    <row r="507" spans="1:27" hidden="1">
      <c r="A507" s="14">
        <v>1039</v>
      </c>
      <c r="B507" s="15" t="s">
        <v>13</v>
      </c>
      <c r="C507" s="16">
        <v>122</v>
      </c>
      <c r="D507" s="16" t="s">
        <v>196</v>
      </c>
      <c r="E507" s="17" t="s">
        <v>195</v>
      </c>
      <c r="F507" s="24">
        <v>0</v>
      </c>
      <c r="G507" s="19">
        <v>0</v>
      </c>
      <c r="H507" s="19">
        <v>0</v>
      </c>
      <c r="I507" s="19">
        <v>0</v>
      </c>
      <c r="T507" s="19">
        <f>Registro[[#This Row],[Mes 1]]+Registro[[#This Row],[Mes 2]]+Registro[[#This Row],[Mes 3]]</f>
        <v>0</v>
      </c>
      <c r="U507" s="19">
        <f>Registro[[#This Row],[Mes 4]]+Registro[[#This Row],[Mes 5]]+Registro[[#This Row],[Mes 6]]</f>
        <v>0</v>
      </c>
      <c r="V507" s="19">
        <f>Registro[[#This Row],[Mes 7]]+Registro[[#This Row],[Mes 8]]+Registro[[#This Row],[Mes 9]]</f>
        <v>0</v>
      </c>
      <c r="W507" s="20">
        <f>Registro[[#This Row],[Mes 10]]+Registro[[#This Row],[Mes 11]]+Registro[[#This Row],[Mes 12]]</f>
        <v>0</v>
      </c>
      <c r="X507" s="20">
        <f>SUM(Registro[[#This Row],[Trim I]],Registro[[#This Row],[Trim II]],Registro[[#This Row],[Trim III]],Registro[[#This Row],[Trim IV]])</f>
        <v>0</v>
      </c>
      <c r="Y507" s="22">
        <f>IFERROR((Registro[[#This Row],[Avance Total]]/Registro[[#This Row],[Meta]]),0)</f>
        <v>0</v>
      </c>
      <c r="Z507" s="22">
        <f>IFERROR((Registro[[#This Row],[Avance Total]]-Registro[[#This Row],[Línea Base 2025]])/Registro[[#This Row],[Línea Base 2025]],0)</f>
        <v>0</v>
      </c>
      <c r="AA507" s="20">
        <v>2026</v>
      </c>
    </row>
    <row r="508" spans="1:27" hidden="1">
      <c r="A508" s="14">
        <v>1039</v>
      </c>
      <c r="B508" s="15" t="s">
        <v>13</v>
      </c>
      <c r="C508" s="16">
        <v>123</v>
      </c>
      <c r="D508" s="16" t="s">
        <v>198</v>
      </c>
      <c r="E508" s="17" t="s">
        <v>197</v>
      </c>
      <c r="F508" s="24">
        <v>0</v>
      </c>
      <c r="G508" s="19">
        <v>0</v>
      </c>
      <c r="H508" s="19">
        <v>0</v>
      </c>
      <c r="I508" s="19">
        <v>0</v>
      </c>
      <c r="T508" s="19">
        <f>Registro[[#This Row],[Mes 1]]+Registro[[#This Row],[Mes 2]]+Registro[[#This Row],[Mes 3]]</f>
        <v>0</v>
      </c>
      <c r="U508" s="19">
        <f>Registro[[#This Row],[Mes 4]]+Registro[[#This Row],[Mes 5]]+Registro[[#This Row],[Mes 6]]</f>
        <v>0</v>
      </c>
      <c r="V508" s="19">
        <f>Registro[[#This Row],[Mes 7]]+Registro[[#This Row],[Mes 8]]+Registro[[#This Row],[Mes 9]]</f>
        <v>0</v>
      </c>
      <c r="W508" s="20">
        <f>Registro[[#This Row],[Mes 10]]+Registro[[#This Row],[Mes 11]]+Registro[[#This Row],[Mes 12]]</f>
        <v>0</v>
      </c>
      <c r="X508" s="20">
        <f>SUM(Registro[[#This Row],[Trim I]],Registro[[#This Row],[Trim II]],Registro[[#This Row],[Trim III]],Registro[[#This Row],[Trim IV]])</f>
        <v>0</v>
      </c>
      <c r="Y508" s="22">
        <f>IFERROR((Registro[[#This Row],[Avance Total]]/Registro[[#This Row],[Meta]]),0)</f>
        <v>0</v>
      </c>
      <c r="Z508" s="22">
        <f>IFERROR((Registro[[#This Row],[Avance Total]]-Registro[[#This Row],[Línea Base 2025]])/Registro[[#This Row],[Línea Base 2025]],0)</f>
        <v>0</v>
      </c>
      <c r="AA508" s="20">
        <v>2026</v>
      </c>
    </row>
    <row r="509" spans="1:27" hidden="1">
      <c r="A509" s="14">
        <v>1040</v>
      </c>
      <c r="B509" s="15" t="s">
        <v>77</v>
      </c>
      <c r="C509" s="16">
        <v>111</v>
      </c>
      <c r="D509" s="16" t="s">
        <v>171</v>
      </c>
      <c r="E509" s="17" t="s">
        <v>172</v>
      </c>
      <c r="F509" s="24">
        <v>14</v>
      </c>
      <c r="G509" s="19">
        <v>55</v>
      </c>
      <c r="H509" s="19">
        <v>7</v>
      </c>
      <c r="I509" s="19">
        <v>25</v>
      </c>
      <c r="T509" s="19">
        <f>Registro[[#This Row],[Mes 1]]+Registro[[#This Row],[Mes 2]]+Registro[[#This Row],[Mes 3]]</f>
        <v>32</v>
      </c>
      <c r="U509" s="19">
        <f>Registro[[#This Row],[Mes 4]]+Registro[[#This Row],[Mes 5]]+Registro[[#This Row],[Mes 6]]</f>
        <v>0</v>
      </c>
      <c r="V509" s="19">
        <f>Registro[[#This Row],[Mes 7]]+Registro[[#This Row],[Mes 8]]+Registro[[#This Row],[Mes 9]]</f>
        <v>0</v>
      </c>
      <c r="W509" s="20">
        <f>Registro[[#This Row],[Mes 10]]+Registro[[#This Row],[Mes 11]]+Registro[[#This Row],[Mes 12]]</f>
        <v>0</v>
      </c>
      <c r="X509" s="20">
        <f>SUM(Registro[[#This Row],[Trim I]],Registro[[#This Row],[Trim II]],Registro[[#This Row],[Trim III]],Registro[[#This Row],[Trim IV]])</f>
        <v>32</v>
      </c>
      <c r="Y509" s="22">
        <f>IFERROR((Registro[[#This Row],[Avance Total]]/Registro[[#This Row],[Meta]]),0)</f>
        <v>0.58181818181818179</v>
      </c>
      <c r="Z509" s="22">
        <f>IFERROR((Registro[[#This Row],[Avance Total]]-Registro[[#This Row],[Línea Base 2025]])/Registro[[#This Row],[Línea Base 2025]],0)</f>
        <v>1.2857142857142858</v>
      </c>
      <c r="AA509" s="20">
        <v>2026</v>
      </c>
    </row>
    <row r="510" spans="1:27" hidden="1">
      <c r="A510" s="14">
        <v>1040</v>
      </c>
      <c r="B510" s="15" t="s">
        <v>77</v>
      </c>
      <c r="C510" s="16">
        <v>112</v>
      </c>
      <c r="D510" s="16" t="s">
        <v>173</v>
      </c>
      <c r="E510" s="17" t="s">
        <v>7</v>
      </c>
      <c r="F510" s="24">
        <v>7</v>
      </c>
      <c r="G510" s="19">
        <v>68</v>
      </c>
      <c r="H510" s="19">
        <v>0</v>
      </c>
      <c r="I510" s="19">
        <v>0</v>
      </c>
      <c r="T510" s="19">
        <f>Registro[[#This Row],[Mes 1]]+Registro[[#This Row],[Mes 2]]+Registro[[#This Row],[Mes 3]]</f>
        <v>0</v>
      </c>
      <c r="U510" s="19">
        <f>Registro[[#This Row],[Mes 4]]+Registro[[#This Row],[Mes 5]]+Registro[[#This Row],[Mes 6]]</f>
        <v>0</v>
      </c>
      <c r="V510" s="19">
        <f>Registro[[#This Row],[Mes 7]]+Registro[[#This Row],[Mes 8]]+Registro[[#This Row],[Mes 9]]</f>
        <v>0</v>
      </c>
      <c r="W510" s="20">
        <f>Registro[[#This Row],[Mes 10]]+Registro[[#This Row],[Mes 11]]+Registro[[#This Row],[Mes 12]]</f>
        <v>0</v>
      </c>
      <c r="X510" s="20">
        <f>SUM(Registro[[#This Row],[Trim I]],Registro[[#This Row],[Trim II]],Registro[[#This Row],[Trim III]],Registro[[#This Row],[Trim IV]])</f>
        <v>0</v>
      </c>
      <c r="Y510" s="22">
        <f>IFERROR((Registro[[#This Row],[Avance Total]]/Registro[[#This Row],[Meta]]),0)</f>
        <v>0</v>
      </c>
      <c r="Z510" s="22">
        <f>IFERROR((Registro[[#This Row],[Avance Total]]-Registro[[#This Row],[Línea Base 2025]])/Registro[[#This Row],[Línea Base 2025]],0)</f>
        <v>-1</v>
      </c>
      <c r="AA510" s="20">
        <v>2026</v>
      </c>
    </row>
    <row r="511" spans="1:27" hidden="1">
      <c r="A511" s="14">
        <v>1040</v>
      </c>
      <c r="B511" s="15" t="s">
        <v>77</v>
      </c>
      <c r="C511" s="16">
        <v>113</v>
      </c>
      <c r="D511" s="16" t="s">
        <v>179</v>
      </c>
      <c r="E511" s="17" t="s">
        <v>178</v>
      </c>
      <c r="F511" s="24">
        <v>22</v>
      </c>
      <c r="G511" s="19">
        <v>208</v>
      </c>
      <c r="H511" s="19">
        <v>3</v>
      </c>
      <c r="I511" s="19">
        <v>8</v>
      </c>
      <c r="T511" s="19">
        <f>Registro[[#This Row],[Mes 1]]+Registro[[#This Row],[Mes 2]]+Registro[[#This Row],[Mes 3]]</f>
        <v>11</v>
      </c>
      <c r="U511" s="19">
        <f>Registro[[#This Row],[Mes 4]]+Registro[[#This Row],[Mes 5]]+Registro[[#This Row],[Mes 6]]</f>
        <v>0</v>
      </c>
      <c r="V511" s="19">
        <f>Registro[[#This Row],[Mes 7]]+Registro[[#This Row],[Mes 8]]+Registro[[#This Row],[Mes 9]]</f>
        <v>0</v>
      </c>
      <c r="W511" s="20">
        <f>Registro[[#This Row],[Mes 10]]+Registro[[#This Row],[Mes 11]]+Registro[[#This Row],[Mes 12]]</f>
        <v>0</v>
      </c>
      <c r="X511" s="20">
        <f>SUM(Registro[[#This Row],[Trim I]],Registro[[#This Row],[Trim II]],Registro[[#This Row],[Trim III]],Registro[[#This Row],[Trim IV]])</f>
        <v>11</v>
      </c>
      <c r="Y511" s="22">
        <f>IFERROR((Registro[[#This Row],[Avance Total]]/Registro[[#This Row],[Meta]]),0)</f>
        <v>5.2884615384615384E-2</v>
      </c>
      <c r="Z511" s="22">
        <f>IFERROR((Registro[[#This Row],[Avance Total]]-Registro[[#This Row],[Línea Base 2025]])/Registro[[#This Row],[Línea Base 2025]],0)</f>
        <v>-0.5</v>
      </c>
      <c r="AA511" s="20">
        <v>2026</v>
      </c>
    </row>
    <row r="512" spans="1:27" hidden="1">
      <c r="A512" s="14">
        <v>1040</v>
      </c>
      <c r="B512" s="15" t="s">
        <v>77</v>
      </c>
      <c r="C512" s="16">
        <v>114</v>
      </c>
      <c r="D512" s="16" t="s">
        <v>181</v>
      </c>
      <c r="E512" s="17" t="s">
        <v>180</v>
      </c>
      <c r="F512" s="24">
        <v>0</v>
      </c>
      <c r="G512" s="19">
        <v>120</v>
      </c>
      <c r="H512" s="19">
        <v>85</v>
      </c>
      <c r="I512" s="19">
        <v>4</v>
      </c>
      <c r="T512" s="19">
        <f>Registro[[#This Row],[Mes 1]]+Registro[[#This Row],[Mes 2]]+Registro[[#This Row],[Mes 3]]</f>
        <v>89</v>
      </c>
      <c r="U512" s="19">
        <f>Registro[[#This Row],[Mes 4]]+Registro[[#This Row],[Mes 5]]+Registro[[#This Row],[Mes 6]]</f>
        <v>0</v>
      </c>
      <c r="V512" s="19">
        <f>Registro[[#This Row],[Mes 7]]+Registro[[#This Row],[Mes 8]]+Registro[[#This Row],[Mes 9]]</f>
        <v>0</v>
      </c>
      <c r="W512" s="20">
        <f>Registro[[#This Row],[Mes 10]]+Registro[[#This Row],[Mes 11]]+Registro[[#This Row],[Mes 12]]</f>
        <v>0</v>
      </c>
      <c r="X512" s="20">
        <f>SUM(Registro[[#This Row],[Trim I]],Registro[[#This Row],[Trim II]],Registro[[#This Row],[Trim III]],Registro[[#This Row],[Trim IV]])</f>
        <v>89</v>
      </c>
      <c r="Y512" s="22">
        <f>IFERROR((Registro[[#This Row],[Avance Total]]/Registro[[#This Row],[Meta]]),0)</f>
        <v>0.7416666666666667</v>
      </c>
      <c r="Z512" s="22">
        <f>IFERROR((Registro[[#This Row],[Avance Total]]-Registro[[#This Row],[Línea Base 2025]])/Registro[[#This Row],[Línea Base 2025]],0)</f>
        <v>0</v>
      </c>
      <c r="AA512" s="20">
        <v>2026</v>
      </c>
    </row>
    <row r="513" spans="1:27" hidden="1">
      <c r="A513" s="14">
        <v>1040</v>
      </c>
      <c r="B513" s="15" t="s">
        <v>77</v>
      </c>
      <c r="C513" s="16">
        <v>115</v>
      </c>
      <c r="D513" s="16" t="s">
        <v>183</v>
      </c>
      <c r="E513" s="17" t="s">
        <v>182</v>
      </c>
      <c r="F513" s="24">
        <v>7</v>
      </c>
      <c r="G513" s="19">
        <v>11</v>
      </c>
      <c r="H513" s="19">
        <v>0</v>
      </c>
      <c r="I513" s="19">
        <v>0</v>
      </c>
      <c r="T513" s="19">
        <f>Registro[[#This Row],[Mes 1]]+Registro[[#This Row],[Mes 2]]+Registro[[#This Row],[Mes 3]]</f>
        <v>0</v>
      </c>
      <c r="U513" s="19">
        <f>Registro[[#This Row],[Mes 4]]+Registro[[#This Row],[Mes 5]]+Registro[[#This Row],[Mes 6]]</f>
        <v>0</v>
      </c>
      <c r="V513" s="19">
        <f>Registro[[#This Row],[Mes 7]]+Registro[[#This Row],[Mes 8]]+Registro[[#This Row],[Mes 9]]</f>
        <v>0</v>
      </c>
      <c r="W513" s="20">
        <f>Registro[[#This Row],[Mes 10]]+Registro[[#This Row],[Mes 11]]+Registro[[#This Row],[Mes 12]]</f>
        <v>0</v>
      </c>
      <c r="X513" s="20">
        <f>SUM(Registro[[#This Row],[Trim I]],Registro[[#This Row],[Trim II]],Registro[[#This Row],[Trim III]],Registro[[#This Row],[Trim IV]])</f>
        <v>0</v>
      </c>
      <c r="Y513" s="22">
        <f>IFERROR((Registro[[#This Row],[Avance Total]]/Registro[[#This Row],[Meta]]),0)</f>
        <v>0</v>
      </c>
      <c r="Z513" s="22">
        <f>IFERROR((Registro[[#This Row],[Avance Total]]-Registro[[#This Row],[Línea Base 2025]])/Registro[[#This Row],[Línea Base 2025]],0)</f>
        <v>-1</v>
      </c>
      <c r="AA513" s="20">
        <v>2026</v>
      </c>
    </row>
    <row r="514" spans="1:27">
      <c r="A514" s="14">
        <v>1040</v>
      </c>
      <c r="B514" s="15" t="s">
        <v>77</v>
      </c>
      <c r="C514" s="16">
        <v>116</v>
      </c>
      <c r="D514" s="16" t="s">
        <v>185</v>
      </c>
      <c r="E514" s="17" t="s">
        <v>184</v>
      </c>
      <c r="F514" s="24">
        <v>2</v>
      </c>
      <c r="G514" s="19">
        <v>4</v>
      </c>
      <c r="H514" s="19">
        <v>2</v>
      </c>
      <c r="I514" s="19">
        <v>0</v>
      </c>
      <c r="T514" s="19">
        <f>Registro[[#This Row],[Mes 1]]+Registro[[#This Row],[Mes 2]]+Registro[[#This Row],[Mes 3]]</f>
        <v>2</v>
      </c>
      <c r="U514" s="19">
        <f>Registro[[#This Row],[Mes 4]]+Registro[[#This Row],[Mes 5]]+Registro[[#This Row],[Mes 6]]</f>
        <v>0</v>
      </c>
      <c r="V514" s="19">
        <f>Registro[[#This Row],[Mes 7]]+Registro[[#This Row],[Mes 8]]+Registro[[#This Row],[Mes 9]]</f>
        <v>0</v>
      </c>
      <c r="W514" s="20">
        <f>Registro[[#This Row],[Mes 10]]+Registro[[#This Row],[Mes 11]]+Registro[[#This Row],[Mes 12]]</f>
        <v>0</v>
      </c>
      <c r="X514" s="20">
        <f>SUM(Registro[[#This Row],[Trim I]],Registro[[#This Row],[Trim II]],Registro[[#This Row],[Trim III]],Registro[[#This Row],[Trim IV]])</f>
        <v>2</v>
      </c>
      <c r="Y514" s="22">
        <f>IFERROR((Registro[[#This Row],[Avance Total]]/Registro[[#This Row],[Meta]]),0)</f>
        <v>0.5</v>
      </c>
      <c r="Z514" s="22">
        <f>IFERROR((Registro[[#This Row],[Avance Total]]-Registro[[#This Row],[Línea Base 2025]])/Registro[[#This Row],[Línea Base 2025]],0)</f>
        <v>0</v>
      </c>
      <c r="AA514" s="20">
        <v>2026</v>
      </c>
    </row>
    <row r="515" spans="1:27" hidden="1">
      <c r="A515" s="14">
        <v>1040</v>
      </c>
      <c r="B515" s="15" t="s">
        <v>77</v>
      </c>
      <c r="C515" s="16">
        <v>117</v>
      </c>
      <c r="D515" s="16" t="s">
        <v>187</v>
      </c>
      <c r="E515" s="17" t="s">
        <v>186</v>
      </c>
      <c r="F515" s="24">
        <v>0</v>
      </c>
      <c r="G515" s="19">
        <v>2</v>
      </c>
      <c r="H515" s="19">
        <v>0</v>
      </c>
      <c r="I515" s="19">
        <v>0</v>
      </c>
      <c r="T515" s="19">
        <f>Registro[[#This Row],[Mes 1]]+Registro[[#This Row],[Mes 2]]+Registro[[#This Row],[Mes 3]]</f>
        <v>0</v>
      </c>
      <c r="U515" s="19">
        <f>Registro[[#This Row],[Mes 4]]+Registro[[#This Row],[Mes 5]]+Registro[[#This Row],[Mes 6]]</f>
        <v>0</v>
      </c>
      <c r="V515" s="19">
        <f>Registro[[#This Row],[Mes 7]]+Registro[[#This Row],[Mes 8]]+Registro[[#This Row],[Mes 9]]</f>
        <v>0</v>
      </c>
      <c r="W515" s="20">
        <f>Registro[[#This Row],[Mes 10]]+Registro[[#This Row],[Mes 11]]+Registro[[#This Row],[Mes 12]]</f>
        <v>0</v>
      </c>
      <c r="X515" s="20">
        <f>SUM(Registro[[#This Row],[Trim I]],Registro[[#This Row],[Trim II]],Registro[[#This Row],[Trim III]],Registro[[#This Row],[Trim IV]])</f>
        <v>0</v>
      </c>
      <c r="Y515" s="22">
        <f>IFERROR((Registro[[#This Row],[Avance Total]]/Registro[[#This Row],[Meta]]),0)</f>
        <v>0</v>
      </c>
      <c r="Z515" s="22">
        <f>IFERROR((Registro[[#This Row],[Avance Total]]-Registro[[#This Row],[Línea Base 2025]])/Registro[[#This Row],[Línea Base 2025]],0)</f>
        <v>0</v>
      </c>
      <c r="AA515" s="20">
        <v>2026</v>
      </c>
    </row>
    <row r="516" spans="1:27" hidden="1">
      <c r="A516" s="14">
        <v>1040</v>
      </c>
      <c r="B516" s="15" t="s">
        <v>77</v>
      </c>
      <c r="C516" s="16">
        <v>118</v>
      </c>
      <c r="D516" s="16" t="s">
        <v>188</v>
      </c>
      <c r="E516" s="17" t="s">
        <v>9</v>
      </c>
      <c r="F516" s="24">
        <v>0</v>
      </c>
      <c r="G516" s="19">
        <v>2</v>
      </c>
      <c r="H516" s="19">
        <v>0</v>
      </c>
      <c r="I516" s="19">
        <v>0</v>
      </c>
      <c r="T516" s="19">
        <f>Registro[[#This Row],[Mes 1]]+Registro[[#This Row],[Mes 2]]+Registro[[#This Row],[Mes 3]]</f>
        <v>0</v>
      </c>
      <c r="U516" s="19">
        <f>Registro[[#This Row],[Mes 4]]+Registro[[#This Row],[Mes 5]]+Registro[[#This Row],[Mes 6]]</f>
        <v>0</v>
      </c>
      <c r="V516" s="19">
        <f>Registro[[#This Row],[Mes 7]]+Registro[[#This Row],[Mes 8]]+Registro[[#This Row],[Mes 9]]</f>
        <v>0</v>
      </c>
      <c r="W516" s="20">
        <f>Registro[[#This Row],[Mes 10]]+Registro[[#This Row],[Mes 11]]+Registro[[#This Row],[Mes 12]]</f>
        <v>0</v>
      </c>
      <c r="X516" s="20">
        <f>SUM(Registro[[#This Row],[Trim I]],Registro[[#This Row],[Trim II]],Registro[[#This Row],[Trim III]],Registro[[#This Row],[Trim IV]])</f>
        <v>0</v>
      </c>
      <c r="Y516" s="22">
        <f>IFERROR((Registro[[#This Row],[Avance Total]]/Registro[[#This Row],[Meta]]),0)</f>
        <v>0</v>
      </c>
      <c r="Z516" s="22">
        <f>IFERROR((Registro[[#This Row],[Avance Total]]-Registro[[#This Row],[Línea Base 2025]])/Registro[[#This Row],[Línea Base 2025]],0)</f>
        <v>0</v>
      </c>
      <c r="AA516" s="20">
        <v>2026</v>
      </c>
    </row>
    <row r="517" spans="1:27" hidden="1">
      <c r="A517" s="14">
        <v>1040</v>
      </c>
      <c r="B517" s="15" t="s">
        <v>77</v>
      </c>
      <c r="C517" s="16">
        <v>119</v>
      </c>
      <c r="D517" s="16" t="s">
        <v>190</v>
      </c>
      <c r="E517" s="17" t="s">
        <v>189</v>
      </c>
      <c r="F517" s="24">
        <v>0</v>
      </c>
      <c r="G517" s="19">
        <v>1</v>
      </c>
      <c r="H517" s="19">
        <v>0</v>
      </c>
      <c r="I517" s="19">
        <v>0</v>
      </c>
      <c r="T517" s="19">
        <f>Registro[[#This Row],[Mes 1]]+Registro[[#This Row],[Mes 2]]+Registro[[#This Row],[Mes 3]]</f>
        <v>0</v>
      </c>
      <c r="U517" s="19">
        <f>Registro[[#This Row],[Mes 4]]+Registro[[#This Row],[Mes 5]]+Registro[[#This Row],[Mes 6]]</f>
        <v>0</v>
      </c>
      <c r="V517" s="19">
        <f>Registro[[#This Row],[Mes 7]]+Registro[[#This Row],[Mes 8]]+Registro[[#This Row],[Mes 9]]</f>
        <v>0</v>
      </c>
      <c r="W517" s="20">
        <f>Registro[[#This Row],[Mes 10]]+Registro[[#This Row],[Mes 11]]+Registro[[#This Row],[Mes 12]]</f>
        <v>0</v>
      </c>
      <c r="X517" s="20">
        <f>SUM(Registro[[#This Row],[Trim I]],Registro[[#This Row],[Trim II]],Registro[[#This Row],[Trim III]],Registro[[#This Row],[Trim IV]])</f>
        <v>0</v>
      </c>
      <c r="Y517" s="22">
        <f>IFERROR((Registro[[#This Row],[Avance Total]]/Registro[[#This Row],[Meta]]),0)</f>
        <v>0</v>
      </c>
      <c r="Z517" s="22">
        <f>IFERROR((Registro[[#This Row],[Avance Total]]-Registro[[#This Row],[Línea Base 2025]])/Registro[[#This Row],[Línea Base 2025]],0)</f>
        <v>0</v>
      </c>
      <c r="AA517" s="20">
        <v>2026</v>
      </c>
    </row>
    <row r="518" spans="1:27" hidden="1">
      <c r="A518" s="14">
        <v>1040</v>
      </c>
      <c r="B518" s="15" t="s">
        <v>77</v>
      </c>
      <c r="C518" s="16">
        <v>120</v>
      </c>
      <c r="D518" s="16" t="s">
        <v>192</v>
      </c>
      <c r="E518" s="17" t="s">
        <v>191</v>
      </c>
      <c r="F518" s="24">
        <v>1</v>
      </c>
      <c r="G518" s="19">
        <v>10</v>
      </c>
      <c r="H518" s="19">
        <v>0</v>
      </c>
      <c r="I518" s="19">
        <v>0</v>
      </c>
      <c r="T518" s="19">
        <f>Registro[[#This Row],[Mes 1]]+Registro[[#This Row],[Mes 2]]+Registro[[#This Row],[Mes 3]]</f>
        <v>0</v>
      </c>
      <c r="U518" s="19">
        <f>Registro[[#This Row],[Mes 4]]+Registro[[#This Row],[Mes 5]]+Registro[[#This Row],[Mes 6]]</f>
        <v>0</v>
      </c>
      <c r="V518" s="19">
        <f>Registro[[#This Row],[Mes 7]]+Registro[[#This Row],[Mes 8]]+Registro[[#This Row],[Mes 9]]</f>
        <v>0</v>
      </c>
      <c r="W518" s="20">
        <f>Registro[[#This Row],[Mes 10]]+Registro[[#This Row],[Mes 11]]+Registro[[#This Row],[Mes 12]]</f>
        <v>0</v>
      </c>
      <c r="X518" s="20">
        <f>SUM(Registro[[#This Row],[Trim I]],Registro[[#This Row],[Trim II]],Registro[[#This Row],[Trim III]],Registro[[#This Row],[Trim IV]])</f>
        <v>0</v>
      </c>
      <c r="Y518" s="22">
        <f>IFERROR((Registro[[#This Row],[Avance Total]]/Registro[[#This Row],[Meta]]),0)</f>
        <v>0</v>
      </c>
      <c r="Z518" s="22">
        <f>IFERROR((Registro[[#This Row],[Avance Total]]-Registro[[#This Row],[Línea Base 2025]])/Registro[[#This Row],[Línea Base 2025]],0)</f>
        <v>-1</v>
      </c>
      <c r="AA518" s="20">
        <v>2026</v>
      </c>
    </row>
    <row r="519" spans="1:27" hidden="1">
      <c r="A519" s="14">
        <v>1040</v>
      </c>
      <c r="B519" s="15" t="s">
        <v>77</v>
      </c>
      <c r="C519" s="16">
        <v>121</v>
      </c>
      <c r="D519" s="16" t="s">
        <v>194</v>
      </c>
      <c r="E519" s="17" t="s">
        <v>193</v>
      </c>
      <c r="F519" s="24">
        <v>1</v>
      </c>
      <c r="G519" s="19">
        <v>5</v>
      </c>
      <c r="H519" s="19">
        <v>0</v>
      </c>
      <c r="I519" s="19">
        <v>0</v>
      </c>
      <c r="T519" s="19">
        <f>Registro[[#This Row],[Mes 1]]+Registro[[#This Row],[Mes 2]]+Registro[[#This Row],[Mes 3]]</f>
        <v>0</v>
      </c>
      <c r="U519" s="19">
        <f>Registro[[#This Row],[Mes 4]]+Registro[[#This Row],[Mes 5]]+Registro[[#This Row],[Mes 6]]</f>
        <v>0</v>
      </c>
      <c r="V519" s="19">
        <f>Registro[[#This Row],[Mes 7]]+Registro[[#This Row],[Mes 8]]+Registro[[#This Row],[Mes 9]]</f>
        <v>0</v>
      </c>
      <c r="W519" s="20">
        <f>Registro[[#This Row],[Mes 10]]+Registro[[#This Row],[Mes 11]]+Registro[[#This Row],[Mes 12]]</f>
        <v>0</v>
      </c>
      <c r="X519" s="20">
        <f>SUM(Registro[[#This Row],[Trim I]],Registro[[#This Row],[Trim II]],Registro[[#This Row],[Trim III]],Registro[[#This Row],[Trim IV]])</f>
        <v>0</v>
      </c>
      <c r="Y519" s="22">
        <f>IFERROR((Registro[[#This Row],[Avance Total]]/Registro[[#This Row],[Meta]]),0)</f>
        <v>0</v>
      </c>
      <c r="Z519" s="22">
        <f>IFERROR((Registro[[#This Row],[Avance Total]]-Registro[[#This Row],[Línea Base 2025]])/Registro[[#This Row],[Línea Base 2025]],0)</f>
        <v>-1</v>
      </c>
      <c r="AA519" s="20">
        <v>2026</v>
      </c>
    </row>
    <row r="520" spans="1:27" hidden="1">
      <c r="A520" s="14">
        <v>1040</v>
      </c>
      <c r="B520" s="15" t="s">
        <v>77</v>
      </c>
      <c r="C520" s="16">
        <v>122</v>
      </c>
      <c r="D520" s="16" t="s">
        <v>196</v>
      </c>
      <c r="E520" s="17" t="s">
        <v>195</v>
      </c>
      <c r="F520" s="24">
        <v>2</v>
      </c>
      <c r="G520" s="19">
        <v>9</v>
      </c>
      <c r="H520" s="19">
        <v>0</v>
      </c>
      <c r="I520" s="19">
        <v>0</v>
      </c>
      <c r="T520" s="19">
        <f>Registro[[#This Row],[Mes 1]]+Registro[[#This Row],[Mes 2]]+Registro[[#This Row],[Mes 3]]</f>
        <v>0</v>
      </c>
      <c r="U520" s="19">
        <f>Registro[[#This Row],[Mes 4]]+Registro[[#This Row],[Mes 5]]+Registro[[#This Row],[Mes 6]]</f>
        <v>0</v>
      </c>
      <c r="V520" s="19">
        <f>Registro[[#This Row],[Mes 7]]+Registro[[#This Row],[Mes 8]]+Registro[[#This Row],[Mes 9]]</f>
        <v>0</v>
      </c>
      <c r="W520" s="20">
        <f>Registro[[#This Row],[Mes 10]]+Registro[[#This Row],[Mes 11]]+Registro[[#This Row],[Mes 12]]</f>
        <v>0</v>
      </c>
      <c r="X520" s="20">
        <f>SUM(Registro[[#This Row],[Trim I]],Registro[[#This Row],[Trim II]],Registro[[#This Row],[Trim III]],Registro[[#This Row],[Trim IV]])</f>
        <v>0</v>
      </c>
      <c r="Y520" s="22">
        <f>IFERROR((Registro[[#This Row],[Avance Total]]/Registro[[#This Row],[Meta]]),0)</f>
        <v>0</v>
      </c>
      <c r="Z520" s="22">
        <f>IFERROR((Registro[[#This Row],[Avance Total]]-Registro[[#This Row],[Línea Base 2025]])/Registro[[#This Row],[Línea Base 2025]],0)</f>
        <v>-1</v>
      </c>
      <c r="AA520" s="20">
        <v>2026</v>
      </c>
    </row>
    <row r="521" spans="1:27" hidden="1">
      <c r="A521" s="14">
        <v>1040</v>
      </c>
      <c r="B521" s="15" t="s">
        <v>77</v>
      </c>
      <c r="C521" s="16">
        <v>123</v>
      </c>
      <c r="D521" s="16" t="s">
        <v>198</v>
      </c>
      <c r="E521" s="17" t="s">
        <v>197</v>
      </c>
      <c r="F521" s="24">
        <v>0</v>
      </c>
      <c r="G521" s="19">
        <v>2</v>
      </c>
      <c r="H521" s="19">
        <v>0</v>
      </c>
      <c r="I521" s="19">
        <v>0</v>
      </c>
      <c r="T521" s="19">
        <f>Registro[[#This Row],[Mes 1]]+Registro[[#This Row],[Mes 2]]+Registro[[#This Row],[Mes 3]]</f>
        <v>0</v>
      </c>
      <c r="U521" s="19">
        <f>Registro[[#This Row],[Mes 4]]+Registro[[#This Row],[Mes 5]]+Registro[[#This Row],[Mes 6]]</f>
        <v>0</v>
      </c>
      <c r="V521" s="19">
        <f>Registro[[#This Row],[Mes 7]]+Registro[[#This Row],[Mes 8]]+Registro[[#This Row],[Mes 9]]</f>
        <v>0</v>
      </c>
      <c r="W521" s="20">
        <f>Registro[[#This Row],[Mes 10]]+Registro[[#This Row],[Mes 11]]+Registro[[#This Row],[Mes 12]]</f>
        <v>0</v>
      </c>
      <c r="X521" s="20">
        <f>SUM(Registro[[#This Row],[Trim I]],Registro[[#This Row],[Trim II]],Registro[[#This Row],[Trim III]],Registro[[#This Row],[Trim IV]])</f>
        <v>0</v>
      </c>
      <c r="Y521" s="22">
        <f>IFERROR((Registro[[#This Row],[Avance Total]]/Registro[[#This Row],[Meta]]),0)</f>
        <v>0</v>
      </c>
      <c r="Z521" s="22">
        <f>IFERROR((Registro[[#This Row],[Avance Total]]-Registro[[#This Row],[Línea Base 2025]])/Registro[[#This Row],[Línea Base 2025]],0)</f>
        <v>0</v>
      </c>
      <c r="AA521" s="20">
        <v>2026</v>
      </c>
    </row>
    <row r="522" spans="1:27" hidden="1">
      <c r="A522" s="14">
        <v>1041</v>
      </c>
      <c r="B522" s="15" t="s">
        <v>78</v>
      </c>
      <c r="C522" s="16">
        <v>111</v>
      </c>
      <c r="D522" s="16" t="s">
        <v>171</v>
      </c>
      <c r="E522" s="17" t="s">
        <v>172</v>
      </c>
      <c r="F522" s="24">
        <v>22</v>
      </c>
      <c r="G522" s="19">
        <v>57</v>
      </c>
      <c r="H522" s="19">
        <v>0</v>
      </c>
      <c r="I522" s="19">
        <v>4</v>
      </c>
      <c r="T522" s="19">
        <f>Registro[[#This Row],[Mes 1]]+Registro[[#This Row],[Mes 2]]+Registro[[#This Row],[Mes 3]]</f>
        <v>4</v>
      </c>
      <c r="U522" s="19">
        <f>Registro[[#This Row],[Mes 4]]+Registro[[#This Row],[Mes 5]]+Registro[[#This Row],[Mes 6]]</f>
        <v>0</v>
      </c>
      <c r="V522" s="19">
        <f>Registro[[#This Row],[Mes 7]]+Registro[[#This Row],[Mes 8]]+Registro[[#This Row],[Mes 9]]</f>
        <v>0</v>
      </c>
      <c r="W522" s="20">
        <f>Registro[[#This Row],[Mes 10]]+Registro[[#This Row],[Mes 11]]+Registro[[#This Row],[Mes 12]]</f>
        <v>0</v>
      </c>
      <c r="X522" s="20">
        <f>SUM(Registro[[#This Row],[Trim I]],Registro[[#This Row],[Trim II]],Registro[[#This Row],[Trim III]],Registro[[#This Row],[Trim IV]])</f>
        <v>4</v>
      </c>
      <c r="Y522" s="22">
        <f>IFERROR((Registro[[#This Row],[Avance Total]]/Registro[[#This Row],[Meta]]),0)</f>
        <v>7.0175438596491224E-2</v>
      </c>
      <c r="Z522" s="22">
        <f>IFERROR((Registro[[#This Row],[Avance Total]]-Registro[[#This Row],[Línea Base 2025]])/Registro[[#This Row],[Línea Base 2025]],0)</f>
        <v>-0.81818181818181823</v>
      </c>
      <c r="AA522" s="20">
        <v>2026</v>
      </c>
    </row>
    <row r="523" spans="1:27" hidden="1">
      <c r="A523" s="14">
        <v>1041</v>
      </c>
      <c r="B523" s="15" t="s">
        <v>78</v>
      </c>
      <c r="C523" s="16">
        <v>112</v>
      </c>
      <c r="D523" s="16" t="s">
        <v>173</v>
      </c>
      <c r="E523" s="17" t="s">
        <v>7</v>
      </c>
      <c r="F523" s="24">
        <v>4</v>
      </c>
      <c r="G523" s="19">
        <v>28</v>
      </c>
      <c r="H523" s="19">
        <v>0</v>
      </c>
      <c r="I523" s="19">
        <v>0</v>
      </c>
      <c r="T523" s="19">
        <f>Registro[[#This Row],[Mes 1]]+Registro[[#This Row],[Mes 2]]+Registro[[#This Row],[Mes 3]]</f>
        <v>0</v>
      </c>
      <c r="U523" s="19">
        <f>Registro[[#This Row],[Mes 4]]+Registro[[#This Row],[Mes 5]]+Registro[[#This Row],[Mes 6]]</f>
        <v>0</v>
      </c>
      <c r="V523" s="19">
        <f>Registro[[#This Row],[Mes 7]]+Registro[[#This Row],[Mes 8]]+Registro[[#This Row],[Mes 9]]</f>
        <v>0</v>
      </c>
      <c r="W523" s="20">
        <f>Registro[[#This Row],[Mes 10]]+Registro[[#This Row],[Mes 11]]+Registro[[#This Row],[Mes 12]]</f>
        <v>0</v>
      </c>
      <c r="X523" s="20">
        <f>SUM(Registro[[#This Row],[Trim I]],Registro[[#This Row],[Trim II]],Registro[[#This Row],[Trim III]],Registro[[#This Row],[Trim IV]])</f>
        <v>0</v>
      </c>
      <c r="Y523" s="22">
        <f>IFERROR((Registro[[#This Row],[Avance Total]]/Registro[[#This Row],[Meta]]),0)</f>
        <v>0</v>
      </c>
      <c r="Z523" s="22">
        <f>IFERROR((Registro[[#This Row],[Avance Total]]-Registro[[#This Row],[Línea Base 2025]])/Registro[[#This Row],[Línea Base 2025]],0)</f>
        <v>-1</v>
      </c>
      <c r="AA523" s="20">
        <v>2026</v>
      </c>
    </row>
    <row r="524" spans="1:27" hidden="1">
      <c r="A524" s="14">
        <v>1041</v>
      </c>
      <c r="B524" s="15" t="s">
        <v>78</v>
      </c>
      <c r="C524" s="16">
        <v>113</v>
      </c>
      <c r="D524" s="16" t="s">
        <v>179</v>
      </c>
      <c r="E524" s="17" t="s">
        <v>178</v>
      </c>
      <c r="F524" s="24">
        <v>21</v>
      </c>
      <c r="G524" s="19">
        <v>73</v>
      </c>
      <c r="H524" s="19">
        <v>0</v>
      </c>
      <c r="I524" s="19">
        <v>0</v>
      </c>
      <c r="T524" s="19">
        <f>Registro[[#This Row],[Mes 1]]+Registro[[#This Row],[Mes 2]]+Registro[[#This Row],[Mes 3]]</f>
        <v>0</v>
      </c>
      <c r="U524" s="19">
        <f>Registro[[#This Row],[Mes 4]]+Registro[[#This Row],[Mes 5]]+Registro[[#This Row],[Mes 6]]</f>
        <v>0</v>
      </c>
      <c r="V524" s="19">
        <f>Registro[[#This Row],[Mes 7]]+Registro[[#This Row],[Mes 8]]+Registro[[#This Row],[Mes 9]]</f>
        <v>0</v>
      </c>
      <c r="W524" s="20">
        <f>Registro[[#This Row],[Mes 10]]+Registro[[#This Row],[Mes 11]]+Registro[[#This Row],[Mes 12]]</f>
        <v>0</v>
      </c>
      <c r="X524" s="20">
        <f>SUM(Registro[[#This Row],[Trim I]],Registro[[#This Row],[Trim II]],Registro[[#This Row],[Trim III]],Registro[[#This Row],[Trim IV]])</f>
        <v>0</v>
      </c>
      <c r="Y524" s="22">
        <f>IFERROR((Registro[[#This Row],[Avance Total]]/Registro[[#This Row],[Meta]]),0)</f>
        <v>0</v>
      </c>
      <c r="Z524" s="22">
        <f>IFERROR((Registro[[#This Row],[Avance Total]]-Registro[[#This Row],[Línea Base 2025]])/Registro[[#This Row],[Línea Base 2025]],0)</f>
        <v>-1</v>
      </c>
      <c r="AA524" s="20">
        <v>2026</v>
      </c>
    </row>
    <row r="525" spans="1:27" hidden="1">
      <c r="A525" s="14">
        <v>1041</v>
      </c>
      <c r="B525" s="15" t="s">
        <v>78</v>
      </c>
      <c r="C525" s="16">
        <v>114</v>
      </c>
      <c r="D525" s="16" t="s">
        <v>181</v>
      </c>
      <c r="E525" s="17" t="s">
        <v>180</v>
      </c>
      <c r="F525" s="24">
        <v>2</v>
      </c>
      <c r="G525" s="19">
        <v>2</v>
      </c>
      <c r="H525" s="19">
        <v>0</v>
      </c>
      <c r="I525" s="19">
        <v>0</v>
      </c>
      <c r="T525" s="19">
        <f>Registro[[#This Row],[Mes 1]]+Registro[[#This Row],[Mes 2]]+Registro[[#This Row],[Mes 3]]</f>
        <v>0</v>
      </c>
      <c r="U525" s="19">
        <f>Registro[[#This Row],[Mes 4]]+Registro[[#This Row],[Mes 5]]+Registro[[#This Row],[Mes 6]]</f>
        <v>0</v>
      </c>
      <c r="V525" s="19">
        <f>Registro[[#This Row],[Mes 7]]+Registro[[#This Row],[Mes 8]]+Registro[[#This Row],[Mes 9]]</f>
        <v>0</v>
      </c>
      <c r="W525" s="20">
        <f>Registro[[#This Row],[Mes 10]]+Registro[[#This Row],[Mes 11]]+Registro[[#This Row],[Mes 12]]</f>
        <v>0</v>
      </c>
      <c r="X525" s="20">
        <f>SUM(Registro[[#This Row],[Trim I]],Registro[[#This Row],[Trim II]],Registro[[#This Row],[Trim III]],Registro[[#This Row],[Trim IV]])</f>
        <v>0</v>
      </c>
      <c r="Y525" s="22">
        <f>IFERROR((Registro[[#This Row],[Avance Total]]/Registro[[#This Row],[Meta]]),0)</f>
        <v>0</v>
      </c>
      <c r="Z525" s="22">
        <f>IFERROR((Registro[[#This Row],[Avance Total]]-Registro[[#This Row],[Línea Base 2025]])/Registro[[#This Row],[Línea Base 2025]],0)</f>
        <v>-1</v>
      </c>
      <c r="AA525" s="20">
        <v>2026</v>
      </c>
    </row>
    <row r="526" spans="1:27" hidden="1">
      <c r="A526" s="14">
        <v>1041</v>
      </c>
      <c r="B526" s="15" t="s">
        <v>78</v>
      </c>
      <c r="C526" s="16">
        <v>115</v>
      </c>
      <c r="D526" s="16" t="s">
        <v>183</v>
      </c>
      <c r="E526" s="17" t="s">
        <v>182</v>
      </c>
      <c r="F526" s="24">
        <v>0</v>
      </c>
      <c r="G526" s="19">
        <v>2</v>
      </c>
      <c r="H526" s="19">
        <v>0</v>
      </c>
      <c r="I526" s="19">
        <v>0</v>
      </c>
      <c r="T526" s="19">
        <f>Registro[[#This Row],[Mes 1]]+Registro[[#This Row],[Mes 2]]+Registro[[#This Row],[Mes 3]]</f>
        <v>0</v>
      </c>
      <c r="U526" s="19">
        <f>Registro[[#This Row],[Mes 4]]+Registro[[#This Row],[Mes 5]]+Registro[[#This Row],[Mes 6]]</f>
        <v>0</v>
      </c>
      <c r="V526" s="19">
        <f>Registro[[#This Row],[Mes 7]]+Registro[[#This Row],[Mes 8]]+Registro[[#This Row],[Mes 9]]</f>
        <v>0</v>
      </c>
      <c r="W526" s="20">
        <f>Registro[[#This Row],[Mes 10]]+Registro[[#This Row],[Mes 11]]+Registro[[#This Row],[Mes 12]]</f>
        <v>0</v>
      </c>
      <c r="X526" s="20">
        <f>SUM(Registro[[#This Row],[Trim I]],Registro[[#This Row],[Trim II]],Registro[[#This Row],[Trim III]],Registro[[#This Row],[Trim IV]])</f>
        <v>0</v>
      </c>
      <c r="Y526" s="22">
        <f>IFERROR((Registro[[#This Row],[Avance Total]]/Registro[[#This Row],[Meta]]),0)</f>
        <v>0</v>
      </c>
      <c r="Z526" s="22">
        <f>IFERROR((Registro[[#This Row],[Avance Total]]-Registro[[#This Row],[Línea Base 2025]])/Registro[[#This Row],[Línea Base 2025]],0)</f>
        <v>0</v>
      </c>
      <c r="AA526" s="20">
        <v>2026</v>
      </c>
    </row>
    <row r="527" spans="1:27">
      <c r="A527" s="14">
        <v>1041</v>
      </c>
      <c r="B527" s="15" t="s">
        <v>78</v>
      </c>
      <c r="C527" s="16">
        <v>116</v>
      </c>
      <c r="D527" s="16" t="s">
        <v>185</v>
      </c>
      <c r="E527" s="17" t="s">
        <v>184</v>
      </c>
      <c r="F527" s="24">
        <v>0</v>
      </c>
      <c r="G527" s="19">
        <v>1</v>
      </c>
      <c r="H527" s="19">
        <v>0</v>
      </c>
      <c r="I527" s="19">
        <v>0</v>
      </c>
      <c r="T527" s="19">
        <f>Registro[[#This Row],[Mes 1]]+Registro[[#This Row],[Mes 2]]+Registro[[#This Row],[Mes 3]]</f>
        <v>0</v>
      </c>
      <c r="U527" s="19">
        <f>Registro[[#This Row],[Mes 4]]+Registro[[#This Row],[Mes 5]]+Registro[[#This Row],[Mes 6]]</f>
        <v>0</v>
      </c>
      <c r="V527" s="19">
        <f>Registro[[#This Row],[Mes 7]]+Registro[[#This Row],[Mes 8]]+Registro[[#This Row],[Mes 9]]</f>
        <v>0</v>
      </c>
      <c r="W527" s="20">
        <f>Registro[[#This Row],[Mes 10]]+Registro[[#This Row],[Mes 11]]+Registro[[#This Row],[Mes 12]]</f>
        <v>0</v>
      </c>
      <c r="X527" s="20">
        <f>SUM(Registro[[#This Row],[Trim I]],Registro[[#This Row],[Trim II]],Registro[[#This Row],[Trim III]],Registro[[#This Row],[Trim IV]])</f>
        <v>0</v>
      </c>
      <c r="Y527" s="22">
        <f>IFERROR((Registro[[#This Row],[Avance Total]]/Registro[[#This Row],[Meta]]),0)</f>
        <v>0</v>
      </c>
      <c r="Z527" s="22">
        <f>IFERROR((Registro[[#This Row],[Avance Total]]-Registro[[#This Row],[Línea Base 2025]])/Registro[[#This Row],[Línea Base 2025]],0)</f>
        <v>0</v>
      </c>
      <c r="AA527" s="20">
        <v>2026</v>
      </c>
    </row>
    <row r="528" spans="1:27" hidden="1">
      <c r="A528" s="14">
        <v>1041</v>
      </c>
      <c r="B528" s="15" t="s">
        <v>78</v>
      </c>
      <c r="C528" s="16">
        <v>117</v>
      </c>
      <c r="D528" s="16" t="s">
        <v>187</v>
      </c>
      <c r="E528" s="17" t="s">
        <v>186</v>
      </c>
      <c r="F528" s="24">
        <v>1</v>
      </c>
      <c r="G528" s="19">
        <v>1</v>
      </c>
      <c r="H528" s="19">
        <v>0</v>
      </c>
      <c r="I528" s="19">
        <v>0</v>
      </c>
      <c r="T528" s="19">
        <f>Registro[[#This Row],[Mes 1]]+Registro[[#This Row],[Mes 2]]+Registro[[#This Row],[Mes 3]]</f>
        <v>0</v>
      </c>
      <c r="U528" s="19">
        <f>Registro[[#This Row],[Mes 4]]+Registro[[#This Row],[Mes 5]]+Registro[[#This Row],[Mes 6]]</f>
        <v>0</v>
      </c>
      <c r="V528" s="19">
        <f>Registro[[#This Row],[Mes 7]]+Registro[[#This Row],[Mes 8]]+Registro[[#This Row],[Mes 9]]</f>
        <v>0</v>
      </c>
      <c r="W528" s="20">
        <f>Registro[[#This Row],[Mes 10]]+Registro[[#This Row],[Mes 11]]+Registro[[#This Row],[Mes 12]]</f>
        <v>0</v>
      </c>
      <c r="X528" s="20">
        <f>SUM(Registro[[#This Row],[Trim I]],Registro[[#This Row],[Trim II]],Registro[[#This Row],[Trim III]],Registro[[#This Row],[Trim IV]])</f>
        <v>0</v>
      </c>
      <c r="Y528" s="22">
        <f>IFERROR((Registro[[#This Row],[Avance Total]]/Registro[[#This Row],[Meta]]),0)</f>
        <v>0</v>
      </c>
      <c r="Z528" s="22">
        <f>IFERROR((Registro[[#This Row],[Avance Total]]-Registro[[#This Row],[Línea Base 2025]])/Registro[[#This Row],[Línea Base 2025]],0)</f>
        <v>-1</v>
      </c>
      <c r="AA528" s="20">
        <v>2026</v>
      </c>
    </row>
    <row r="529" spans="1:27" hidden="1">
      <c r="A529" s="14">
        <v>1041</v>
      </c>
      <c r="B529" s="15" t="s">
        <v>78</v>
      </c>
      <c r="C529" s="16">
        <v>118</v>
      </c>
      <c r="D529" s="16" t="s">
        <v>188</v>
      </c>
      <c r="E529" s="17" t="s">
        <v>9</v>
      </c>
      <c r="F529" s="24">
        <v>0</v>
      </c>
      <c r="G529" s="19">
        <v>0</v>
      </c>
      <c r="H529" s="19">
        <v>0</v>
      </c>
      <c r="I529" s="19">
        <v>0</v>
      </c>
      <c r="T529" s="19">
        <f>Registro[[#This Row],[Mes 1]]+Registro[[#This Row],[Mes 2]]+Registro[[#This Row],[Mes 3]]</f>
        <v>0</v>
      </c>
      <c r="U529" s="19">
        <f>Registro[[#This Row],[Mes 4]]+Registro[[#This Row],[Mes 5]]+Registro[[#This Row],[Mes 6]]</f>
        <v>0</v>
      </c>
      <c r="V529" s="19">
        <f>Registro[[#This Row],[Mes 7]]+Registro[[#This Row],[Mes 8]]+Registro[[#This Row],[Mes 9]]</f>
        <v>0</v>
      </c>
      <c r="W529" s="20">
        <f>Registro[[#This Row],[Mes 10]]+Registro[[#This Row],[Mes 11]]+Registro[[#This Row],[Mes 12]]</f>
        <v>0</v>
      </c>
      <c r="X529" s="20">
        <f>SUM(Registro[[#This Row],[Trim I]],Registro[[#This Row],[Trim II]],Registro[[#This Row],[Trim III]],Registro[[#This Row],[Trim IV]])</f>
        <v>0</v>
      </c>
      <c r="Y529" s="22">
        <f>IFERROR((Registro[[#This Row],[Avance Total]]/Registro[[#This Row],[Meta]]),0)</f>
        <v>0</v>
      </c>
      <c r="Z529" s="22">
        <f>IFERROR((Registro[[#This Row],[Avance Total]]-Registro[[#This Row],[Línea Base 2025]])/Registro[[#This Row],[Línea Base 2025]],0)</f>
        <v>0</v>
      </c>
      <c r="AA529" s="20">
        <v>2026</v>
      </c>
    </row>
    <row r="530" spans="1:27" hidden="1">
      <c r="A530" s="14">
        <v>1041</v>
      </c>
      <c r="B530" s="15" t="s">
        <v>78</v>
      </c>
      <c r="C530" s="16">
        <v>119</v>
      </c>
      <c r="D530" s="16" t="s">
        <v>190</v>
      </c>
      <c r="E530" s="17" t="s">
        <v>189</v>
      </c>
      <c r="F530" s="24">
        <v>0</v>
      </c>
      <c r="G530" s="19">
        <v>1</v>
      </c>
      <c r="H530" s="19">
        <v>0</v>
      </c>
      <c r="I530" s="19">
        <v>0</v>
      </c>
      <c r="T530" s="19">
        <f>Registro[[#This Row],[Mes 1]]+Registro[[#This Row],[Mes 2]]+Registro[[#This Row],[Mes 3]]</f>
        <v>0</v>
      </c>
      <c r="U530" s="19">
        <f>Registro[[#This Row],[Mes 4]]+Registro[[#This Row],[Mes 5]]+Registro[[#This Row],[Mes 6]]</f>
        <v>0</v>
      </c>
      <c r="V530" s="19">
        <f>Registro[[#This Row],[Mes 7]]+Registro[[#This Row],[Mes 8]]+Registro[[#This Row],[Mes 9]]</f>
        <v>0</v>
      </c>
      <c r="W530" s="20">
        <f>Registro[[#This Row],[Mes 10]]+Registro[[#This Row],[Mes 11]]+Registro[[#This Row],[Mes 12]]</f>
        <v>0</v>
      </c>
      <c r="X530" s="20">
        <f>SUM(Registro[[#This Row],[Trim I]],Registro[[#This Row],[Trim II]],Registro[[#This Row],[Trim III]],Registro[[#This Row],[Trim IV]])</f>
        <v>0</v>
      </c>
      <c r="Y530" s="22">
        <f>IFERROR((Registro[[#This Row],[Avance Total]]/Registro[[#This Row],[Meta]]),0)</f>
        <v>0</v>
      </c>
      <c r="Z530" s="22">
        <f>IFERROR((Registro[[#This Row],[Avance Total]]-Registro[[#This Row],[Línea Base 2025]])/Registro[[#This Row],[Línea Base 2025]],0)</f>
        <v>0</v>
      </c>
      <c r="AA530" s="20">
        <v>2026</v>
      </c>
    </row>
    <row r="531" spans="1:27" hidden="1">
      <c r="A531" s="14">
        <v>1041</v>
      </c>
      <c r="B531" s="15" t="s">
        <v>78</v>
      </c>
      <c r="C531" s="16">
        <v>120</v>
      </c>
      <c r="D531" s="16" t="s">
        <v>192</v>
      </c>
      <c r="E531" s="17" t="s">
        <v>191</v>
      </c>
      <c r="F531" s="24">
        <v>1</v>
      </c>
      <c r="G531" s="19">
        <v>6</v>
      </c>
      <c r="H531" s="19">
        <v>0</v>
      </c>
      <c r="I531" s="19">
        <v>0</v>
      </c>
      <c r="T531" s="19">
        <f>Registro[[#This Row],[Mes 1]]+Registro[[#This Row],[Mes 2]]+Registro[[#This Row],[Mes 3]]</f>
        <v>0</v>
      </c>
      <c r="U531" s="19">
        <f>Registro[[#This Row],[Mes 4]]+Registro[[#This Row],[Mes 5]]+Registro[[#This Row],[Mes 6]]</f>
        <v>0</v>
      </c>
      <c r="V531" s="19">
        <f>Registro[[#This Row],[Mes 7]]+Registro[[#This Row],[Mes 8]]+Registro[[#This Row],[Mes 9]]</f>
        <v>0</v>
      </c>
      <c r="W531" s="20">
        <f>Registro[[#This Row],[Mes 10]]+Registro[[#This Row],[Mes 11]]+Registro[[#This Row],[Mes 12]]</f>
        <v>0</v>
      </c>
      <c r="X531" s="20">
        <f>SUM(Registro[[#This Row],[Trim I]],Registro[[#This Row],[Trim II]],Registro[[#This Row],[Trim III]],Registro[[#This Row],[Trim IV]])</f>
        <v>0</v>
      </c>
      <c r="Y531" s="22">
        <f>IFERROR((Registro[[#This Row],[Avance Total]]/Registro[[#This Row],[Meta]]),0)</f>
        <v>0</v>
      </c>
      <c r="Z531" s="22">
        <f>IFERROR((Registro[[#This Row],[Avance Total]]-Registro[[#This Row],[Línea Base 2025]])/Registro[[#This Row],[Línea Base 2025]],0)</f>
        <v>-1</v>
      </c>
      <c r="AA531" s="20">
        <v>2026</v>
      </c>
    </row>
    <row r="532" spans="1:27" hidden="1">
      <c r="A532" s="14">
        <v>1041</v>
      </c>
      <c r="B532" s="15" t="s">
        <v>78</v>
      </c>
      <c r="C532" s="16">
        <v>121</v>
      </c>
      <c r="D532" s="16" t="s">
        <v>194</v>
      </c>
      <c r="E532" s="17" t="s">
        <v>193</v>
      </c>
      <c r="F532" s="24">
        <v>0</v>
      </c>
      <c r="G532" s="19">
        <v>6</v>
      </c>
      <c r="H532" s="19">
        <v>0</v>
      </c>
      <c r="I532" s="19">
        <v>0</v>
      </c>
      <c r="T532" s="19">
        <f>Registro[[#This Row],[Mes 1]]+Registro[[#This Row],[Mes 2]]+Registro[[#This Row],[Mes 3]]</f>
        <v>0</v>
      </c>
      <c r="U532" s="19">
        <f>Registro[[#This Row],[Mes 4]]+Registro[[#This Row],[Mes 5]]+Registro[[#This Row],[Mes 6]]</f>
        <v>0</v>
      </c>
      <c r="V532" s="19">
        <f>Registro[[#This Row],[Mes 7]]+Registro[[#This Row],[Mes 8]]+Registro[[#This Row],[Mes 9]]</f>
        <v>0</v>
      </c>
      <c r="W532" s="20">
        <f>Registro[[#This Row],[Mes 10]]+Registro[[#This Row],[Mes 11]]+Registro[[#This Row],[Mes 12]]</f>
        <v>0</v>
      </c>
      <c r="X532" s="20">
        <f>SUM(Registro[[#This Row],[Trim I]],Registro[[#This Row],[Trim II]],Registro[[#This Row],[Trim III]],Registro[[#This Row],[Trim IV]])</f>
        <v>0</v>
      </c>
      <c r="Y532" s="22">
        <f>IFERROR((Registro[[#This Row],[Avance Total]]/Registro[[#This Row],[Meta]]),0)</f>
        <v>0</v>
      </c>
      <c r="Z532" s="22">
        <f>IFERROR((Registro[[#This Row],[Avance Total]]-Registro[[#This Row],[Línea Base 2025]])/Registro[[#This Row],[Línea Base 2025]],0)</f>
        <v>0</v>
      </c>
      <c r="AA532" s="20">
        <v>2026</v>
      </c>
    </row>
    <row r="533" spans="1:27" hidden="1">
      <c r="A533" s="14">
        <v>1041</v>
      </c>
      <c r="B533" s="15" t="s">
        <v>78</v>
      </c>
      <c r="C533" s="16">
        <v>122</v>
      </c>
      <c r="D533" s="16" t="s">
        <v>196</v>
      </c>
      <c r="E533" s="17" t="s">
        <v>195</v>
      </c>
      <c r="F533" s="24">
        <v>2</v>
      </c>
      <c r="G533" s="19">
        <v>6</v>
      </c>
      <c r="H533" s="19">
        <v>0</v>
      </c>
      <c r="I533" s="19">
        <v>0</v>
      </c>
      <c r="T533" s="19">
        <f>Registro[[#This Row],[Mes 1]]+Registro[[#This Row],[Mes 2]]+Registro[[#This Row],[Mes 3]]</f>
        <v>0</v>
      </c>
      <c r="U533" s="19">
        <f>Registro[[#This Row],[Mes 4]]+Registro[[#This Row],[Mes 5]]+Registro[[#This Row],[Mes 6]]</f>
        <v>0</v>
      </c>
      <c r="V533" s="19">
        <f>Registro[[#This Row],[Mes 7]]+Registro[[#This Row],[Mes 8]]+Registro[[#This Row],[Mes 9]]</f>
        <v>0</v>
      </c>
      <c r="W533" s="20">
        <f>Registro[[#This Row],[Mes 10]]+Registro[[#This Row],[Mes 11]]+Registro[[#This Row],[Mes 12]]</f>
        <v>0</v>
      </c>
      <c r="X533" s="20">
        <f>SUM(Registro[[#This Row],[Trim I]],Registro[[#This Row],[Trim II]],Registro[[#This Row],[Trim III]],Registro[[#This Row],[Trim IV]])</f>
        <v>0</v>
      </c>
      <c r="Y533" s="22">
        <f>IFERROR((Registro[[#This Row],[Avance Total]]/Registro[[#This Row],[Meta]]),0)</f>
        <v>0</v>
      </c>
      <c r="Z533" s="22">
        <f>IFERROR((Registro[[#This Row],[Avance Total]]-Registro[[#This Row],[Línea Base 2025]])/Registro[[#This Row],[Línea Base 2025]],0)</f>
        <v>-1</v>
      </c>
      <c r="AA533" s="20">
        <v>2026</v>
      </c>
    </row>
    <row r="534" spans="1:27" hidden="1">
      <c r="A534" s="14">
        <v>1041</v>
      </c>
      <c r="B534" s="15" t="s">
        <v>78</v>
      </c>
      <c r="C534" s="16">
        <v>123</v>
      </c>
      <c r="D534" s="16" t="s">
        <v>198</v>
      </c>
      <c r="E534" s="17" t="s">
        <v>197</v>
      </c>
      <c r="F534" s="24">
        <v>0</v>
      </c>
      <c r="G534" s="19">
        <v>1</v>
      </c>
      <c r="H534" s="19">
        <v>0</v>
      </c>
      <c r="I534" s="19">
        <v>0</v>
      </c>
      <c r="T534" s="19">
        <f>Registro[[#This Row],[Mes 1]]+Registro[[#This Row],[Mes 2]]+Registro[[#This Row],[Mes 3]]</f>
        <v>0</v>
      </c>
      <c r="U534" s="19">
        <f>Registro[[#This Row],[Mes 4]]+Registro[[#This Row],[Mes 5]]+Registro[[#This Row],[Mes 6]]</f>
        <v>0</v>
      </c>
      <c r="V534" s="19">
        <f>Registro[[#This Row],[Mes 7]]+Registro[[#This Row],[Mes 8]]+Registro[[#This Row],[Mes 9]]</f>
        <v>0</v>
      </c>
      <c r="W534" s="20">
        <f>Registro[[#This Row],[Mes 10]]+Registro[[#This Row],[Mes 11]]+Registro[[#This Row],[Mes 12]]</f>
        <v>0</v>
      </c>
      <c r="X534" s="20">
        <f>SUM(Registro[[#This Row],[Trim I]],Registro[[#This Row],[Trim II]],Registro[[#This Row],[Trim III]],Registro[[#This Row],[Trim IV]])</f>
        <v>0</v>
      </c>
      <c r="Y534" s="22">
        <f>IFERROR((Registro[[#This Row],[Avance Total]]/Registro[[#This Row],[Meta]]),0)</f>
        <v>0</v>
      </c>
      <c r="Z534" s="22">
        <f>IFERROR((Registro[[#This Row],[Avance Total]]-Registro[[#This Row],[Línea Base 2025]])/Registro[[#This Row],[Línea Base 2025]],0)</f>
        <v>0</v>
      </c>
      <c r="AA534" s="20">
        <v>2026</v>
      </c>
    </row>
    <row r="535" spans="1:27" hidden="1">
      <c r="A535" s="14">
        <v>1042</v>
      </c>
      <c r="B535" s="15" t="s">
        <v>79</v>
      </c>
      <c r="C535" s="16">
        <v>111</v>
      </c>
      <c r="D535" s="16" t="s">
        <v>171</v>
      </c>
      <c r="E535" s="17" t="s">
        <v>172</v>
      </c>
      <c r="F535" s="24">
        <v>63</v>
      </c>
      <c r="G535" s="19">
        <v>935</v>
      </c>
      <c r="H535" s="19">
        <v>0</v>
      </c>
      <c r="I535" s="19">
        <v>3</v>
      </c>
      <c r="T535" s="19">
        <f>Registro[[#This Row],[Mes 1]]+Registro[[#This Row],[Mes 2]]+Registro[[#This Row],[Mes 3]]</f>
        <v>3</v>
      </c>
      <c r="U535" s="19">
        <f>Registro[[#This Row],[Mes 4]]+Registro[[#This Row],[Mes 5]]+Registro[[#This Row],[Mes 6]]</f>
        <v>0</v>
      </c>
      <c r="V535" s="19">
        <f>Registro[[#This Row],[Mes 7]]+Registro[[#This Row],[Mes 8]]+Registro[[#This Row],[Mes 9]]</f>
        <v>0</v>
      </c>
      <c r="W535" s="20">
        <f>Registro[[#This Row],[Mes 10]]+Registro[[#This Row],[Mes 11]]+Registro[[#This Row],[Mes 12]]</f>
        <v>0</v>
      </c>
      <c r="X535" s="20">
        <f>SUM(Registro[[#This Row],[Trim I]],Registro[[#This Row],[Trim II]],Registro[[#This Row],[Trim III]],Registro[[#This Row],[Trim IV]])</f>
        <v>3</v>
      </c>
      <c r="Y535" s="22">
        <f>IFERROR((Registro[[#This Row],[Avance Total]]/Registro[[#This Row],[Meta]]),0)</f>
        <v>3.2085561497326204E-3</v>
      </c>
      <c r="Z535" s="22">
        <f>IFERROR((Registro[[#This Row],[Avance Total]]-Registro[[#This Row],[Línea Base 2025]])/Registro[[#This Row],[Línea Base 2025]],0)</f>
        <v>-0.95238095238095233</v>
      </c>
      <c r="AA535" s="20">
        <v>2026</v>
      </c>
    </row>
    <row r="536" spans="1:27" hidden="1">
      <c r="A536" s="14">
        <v>1042</v>
      </c>
      <c r="B536" s="15" t="s">
        <v>79</v>
      </c>
      <c r="C536" s="16">
        <v>112</v>
      </c>
      <c r="D536" s="16" t="s">
        <v>173</v>
      </c>
      <c r="E536" s="17" t="s">
        <v>7</v>
      </c>
      <c r="F536" s="24">
        <v>34</v>
      </c>
      <c r="G536" s="19">
        <v>216</v>
      </c>
      <c r="H536" s="19">
        <v>0</v>
      </c>
      <c r="I536" s="19">
        <v>0</v>
      </c>
      <c r="T536" s="19">
        <f>Registro[[#This Row],[Mes 1]]+Registro[[#This Row],[Mes 2]]+Registro[[#This Row],[Mes 3]]</f>
        <v>0</v>
      </c>
      <c r="U536" s="19">
        <f>Registro[[#This Row],[Mes 4]]+Registro[[#This Row],[Mes 5]]+Registro[[#This Row],[Mes 6]]</f>
        <v>0</v>
      </c>
      <c r="V536" s="19">
        <f>Registro[[#This Row],[Mes 7]]+Registro[[#This Row],[Mes 8]]+Registro[[#This Row],[Mes 9]]</f>
        <v>0</v>
      </c>
      <c r="W536" s="20">
        <f>Registro[[#This Row],[Mes 10]]+Registro[[#This Row],[Mes 11]]+Registro[[#This Row],[Mes 12]]</f>
        <v>0</v>
      </c>
      <c r="X536" s="20">
        <f>SUM(Registro[[#This Row],[Trim I]],Registro[[#This Row],[Trim II]],Registro[[#This Row],[Trim III]],Registro[[#This Row],[Trim IV]])</f>
        <v>0</v>
      </c>
      <c r="Y536" s="22">
        <f>IFERROR((Registro[[#This Row],[Avance Total]]/Registro[[#This Row],[Meta]]),0)</f>
        <v>0</v>
      </c>
      <c r="Z536" s="22">
        <f>IFERROR((Registro[[#This Row],[Avance Total]]-Registro[[#This Row],[Línea Base 2025]])/Registro[[#This Row],[Línea Base 2025]],0)</f>
        <v>-1</v>
      </c>
      <c r="AA536" s="20">
        <v>2026</v>
      </c>
    </row>
    <row r="537" spans="1:27" hidden="1">
      <c r="A537" s="14">
        <v>1042</v>
      </c>
      <c r="B537" s="15" t="s">
        <v>79</v>
      </c>
      <c r="C537" s="16">
        <v>113</v>
      </c>
      <c r="D537" s="16" t="s">
        <v>179</v>
      </c>
      <c r="E537" s="17" t="s">
        <v>178</v>
      </c>
      <c r="F537" s="24">
        <v>44</v>
      </c>
      <c r="G537" s="19">
        <v>1152</v>
      </c>
      <c r="H537" s="19">
        <v>0</v>
      </c>
      <c r="I537" s="19">
        <v>5</v>
      </c>
      <c r="T537" s="19">
        <f>Registro[[#This Row],[Mes 1]]+Registro[[#This Row],[Mes 2]]+Registro[[#This Row],[Mes 3]]</f>
        <v>5</v>
      </c>
      <c r="U537" s="19">
        <f>Registro[[#This Row],[Mes 4]]+Registro[[#This Row],[Mes 5]]+Registro[[#This Row],[Mes 6]]</f>
        <v>0</v>
      </c>
      <c r="V537" s="19">
        <f>Registro[[#This Row],[Mes 7]]+Registro[[#This Row],[Mes 8]]+Registro[[#This Row],[Mes 9]]</f>
        <v>0</v>
      </c>
      <c r="W537" s="20">
        <f>Registro[[#This Row],[Mes 10]]+Registro[[#This Row],[Mes 11]]+Registro[[#This Row],[Mes 12]]</f>
        <v>0</v>
      </c>
      <c r="X537" s="20">
        <f>SUM(Registro[[#This Row],[Trim I]],Registro[[#This Row],[Trim II]],Registro[[#This Row],[Trim III]],Registro[[#This Row],[Trim IV]])</f>
        <v>5</v>
      </c>
      <c r="Y537" s="22">
        <f>IFERROR((Registro[[#This Row],[Avance Total]]/Registro[[#This Row],[Meta]]),0)</f>
        <v>4.340277777777778E-3</v>
      </c>
      <c r="Z537" s="22">
        <f>IFERROR((Registro[[#This Row],[Avance Total]]-Registro[[#This Row],[Línea Base 2025]])/Registro[[#This Row],[Línea Base 2025]],0)</f>
        <v>-0.88636363636363635</v>
      </c>
      <c r="AA537" s="20">
        <v>2026</v>
      </c>
    </row>
    <row r="538" spans="1:27" hidden="1">
      <c r="A538" s="14">
        <v>1042</v>
      </c>
      <c r="B538" s="15" t="s">
        <v>79</v>
      </c>
      <c r="C538" s="16">
        <v>114</v>
      </c>
      <c r="D538" s="16" t="s">
        <v>181</v>
      </c>
      <c r="E538" s="17" t="s">
        <v>180</v>
      </c>
      <c r="F538" s="24">
        <v>2</v>
      </c>
      <c r="G538" s="19">
        <v>25</v>
      </c>
      <c r="H538" s="19">
        <v>1</v>
      </c>
      <c r="I538" s="19">
        <v>1</v>
      </c>
      <c r="T538" s="19">
        <f>Registro[[#This Row],[Mes 1]]+Registro[[#This Row],[Mes 2]]+Registro[[#This Row],[Mes 3]]</f>
        <v>2</v>
      </c>
      <c r="U538" s="19">
        <f>Registro[[#This Row],[Mes 4]]+Registro[[#This Row],[Mes 5]]+Registro[[#This Row],[Mes 6]]</f>
        <v>0</v>
      </c>
      <c r="V538" s="19">
        <f>Registro[[#This Row],[Mes 7]]+Registro[[#This Row],[Mes 8]]+Registro[[#This Row],[Mes 9]]</f>
        <v>0</v>
      </c>
      <c r="W538" s="20">
        <f>Registro[[#This Row],[Mes 10]]+Registro[[#This Row],[Mes 11]]+Registro[[#This Row],[Mes 12]]</f>
        <v>0</v>
      </c>
      <c r="X538" s="20">
        <f>SUM(Registro[[#This Row],[Trim I]],Registro[[#This Row],[Trim II]],Registro[[#This Row],[Trim III]],Registro[[#This Row],[Trim IV]])</f>
        <v>2</v>
      </c>
      <c r="Y538" s="22">
        <f>IFERROR((Registro[[#This Row],[Avance Total]]/Registro[[#This Row],[Meta]]),0)</f>
        <v>0.08</v>
      </c>
      <c r="Z538" s="22">
        <f>IFERROR((Registro[[#This Row],[Avance Total]]-Registro[[#This Row],[Línea Base 2025]])/Registro[[#This Row],[Línea Base 2025]],0)</f>
        <v>0</v>
      </c>
      <c r="AA538" s="20">
        <v>2026</v>
      </c>
    </row>
    <row r="539" spans="1:27" hidden="1">
      <c r="A539" s="14">
        <v>1042</v>
      </c>
      <c r="B539" s="15" t="s">
        <v>79</v>
      </c>
      <c r="C539" s="16">
        <v>115</v>
      </c>
      <c r="D539" s="16" t="s">
        <v>183</v>
      </c>
      <c r="E539" s="17" t="s">
        <v>182</v>
      </c>
      <c r="F539" s="24">
        <v>0</v>
      </c>
      <c r="G539" s="19">
        <v>22</v>
      </c>
      <c r="H539" s="19">
        <v>0</v>
      </c>
      <c r="I539" s="19">
        <v>0</v>
      </c>
      <c r="T539" s="19">
        <f>Registro[[#This Row],[Mes 1]]+Registro[[#This Row],[Mes 2]]+Registro[[#This Row],[Mes 3]]</f>
        <v>0</v>
      </c>
      <c r="U539" s="19">
        <f>Registro[[#This Row],[Mes 4]]+Registro[[#This Row],[Mes 5]]+Registro[[#This Row],[Mes 6]]</f>
        <v>0</v>
      </c>
      <c r="V539" s="19">
        <f>Registro[[#This Row],[Mes 7]]+Registro[[#This Row],[Mes 8]]+Registro[[#This Row],[Mes 9]]</f>
        <v>0</v>
      </c>
      <c r="W539" s="20">
        <f>Registro[[#This Row],[Mes 10]]+Registro[[#This Row],[Mes 11]]+Registro[[#This Row],[Mes 12]]</f>
        <v>0</v>
      </c>
      <c r="X539" s="20">
        <f>SUM(Registro[[#This Row],[Trim I]],Registro[[#This Row],[Trim II]],Registro[[#This Row],[Trim III]],Registro[[#This Row],[Trim IV]])</f>
        <v>0</v>
      </c>
      <c r="Y539" s="22">
        <f>IFERROR((Registro[[#This Row],[Avance Total]]/Registro[[#This Row],[Meta]]),0)</f>
        <v>0</v>
      </c>
      <c r="Z539" s="22">
        <f>IFERROR((Registro[[#This Row],[Avance Total]]-Registro[[#This Row],[Línea Base 2025]])/Registro[[#This Row],[Línea Base 2025]],0)</f>
        <v>0</v>
      </c>
      <c r="AA539" s="20">
        <v>2026</v>
      </c>
    </row>
    <row r="540" spans="1:27">
      <c r="A540" s="14">
        <v>1042</v>
      </c>
      <c r="B540" s="15" t="s">
        <v>79</v>
      </c>
      <c r="C540" s="16">
        <v>116</v>
      </c>
      <c r="D540" s="16" t="s">
        <v>185</v>
      </c>
      <c r="E540" s="17" t="s">
        <v>184</v>
      </c>
      <c r="F540" s="24">
        <v>1</v>
      </c>
      <c r="G540" s="19">
        <v>12</v>
      </c>
      <c r="H540" s="19">
        <v>0</v>
      </c>
      <c r="I540" s="19">
        <v>0</v>
      </c>
      <c r="T540" s="19">
        <f>Registro[[#This Row],[Mes 1]]+Registro[[#This Row],[Mes 2]]+Registro[[#This Row],[Mes 3]]</f>
        <v>0</v>
      </c>
      <c r="U540" s="19">
        <f>Registro[[#This Row],[Mes 4]]+Registro[[#This Row],[Mes 5]]+Registro[[#This Row],[Mes 6]]</f>
        <v>0</v>
      </c>
      <c r="V540" s="19">
        <f>Registro[[#This Row],[Mes 7]]+Registro[[#This Row],[Mes 8]]+Registro[[#This Row],[Mes 9]]</f>
        <v>0</v>
      </c>
      <c r="W540" s="20">
        <f>Registro[[#This Row],[Mes 10]]+Registro[[#This Row],[Mes 11]]+Registro[[#This Row],[Mes 12]]</f>
        <v>0</v>
      </c>
      <c r="X540" s="20">
        <f>SUM(Registro[[#This Row],[Trim I]],Registro[[#This Row],[Trim II]],Registro[[#This Row],[Trim III]],Registro[[#This Row],[Trim IV]])</f>
        <v>0</v>
      </c>
      <c r="Y540" s="22">
        <f>IFERROR((Registro[[#This Row],[Avance Total]]/Registro[[#This Row],[Meta]]),0)</f>
        <v>0</v>
      </c>
      <c r="Z540" s="22">
        <f>IFERROR((Registro[[#This Row],[Avance Total]]-Registro[[#This Row],[Línea Base 2025]])/Registro[[#This Row],[Línea Base 2025]],0)</f>
        <v>-1</v>
      </c>
      <c r="AA540" s="20">
        <v>2026</v>
      </c>
    </row>
    <row r="541" spans="1:27" hidden="1">
      <c r="A541" s="14">
        <v>1042</v>
      </c>
      <c r="B541" s="15" t="s">
        <v>79</v>
      </c>
      <c r="C541" s="16">
        <v>117</v>
      </c>
      <c r="D541" s="16" t="s">
        <v>187</v>
      </c>
      <c r="E541" s="17" t="s">
        <v>186</v>
      </c>
      <c r="F541" s="24">
        <v>1</v>
      </c>
      <c r="G541" s="19">
        <v>16</v>
      </c>
      <c r="H541" s="19">
        <v>0</v>
      </c>
      <c r="I541" s="19">
        <v>0</v>
      </c>
      <c r="T541" s="19">
        <f>Registro[[#This Row],[Mes 1]]+Registro[[#This Row],[Mes 2]]+Registro[[#This Row],[Mes 3]]</f>
        <v>0</v>
      </c>
      <c r="U541" s="19">
        <f>Registro[[#This Row],[Mes 4]]+Registro[[#This Row],[Mes 5]]+Registro[[#This Row],[Mes 6]]</f>
        <v>0</v>
      </c>
      <c r="V541" s="19">
        <f>Registro[[#This Row],[Mes 7]]+Registro[[#This Row],[Mes 8]]+Registro[[#This Row],[Mes 9]]</f>
        <v>0</v>
      </c>
      <c r="W541" s="20">
        <f>Registro[[#This Row],[Mes 10]]+Registro[[#This Row],[Mes 11]]+Registro[[#This Row],[Mes 12]]</f>
        <v>0</v>
      </c>
      <c r="X541" s="20">
        <f>SUM(Registro[[#This Row],[Trim I]],Registro[[#This Row],[Trim II]],Registro[[#This Row],[Trim III]],Registro[[#This Row],[Trim IV]])</f>
        <v>0</v>
      </c>
      <c r="Y541" s="22">
        <f>IFERROR((Registro[[#This Row],[Avance Total]]/Registro[[#This Row],[Meta]]),0)</f>
        <v>0</v>
      </c>
      <c r="Z541" s="22">
        <f>IFERROR((Registro[[#This Row],[Avance Total]]-Registro[[#This Row],[Línea Base 2025]])/Registro[[#This Row],[Línea Base 2025]],0)</f>
        <v>-1</v>
      </c>
      <c r="AA541" s="20">
        <v>2026</v>
      </c>
    </row>
    <row r="542" spans="1:27" hidden="1">
      <c r="A542" s="14">
        <v>1042</v>
      </c>
      <c r="B542" s="15" t="s">
        <v>79</v>
      </c>
      <c r="C542" s="16">
        <v>118</v>
      </c>
      <c r="D542" s="16" t="s">
        <v>188</v>
      </c>
      <c r="E542" s="17" t="s">
        <v>9</v>
      </c>
      <c r="F542" s="24">
        <v>0</v>
      </c>
      <c r="G542" s="19">
        <v>35</v>
      </c>
      <c r="H542" s="19">
        <v>0</v>
      </c>
      <c r="I542" s="19">
        <v>0</v>
      </c>
      <c r="T542" s="19">
        <f>Registro[[#This Row],[Mes 1]]+Registro[[#This Row],[Mes 2]]+Registro[[#This Row],[Mes 3]]</f>
        <v>0</v>
      </c>
      <c r="U542" s="19">
        <f>Registro[[#This Row],[Mes 4]]+Registro[[#This Row],[Mes 5]]+Registro[[#This Row],[Mes 6]]</f>
        <v>0</v>
      </c>
      <c r="V542" s="19">
        <f>Registro[[#This Row],[Mes 7]]+Registro[[#This Row],[Mes 8]]+Registro[[#This Row],[Mes 9]]</f>
        <v>0</v>
      </c>
      <c r="W542" s="20">
        <f>Registro[[#This Row],[Mes 10]]+Registro[[#This Row],[Mes 11]]+Registro[[#This Row],[Mes 12]]</f>
        <v>0</v>
      </c>
      <c r="X542" s="20">
        <f>SUM(Registro[[#This Row],[Trim I]],Registro[[#This Row],[Trim II]],Registro[[#This Row],[Trim III]],Registro[[#This Row],[Trim IV]])</f>
        <v>0</v>
      </c>
      <c r="Y542" s="22">
        <f>IFERROR((Registro[[#This Row],[Avance Total]]/Registro[[#This Row],[Meta]]),0)</f>
        <v>0</v>
      </c>
      <c r="Z542" s="22">
        <f>IFERROR((Registro[[#This Row],[Avance Total]]-Registro[[#This Row],[Línea Base 2025]])/Registro[[#This Row],[Línea Base 2025]],0)</f>
        <v>0</v>
      </c>
      <c r="AA542" s="20">
        <v>2026</v>
      </c>
    </row>
    <row r="543" spans="1:27" hidden="1">
      <c r="A543" s="14">
        <v>1042</v>
      </c>
      <c r="B543" s="15" t="s">
        <v>79</v>
      </c>
      <c r="C543" s="16">
        <v>119</v>
      </c>
      <c r="D543" s="16" t="s">
        <v>190</v>
      </c>
      <c r="E543" s="17" t="s">
        <v>189</v>
      </c>
      <c r="F543" s="24">
        <v>0</v>
      </c>
      <c r="G543" s="19">
        <v>10</v>
      </c>
      <c r="H543" s="19">
        <v>0</v>
      </c>
      <c r="I543" s="19">
        <v>0</v>
      </c>
      <c r="T543" s="19">
        <f>Registro[[#This Row],[Mes 1]]+Registro[[#This Row],[Mes 2]]+Registro[[#This Row],[Mes 3]]</f>
        <v>0</v>
      </c>
      <c r="U543" s="19">
        <f>Registro[[#This Row],[Mes 4]]+Registro[[#This Row],[Mes 5]]+Registro[[#This Row],[Mes 6]]</f>
        <v>0</v>
      </c>
      <c r="V543" s="19">
        <f>Registro[[#This Row],[Mes 7]]+Registro[[#This Row],[Mes 8]]+Registro[[#This Row],[Mes 9]]</f>
        <v>0</v>
      </c>
      <c r="W543" s="20">
        <f>Registro[[#This Row],[Mes 10]]+Registro[[#This Row],[Mes 11]]+Registro[[#This Row],[Mes 12]]</f>
        <v>0</v>
      </c>
      <c r="X543" s="20">
        <f>SUM(Registro[[#This Row],[Trim I]],Registro[[#This Row],[Trim II]],Registro[[#This Row],[Trim III]],Registro[[#This Row],[Trim IV]])</f>
        <v>0</v>
      </c>
      <c r="Y543" s="22">
        <f>IFERROR((Registro[[#This Row],[Avance Total]]/Registro[[#This Row],[Meta]]),0)</f>
        <v>0</v>
      </c>
      <c r="Z543" s="22">
        <f>IFERROR((Registro[[#This Row],[Avance Total]]-Registro[[#This Row],[Línea Base 2025]])/Registro[[#This Row],[Línea Base 2025]],0)</f>
        <v>0</v>
      </c>
      <c r="AA543" s="20">
        <v>2026</v>
      </c>
    </row>
    <row r="544" spans="1:27" hidden="1">
      <c r="A544" s="14">
        <v>1042</v>
      </c>
      <c r="B544" s="15" t="s">
        <v>79</v>
      </c>
      <c r="C544" s="16">
        <v>120</v>
      </c>
      <c r="D544" s="16" t="s">
        <v>192</v>
      </c>
      <c r="E544" s="17" t="s">
        <v>191</v>
      </c>
      <c r="F544" s="24">
        <v>56</v>
      </c>
      <c r="G544" s="19">
        <v>120</v>
      </c>
      <c r="H544" s="19">
        <v>0</v>
      </c>
      <c r="I544" s="19">
        <v>0</v>
      </c>
      <c r="T544" s="19">
        <f>Registro[[#This Row],[Mes 1]]+Registro[[#This Row],[Mes 2]]+Registro[[#This Row],[Mes 3]]</f>
        <v>0</v>
      </c>
      <c r="U544" s="19">
        <f>Registro[[#This Row],[Mes 4]]+Registro[[#This Row],[Mes 5]]+Registro[[#This Row],[Mes 6]]</f>
        <v>0</v>
      </c>
      <c r="V544" s="19">
        <f>Registro[[#This Row],[Mes 7]]+Registro[[#This Row],[Mes 8]]+Registro[[#This Row],[Mes 9]]</f>
        <v>0</v>
      </c>
      <c r="W544" s="20">
        <f>Registro[[#This Row],[Mes 10]]+Registro[[#This Row],[Mes 11]]+Registro[[#This Row],[Mes 12]]</f>
        <v>0</v>
      </c>
      <c r="X544" s="20">
        <f>SUM(Registro[[#This Row],[Trim I]],Registro[[#This Row],[Trim II]],Registro[[#This Row],[Trim III]],Registro[[#This Row],[Trim IV]])</f>
        <v>0</v>
      </c>
      <c r="Y544" s="22">
        <f>IFERROR((Registro[[#This Row],[Avance Total]]/Registro[[#This Row],[Meta]]),0)</f>
        <v>0</v>
      </c>
      <c r="Z544" s="22">
        <f>IFERROR((Registro[[#This Row],[Avance Total]]-Registro[[#This Row],[Línea Base 2025]])/Registro[[#This Row],[Línea Base 2025]],0)</f>
        <v>-1</v>
      </c>
      <c r="AA544" s="20">
        <v>2026</v>
      </c>
    </row>
    <row r="545" spans="1:27" hidden="1">
      <c r="A545" s="14">
        <v>1042</v>
      </c>
      <c r="B545" s="15" t="s">
        <v>79</v>
      </c>
      <c r="C545" s="16">
        <v>121</v>
      </c>
      <c r="D545" s="16" t="s">
        <v>194</v>
      </c>
      <c r="E545" s="17" t="s">
        <v>193</v>
      </c>
      <c r="F545" s="24">
        <v>18</v>
      </c>
      <c r="G545" s="19">
        <v>5</v>
      </c>
      <c r="H545" s="19">
        <v>0</v>
      </c>
      <c r="I545" s="19">
        <v>0</v>
      </c>
      <c r="T545" s="19">
        <f>Registro[[#This Row],[Mes 1]]+Registro[[#This Row],[Mes 2]]+Registro[[#This Row],[Mes 3]]</f>
        <v>0</v>
      </c>
      <c r="U545" s="19">
        <f>Registro[[#This Row],[Mes 4]]+Registro[[#This Row],[Mes 5]]+Registro[[#This Row],[Mes 6]]</f>
        <v>0</v>
      </c>
      <c r="V545" s="19">
        <f>Registro[[#This Row],[Mes 7]]+Registro[[#This Row],[Mes 8]]+Registro[[#This Row],[Mes 9]]</f>
        <v>0</v>
      </c>
      <c r="W545" s="20">
        <f>Registro[[#This Row],[Mes 10]]+Registro[[#This Row],[Mes 11]]+Registro[[#This Row],[Mes 12]]</f>
        <v>0</v>
      </c>
      <c r="X545" s="20">
        <f>SUM(Registro[[#This Row],[Trim I]],Registro[[#This Row],[Trim II]],Registro[[#This Row],[Trim III]],Registro[[#This Row],[Trim IV]])</f>
        <v>0</v>
      </c>
      <c r="Y545" s="22">
        <f>IFERROR((Registro[[#This Row],[Avance Total]]/Registro[[#This Row],[Meta]]),0)</f>
        <v>0</v>
      </c>
      <c r="Z545" s="22">
        <f>IFERROR((Registro[[#This Row],[Avance Total]]-Registro[[#This Row],[Línea Base 2025]])/Registro[[#This Row],[Línea Base 2025]],0)</f>
        <v>-1</v>
      </c>
      <c r="AA545" s="20">
        <v>2026</v>
      </c>
    </row>
    <row r="546" spans="1:27" hidden="1">
      <c r="A546" s="14">
        <v>1042</v>
      </c>
      <c r="B546" s="15" t="s">
        <v>79</v>
      </c>
      <c r="C546" s="16">
        <v>122</v>
      </c>
      <c r="D546" s="16" t="s">
        <v>196</v>
      </c>
      <c r="E546" s="17" t="s">
        <v>195</v>
      </c>
      <c r="F546" s="24">
        <v>6</v>
      </c>
      <c r="G546" s="19">
        <v>16</v>
      </c>
      <c r="H546" s="19">
        <v>0</v>
      </c>
      <c r="I546" s="19">
        <v>0</v>
      </c>
      <c r="T546" s="19">
        <f>Registro[[#This Row],[Mes 1]]+Registro[[#This Row],[Mes 2]]+Registro[[#This Row],[Mes 3]]</f>
        <v>0</v>
      </c>
      <c r="U546" s="19">
        <f>Registro[[#This Row],[Mes 4]]+Registro[[#This Row],[Mes 5]]+Registro[[#This Row],[Mes 6]]</f>
        <v>0</v>
      </c>
      <c r="V546" s="19">
        <f>Registro[[#This Row],[Mes 7]]+Registro[[#This Row],[Mes 8]]+Registro[[#This Row],[Mes 9]]</f>
        <v>0</v>
      </c>
      <c r="W546" s="20">
        <f>Registro[[#This Row],[Mes 10]]+Registro[[#This Row],[Mes 11]]+Registro[[#This Row],[Mes 12]]</f>
        <v>0</v>
      </c>
      <c r="X546" s="20">
        <f>SUM(Registro[[#This Row],[Trim I]],Registro[[#This Row],[Trim II]],Registro[[#This Row],[Trim III]],Registro[[#This Row],[Trim IV]])</f>
        <v>0</v>
      </c>
      <c r="Y546" s="22">
        <f>IFERROR((Registro[[#This Row],[Avance Total]]/Registro[[#This Row],[Meta]]),0)</f>
        <v>0</v>
      </c>
      <c r="Z546" s="22">
        <f>IFERROR((Registro[[#This Row],[Avance Total]]-Registro[[#This Row],[Línea Base 2025]])/Registro[[#This Row],[Línea Base 2025]],0)</f>
        <v>-1</v>
      </c>
      <c r="AA546" s="20">
        <v>2026</v>
      </c>
    </row>
    <row r="547" spans="1:27" hidden="1">
      <c r="A547" s="14">
        <v>1042</v>
      </c>
      <c r="B547" s="15" t="s">
        <v>79</v>
      </c>
      <c r="C547" s="16">
        <v>123</v>
      </c>
      <c r="D547" s="16" t="s">
        <v>198</v>
      </c>
      <c r="E547" s="17" t="s">
        <v>197</v>
      </c>
      <c r="F547" s="24">
        <v>0</v>
      </c>
      <c r="G547" s="19">
        <v>12</v>
      </c>
      <c r="H547" s="19">
        <v>0</v>
      </c>
      <c r="I547" s="19">
        <v>0</v>
      </c>
      <c r="T547" s="19">
        <f>Registro[[#This Row],[Mes 1]]+Registro[[#This Row],[Mes 2]]+Registro[[#This Row],[Mes 3]]</f>
        <v>0</v>
      </c>
      <c r="U547" s="19">
        <f>Registro[[#This Row],[Mes 4]]+Registro[[#This Row],[Mes 5]]+Registro[[#This Row],[Mes 6]]</f>
        <v>0</v>
      </c>
      <c r="V547" s="19">
        <f>Registro[[#This Row],[Mes 7]]+Registro[[#This Row],[Mes 8]]+Registro[[#This Row],[Mes 9]]</f>
        <v>0</v>
      </c>
      <c r="W547" s="20">
        <f>Registro[[#This Row],[Mes 10]]+Registro[[#This Row],[Mes 11]]+Registro[[#This Row],[Mes 12]]</f>
        <v>0</v>
      </c>
      <c r="X547" s="20">
        <f>SUM(Registro[[#This Row],[Trim I]],Registro[[#This Row],[Trim II]],Registro[[#This Row],[Trim III]],Registro[[#This Row],[Trim IV]])</f>
        <v>0</v>
      </c>
      <c r="Y547" s="22">
        <f>IFERROR((Registro[[#This Row],[Avance Total]]/Registro[[#This Row],[Meta]]),0)</f>
        <v>0</v>
      </c>
      <c r="Z547" s="22">
        <f>IFERROR((Registro[[#This Row],[Avance Total]]-Registro[[#This Row],[Línea Base 2025]])/Registro[[#This Row],[Línea Base 2025]],0)</f>
        <v>0</v>
      </c>
      <c r="AA547" s="20">
        <v>2026</v>
      </c>
    </row>
    <row r="548" spans="1:27" hidden="1">
      <c r="A548" s="14">
        <v>1043</v>
      </c>
      <c r="B548" s="15" t="s">
        <v>80</v>
      </c>
      <c r="C548" s="16">
        <v>111</v>
      </c>
      <c r="D548" s="16" t="s">
        <v>171</v>
      </c>
      <c r="E548" s="17" t="s">
        <v>172</v>
      </c>
      <c r="F548" s="24">
        <v>34</v>
      </c>
      <c r="G548" s="19">
        <v>268</v>
      </c>
      <c r="H548" s="19">
        <v>4</v>
      </c>
      <c r="I548" s="19">
        <v>9</v>
      </c>
      <c r="T548" s="19">
        <f>Registro[[#This Row],[Mes 1]]+Registro[[#This Row],[Mes 2]]+Registro[[#This Row],[Mes 3]]</f>
        <v>13</v>
      </c>
      <c r="U548" s="19">
        <f>Registro[[#This Row],[Mes 4]]+Registro[[#This Row],[Mes 5]]+Registro[[#This Row],[Mes 6]]</f>
        <v>0</v>
      </c>
      <c r="V548" s="19">
        <f>Registro[[#This Row],[Mes 7]]+Registro[[#This Row],[Mes 8]]+Registro[[#This Row],[Mes 9]]</f>
        <v>0</v>
      </c>
      <c r="W548" s="20">
        <f>Registro[[#This Row],[Mes 10]]+Registro[[#This Row],[Mes 11]]+Registro[[#This Row],[Mes 12]]</f>
        <v>0</v>
      </c>
      <c r="X548" s="20">
        <f>SUM(Registro[[#This Row],[Trim I]],Registro[[#This Row],[Trim II]],Registro[[#This Row],[Trim III]],Registro[[#This Row],[Trim IV]])</f>
        <v>13</v>
      </c>
      <c r="Y548" s="22">
        <f>IFERROR((Registro[[#This Row],[Avance Total]]/Registro[[#This Row],[Meta]]),0)</f>
        <v>4.8507462686567165E-2</v>
      </c>
      <c r="Z548" s="22">
        <f>IFERROR((Registro[[#This Row],[Avance Total]]-Registro[[#This Row],[Línea Base 2025]])/Registro[[#This Row],[Línea Base 2025]],0)</f>
        <v>-0.61764705882352944</v>
      </c>
      <c r="AA548" s="20">
        <v>2026</v>
      </c>
    </row>
    <row r="549" spans="1:27" hidden="1">
      <c r="A549" s="14">
        <v>1043</v>
      </c>
      <c r="B549" s="15" t="s">
        <v>80</v>
      </c>
      <c r="C549" s="16">
        <v>112</v>
      </c>
      <c r="D549" s="16" t="s">
        <v>173</v>
      </c>
      <c r="E549" s="17" t="s">
        <v>7</v>
      </c>
      <c r="F549" s="24">
        <v>1</v>
      </c>
      <c r="G549" s="19">
        <v>55</v>
      </c>
      <c r="H549" s="19">
        <v>0</v>
      </c>
      <c r="I549" s="19">
        <v>0</v>
      </c>
      <c r="T549" s="19">
        <f>Registro[[#This Row],[Mes 1]]+Registro[[#This Row],[Mes 2]]+Registro[[#This Row],[Mes 3]]</f>
        <v>0</v>
      </c>
      <c r="U549" s="19">
        <f>Registro[[#This Row],[Mes 4]]+Registro[[#This Row],[Mes 5]]+Registro[[#This Row],[Mes 6]]</f>
        <v>0</v>
      </c>
      <c r="V549" s="19">
        <f>Registro[[#This Row],[Mes 7]]+Registro[[#This Row],[Mes 8]]+Registro[[#This Row],[Mes 9]]</f>
        <v>0</v>
      </c>
      <c r="W549" s="20">
        <f>Registro[[#This Row],[Mes 10]]+Registro[[#This Row],[Mes 11]]+Registro[[#This Row],[Mes 12]]</f>
        <v>0</v>
      </c>
      <c r="X549" s="20">
        <f>SUM(Registro[[#This Row],[Trim I]],Registro[[#This Row],[Trim II]],Registro[[#This Row],[Trim III]],Registro[[#This Row],[Trim IV]])</f>
        <v>0</v>
      </c>
      <c r="Y549" s="22">
        <f>IFERROR((Registro[[#This Row],[Avance Total]]/Registro[[#This Row],[Meta]]),0)</f>
        <v>0</v>
      </c>
      <c r="Z549" s="22">
        <f>IFERROR((Registro[[#This Row],[Avance Total]]-Registro[[#This Row],[Línea Base 2025]])/Registro[[#This Row],[Línea Base 2025]],0)</f>
        <v>-1</v>
      </c>
      <c r="AA549" s="20">
        <v>2026</v>
      </c>
    </row>
    <row r="550" spans="1:27" hidden="1">
      <c r="A550" s="14">
        <v>1043</v>
      </c>
      <c r="B550" s="15" t="s">
        <v>80</v>
      </c>
      <c r="C550" s="16">
        <v>113</v>
      </c>
      <c r="D550" s="16" t="s">
        <v>179</v>
      </c>
      <c r="E550" s="17" t="s">
        <v>178</v>
      </c>
      <c r="F550" s="24">
        <v>21</v>
      </c>
      <c r="G550" s="19">
        <v>331</v>
      </c>
      <c r="H550" s="19">
        <v>0</v>
      </c>
      <c r="I550" s="19">
        <v>0</v>
      </c>
      <c r="T550" s="19">
        <f>Registro[[#This Row],[Mes 1]]+Registro[[#This Row],[Mes 2]]+Registro[[#This Row],[Mes 3]]</f>
        <v>0</v>
      </c>
      <c r="U550" s="19">
        <f>Registro[[#This Row],[Mes 4]]+Registro[[#This Row],[Mes 5]]+Registro[[#This Row],[Mes 6]]</f>
        <v>0</v>
      </c>
      <c r="V550" s="19">
        <f>Registro[[#This Row],[Mes 7]]+Registro[[#This Row],[Mes 8]]+Registro[[#This Row],[Mes 9]]</f>
        <v>0</v>
      </c>
      <c r="W550" s="20">
        <f>Registro[[#This Row],[Mes 10]]+Registro[[#This Row],[Mes 11]]+Registro[[#This Row],[Mes 12]]</f>
        <v>0</v>
      </c>
      <c r="X550" s="20">
        <f>SUM(Registro[[#This Row],[Trim I]],Registro[[#This Row],[Trim II]],Registro[[#This Row],[Trim III]],Registro[[#This Row],[Trim IV]])</f>
        <v>0</v>
      </c>
      <c r="Y550" s="22">
        <f>IFERROR((Registro[[#This Row],[Avance Total]]/Registro[[#This Row],[Meta]]),0)</f>
        <v>0</v>
      </c>
      <c r="Z550" s="22">
        <f>IFERROR((Registro[[#This Row],[Avance Total]]-Registro[[#This Row],[Línea Base 2025]])/Registro[[#This Row],[Línea Base 2025]],0)</f>
        <v>-1</v>
      </c>
      <c r="AA550" s="20">
        <v>2026</v>
      </c>
    </row>
    <row r="551" spans="1:27" hidden="1">
      <c r="A551" s="14">
        <v>1043</v>
      </c>
      <c r="B551" s="15" t="s">
        <v>80</v>
      </c>
      <c r="C551" s="16">
        <v>114</v>
      </c>
      <c r="D551" s="16" t="s">
        <v>181</v>
      </c>
      <c r="E551" s="17" t="s">
        <v>180</v>
      </c>
      <c r="F551" s="24">
        <v>26</v>
      </c>
      <c r="G551" s="19">
        <v>180</v>
      </c>
      <c r="H551" s="19">
        <v>84</v>
      </c>
      <c r="I551" s="19">
        <v>0</v>
      </c>
      <c r="T551" s="19">
        <f>Registro[[#This Row],[Mes 1]]+Registro[[#This Row],[Mes 2]]+Registro[[#This Row],[Mes 3]]</f>
        <v>84</v>
      </c>
      <c r="U551" s="19">
        <f>Registro[[#This Row],[Mes 4]]+Registro[[#This Row],[Mes 5]]+Registro[[#This Row],[Mes 6]]</f>
        <v>0</v>
      </c>
      <c r="V551" s="19">
        <f>Registro[[#This Row],[Mes 7]]+Registro[[#This Row],[Mes 8]]+Registro[[#This Row],[Mes 9]]</f>
        <v>0</v>
      </c>
      <c r="W551" s="20">
        <f>Registro[[#This Row],[Mes 10]]+Registro[[#This Row],[Mes 11]]+Registro[[#This Row],[Mes 12]]</f>
        <v>0</v>
      </c>
      <c r="X551" s="20">
        <f>SUM(Registro[[#This Row],[Trim I]],Registro[[#This Row],[Trim II]],Registro[[#This Row],[Trim III]],Registro[[#This Row],[Trim IV]])</f>
        <v>84</v>
      </c>
      <c r="Y551" s="22">
        <f>IFERROR((Registro[[#This Row],[Avance Total]]/Registro[[#This Row],[Meta]]),0)</f>
        <v>0.46666666666666667</v>
      </c>
      <c r="Z551" s="22">
        <f>IFERROR((Registro[[#This Row],[Avance Total]]-Registro[[#This Row],[Línea Base 2025]])/Registro[[#This Row],[Línea Base 2025]],0)</f>
        <v>2.2307692307692308</v>
      </c>
      <c r="AA551" s="20">
        <v>2026</v>
      </c>
    </row>
    <row r="552" spans="1:27" hidden="1">
      <c r="A552" s="14">
        <v>1043</v>
      </c>
      <c r="B552" s="15" t="s">
        <v>80</v>
      </c>
      <c r="C552" s="16">
        <v>115</v>
      </c>
      <c r="D552" s="16" t="s">
        <v>183</v>
      </c>
      <c r="E552" s="17" t="s">
        <v>182</v>
      </c>
      <c r="F552" s="24">
        <v>0</v>
      </c>
      <c r="G552" s="19">
        <v>2</v>
      </c>
      <c r="H552" s="19">
        <v>0</v>
      </c>
      <c r="I552" s="19">
        <v>0</v>
      </c>
      <c r="T552" s="19">
        <f>Registro[[#This Row],[Mes 1]]+Registro[[#This Row],[Mes 2]]+Registro[[#This Row],[Mes 3]]</f>
        <v>0</v>
      </c>
      <c r="U552" s="19">
        <f>Registro[[#This Row],[Mes 4]]+Registro[[#This Row],[Mes 5]]+Registro[[#This Row],[Mes 6]]</f>
        <v>0</v>
      </c>
      <c r="V552" s="19">
        <f>Registro[[#This Row],[Mes 7]]+Registro[[#This Row],[Mes 8]]+Registro[[#This Row],[Mes 9]]</f>
        <v>0</v>
      </c>
      <c r="W552" s="20">
        <f>Registro[[#This Row],[Mes 10]]+Registro[[#This Row],[Mes 11]]+Registro[[#This Row],[Mes 12]]</f>
        <v>0</v>
      </c>
      <c r="X552" s="20">
        <f>SUM(Registro[[#This Row],[Trim I]],Registro[[#This Row],[Trim II]],Registro[[#This Row],[Trim III]],Registro[[#This Row],[Trim IV]])</f>
        <v>0</v>
      </c>
      <c r="Y552" s="22">
        <f>IFERROR((Registro[[#This Row],[Avance Total]]/Registro[[#This Row],[Meta]]),0)</f>
        <v>0</v>
      </c>
      <c r="Z552" s="22">
        <f>IFERROR((Registro[[#This Row],[Avance Total]]-Registro[[#This Row],[Línea Base 2025]])/Registro[[#This Row],[Línea Base 2025]],0)</f>
        <v>0</v>
      </c>
      <c r="AA552" s="20">
        <v>2026</v>
      </c>
    </row>
    <row r="553" spans="1:27">
      <c r="A553" s="14">
        <v>1043</v>
      </c>
      <c r="B553" s="15" t="s">
        <v>80</v>
      </c>
      <c r="C553" s="16">
        <v>116</v>
      </c>
      <c r="D553" s="16" t="s">
        <v>185</v>
      </c>
      <c r="E553" s="17" t="s">
        <v>184</v>
      </c>
      <c r="F553" s="24">
        <v>2</v>
      </c>
      <c r="G553" s="19">
        <v>5</v>
      </c>
      <c r="H553" s="19">
        <v>2</v>
      </c>
      <c r="I553" s="19">
        <v>0</v>
      </c>
      <c r="T553" s="19">
        <f>Registro[[#This Row],[Mes 1]]+Registro[[#This Row],[Mes 2]]+Registro[[#This Row],[Mes 3]]</f>
        <v>2</v>
      </c>
      <c r="U553" s="19">
        <f>Registro[[#This Row],[Mes 4]]+Registro[[#This Row],[Mes 5]]+Registro[[#This Row],[Mes 6]]</f>
        <v>0</v>
      </c>
      <c r="V553" s="19">
        <f>Registro[[#This Row],[Mes 7]]+Registro[[#This Row],[Mes 8]]+Registro[[#This Row],[Mes 9]]</f>
        <v>0</v>
      </c>
      <c r="W553" s="20">
        <f>Registro[[#This Row],[Mes 10]]+Registro[[#This Row],[Mes 11]]+Registro[[#This Row],[Mes 12]]</f>
        <v>0</v>
      </c>
      <c r="X553" s="20">
        <f>SUM(Registro[[#This Row],[Trim I]],Registro[[#This Row],[Trim II]],Registro[[#This Row],[Trim III]],Registro[[#This Row],[Trim IV]])</f>
        <v>2</v>
      </c>
      <c r="Y553" s="22">
        <f>IFERROR((Registro[[#This Row],[Avance Total]]/Registro[[#This Row],[Meta]]),0)</f>
        <v>0.4</v>
      </c>
      <c r="Z553" s="22">
        <f>IFERROR((Registro[[#This Row],[Avance Total]]-Registro[[#This Row],[Línea Base 2025]])/Registro[[#This Row],[Línea Base 2025]],0)</f>
        <v>0</v>
      </c>
      <c r="AA553" s="20">
        <v>2026</v>
      </c>
    </row>
    <row r="554" spans="1:27" hidden="1">
      <c r="A554" s="14">
        <v>1043</v>
      </c>
      <c r="B554" s="15" t="s">
        <v>80</v>
      </c>
      <c r="C554" s="16">
        <v>117</v>
      </c>
      <c r="D554" s="16" t="s">
        <v>187</v>
      </c>
      <c r="E554" s="17" t="s">
        <v>186</v>
      </c>
      <c r="F554" s="24">
        <v>0</v>
      </c>
      <c r="G554" s="19">
        <v>3</v>
      </c>
      <c r="H554" s="19">
        <v>0</v>
      </c>
      <c r="I554" s="19">
        <v>0</v>
      </c>
      <c r="T554" s="19">
        <f>Registro[[#This Row],[Mes 1]]+Registro[[#This Row],[Mes 2]]+Registro[[#This Row],[Mes 3]]</f>
        <v>0</v>
      </c>
      <c r="U554" s="19">
        <f>Registro[[#This Row],[Mes 4]]+Registro[[#This Row],[Mes 5]]+Registro[[#This Row],[Mes 6]]</f>
        <v>0</v>
      </c>
      <c r="V554" s="19">
        <f>Registro[[#This Row],[Mes 7]]+Registro[[#This Row],[Mes 8]]+Registro[[#This Row],[Mes 9]]</f>
        <v>0</v>
      </c>
      <c r="W554" s="20">
        <f>Registro[[#This Row],[Mes 10]]+Registro[[#This Row],[Mes 11]]+Registro[[#This Row],[Mes 12]]</f>
        <v>0</v>
      </c>
      <c r="X554" s="20">
        <f>SUM(Registro[[#This Row],[Trim I]],Registro[[#This Row],[Trim II]],Registro[[#This Row],[Trim III]],Registro[[#This Row],[Trim IV]])</f>
        <v>0</v>
      </c>
      <c r="Y554" s="22">
        <f>IFERROR((Registro[[#This Row],[Avance Total]]/Registro[[#This Row],[Meta]]),0)</f>
        <v>0</v>
      </c>
      <c r="Z554" s="22">
        <f>IFERROR((Registro[[#This Row],[Avance Total]]-Registro[[#This Row],[Línea Base 2025]])/Registro[[#This Row],[Línea Base 2025]],0)</f>
        <v>0</v>
      </c>
      <c r="AA554" s="20">
        <v>2026</v>
      </c>
    </row>
    <row r="555" spans="1:27" hidden="1">
      <c r="A555" s="14">
        <v>1043</v>
      </c>
      <c r="B555" s="15" t="s">
        <v>80</v>
      </c>
      <c r="C555" s="16">
        <v>118</v>
      </c>
      <c r="D555" s="16" t="s">
        <v>188</v>
      </c>
      <c r="E555" s="17" t="s">
        <v>9</v>
      </c>
      <c r="F555" s="24">
        <v>0</v>
      </c>
      <c r="G555" s="19">
        <v>2</v>
      </c>
      <c r="H555" s="19">
        <v>0</v>
      </c>
      <c r="I555" s="19">
        <v>0</v>
      </c>
      <c r="T555" s="19">
        <f>Registro[[#This Row],[Mes 1]]+Registro[[#This Row],[Mes 2]]+Registro[[#This Row],[Mes 3]]</f>
        <v>0</v>
      </c>
      <c r="U555" s="19">
        <f>Registro[[#This Row],[Mes 4]]+Registro[[#This Row],[Mes 5]]+Registro[[#This Row],[Mes 6]]</f>
        <v>0</v>
      </c>
      <c r="V555" s="19">
        <f>Registro[[#This Row],[Mes 7]]+Registro[[#This Row],[Mes 8]]+Registro[[#This Row],[Mes 9]]</f>
        <v>0</v>
      </c>
      <c r="W555" s="20">
        <f>Registro[[#This Row],[Mes 10]]+Registro[[#This Row],[Mes 11]]+Registro[[#This Row],[Mes 12]]</f>
        <v>0</v>
      </c>
      <c r="X555" s="20">
        <f>SUM(Registro[[#This Row],[Trim I]],Registro[[#This Row],[Trim II]],Registro[[#This Row],[Trim III]],Registro[[#This Row],[Trim IV]])</f>
        <v>0</v>
      </c>
      <c r="Y555" s="22">
        <f>IFERROR((Registro[[#This Row],[Avance Total]]/Registro[[#This Row],[Meta]]),0)</f>
        <v>0</v>
      </c>
      <c r="Z555" s="22">
        <f>IFERROR((Registro[[#This Row],[Avance Total]]-Registro[[#This Row],[Línea Base 2025]])/Registro[[#This Row],[Línea Base 2025]],0)</f>
        <v>0</v>
      </c>
      <c r="AA555" s="20">
        <v>2026</v>
      </c>
    </row>
    <row r="556" spans="1:27" hidden="1">
      <c r="A556" s="14">
        <v>1043</v>
      </c>
      <c r="B556" s="15" t="s">
        <v>80</v>
      </c>
      <c r="C556" s="16">
        <v>119</v>
      </c>
      <c r="D556" s="16" t="s">
        <v>190</v>
      </c>
      <c r="E556" s="17" t="s">
        <v>189</v>
      </c>
      <c r="F556" s="24">
        <v>0</v>
      </c>
      <c r="G556" s="19">
        <v>4</v>
      </c>
      <c r="H556" s="19">
        <v>0</v>
      </c>
      <c r="I556" s="19">
        <v>0</v>
      </c>
      <c r="T556" s="19">
        <f>Registro[[#This Row],[Mes 1]]+Registro[[#This Row],[Mes 2]]+Registro[[#This Row],[Mes 3]]</f>
        <v>0</v>
      </c>
      <c r="U556" s="19">
        <f>Registro[[#This Row],[Mes 4]]+Registro[[#This Row],[Mes 5]]+Registro[[#This Row],[Mes 6]]</f>
        <v>0</v>
      </c>
      <c r="V556" s="19">
        <f>Registro[[#This Row],[Mes 7]]+Registro[[#This Row],[Mes 8]]+Registro[[#This Row],[Mes 9]]</f>
        <v>0</v>
      </c>
      <c r="W556" s="20">
        <f>Registro[[#This Row],[Mes 10]]+Registro[[#This Row],[Mes 11]]+Registro[[#This Row],[Mes 12]]</f>
        <v>0</v>
      </c>
      <c r="X556" s="20">
        <f>SUM(Registro[[#This Row],[Trim I]],Registro[[#This Row],[Trim II]],Registro[[#This Row],[Trim III]],Registro[[#This Row],[Trim IV]])</f>
        <v>0</v>
      </c>
      <c r="Y556" s="22">
        <f>IFERROR((Registro[[#This Row],[Avance Total]]/Registro[[#This Row],[Meta]]),0)</f>
        <v>0</v>
      </c>
      <c r="Z556" s="22">
        <f>IFERROR((Registro[[#This Row],[Avance Total]]-Registro[[#This Row],[Línea Base 2025]])/Registro[[#This Row],[Línea Base 2025]],0)</f>
        <v>0</v>
      </c>
      <c r="AA556" s="20">
        <v>2026</v>
      </c>
    </row>
    <row r="557" spans="1:27" hidden="1">
      <c r="A557" s="14">
        <v>1043</v>
      </c>
      <c r="B557" s="15" t="s">
        <v>80</v>
      </c>
      <c r="C557" s="16">
        <v>120</v>
      </c>
      <c r="D557" s="16" t="s">
        <v>192</v>
      </c>
      <c r="E557" s="17" t="s">
        <v>191</v>
      </c>
      <c r="F557" s="24">
        <v>30</v>
      </c>
      <c r="G557" s="19">
        <v>20</v>
      </c>
      <c r="H557" s="19">
        <v>0</v>
      </c>
      <c r="I557" s="19">
        <v>19</v>
      </c>
      <c r="T557" s="19">
        <f>Registro[[#This Row],[Mes 1]]+Registro[[#This Row],[Mes 2]]+Registro[[#This Row],[Mes 3]]</f>
        <v>19</v>
      </c>
      <c r="U557" s="19">
        <f>Registro[[#This Row],[Mes 4]]+Registro[[#This Row],[Mes 5]]+Registro[[#This Row],[Mes 6]]</f>
        <v>0</v>
      </c>
      <c r="V557" s="19">
        <f>Registro[[#This Row],[Mes 7]]+Registro[[#This Row],[Mes 8]]+Registro[[#This Row],[Mes 9]]</f>
        <v>0</v>
      </c>
      <c r="W557" s="20">
        <f>Registro[[#This Row],[Mes 10]]+Registro[[#This Row],[Mes 11]]+Registro[[#This Row],[Mes 12]]</f>
        <v>0</v>
      </c>
      <c r="X557" s="20">
        <f>SUM(Registro[[#This Row],[Trim I]],Registro[[#This Row],[Trim II]],Registro[[#This Row],[Trim III]],Registro[[#This Row],[Trim IV]])</f>
        <v>19</v>
      </c>
      <c r="Y557" s="22">
        <f>IFERROR((Registro[[#This Row],[Avance Total]]/Registro[[#This Row],[Meta]]),0)</f>
        <v>0.95</v>
      </c>
      <c r="Z557" s="22">
        <f>IFERROR((Registro[[#This Row],[Avance Total]]-Registro[[#This Row],[Línea Base 2025]])/Registro[[#This Row],[Línea Base 2025]],0)</f>
        <v>-0.36666666666666664</v>
      </c>
      <c r="AA557" s="20">
        <v>2026</v>
      </c>
    </row>
    <row r="558" spans="1:27" hidden="1">
      <c r="A558" s="14">
        <v>1043</v>
      </c>
      <c r="B558" s="15" t="s">
        <v>80</v>
      </c>
      <c r="C558" s="16">
        <v>121</v>
      </c>
      <c r="D558" s="16" t="s">
        <v>194</v>
      </c>
      <c r="E558" s="17" t="s">
        <v>193</v>
      </c>
      <c r="F558" s="24">
        <v>2</v>
      </c>
      <c r="G558" s="19">
        <v>2</v>
      </c>
      <c r="H558" s="19">
        <v>0</v>
      </c>
      <c r="I558" s="19">
        <v>0</v>
      </c>
      <c r="T558" s="19">
        <f>Registro[[#This Row],[Mes 1]]+Registro[[#This Row],[Mes 2]]+Registro[[#This Row],[Mes 3]]</f>
        <v>0</v>
      </c>
      <c r="U558" s="19">
        <f>Registro[[#This Row],[Mes 4]]+Registro[[#This Row],[Mes 5]]+Registro[[#This Row],[Mes 6]]</f>
        <v>0</v>
      </c>
      <c r="V558" s="19">
        <f>Registro[[#This Row],[Mes 7]]+Registro[[#This Row],[Mes 8]]+Registro[[#This Row],[Mes 9]]</f>
        <v>0</v>
      </c>
      <c r="W558" s="20">
        <f>Registro[[#This Row],[Mes 10]]+Registro[[#This Row],[Mes 11]]+Registro[[#This Row],[Mes 12]]</f>
        <v>0</v>
      </c>
      <c r="X558" s="20">
        <f>SUM(Registro[[#This Row],[Trim I]],Registro[[#This Row],[Trim II]],Registro[[#This Row],[Trim III]],Registro[[#This Row],[Trim IV]])</f>
        <v>0</v>
      </c>
      <c r="Y558" s="22">
        <f>IFERROR((Registro[[#This Row],[Avance Total]]/Registro[[#This Row],[Meta]]),0)</f>
        <v>0</v>
      </c>
      <c r="Z558" s="22">
        <f>IFERROR((Registro[[#This Row],[Avance Total]]-Registro[[#This Row],[Línea Base 2025]])/Registro[[#This Row],[Línea Base 2025]],0)</f>
        <v>-1</v>
      </c>
      <c r="AA558" s="20">
        <v>2026</v>
      </c>
    </row>
    <row r="559" spans="1:27" hidden="1">
      <c r="A559" s="14">
        <v>1043</v>
      </c>
      <c r="B559" s="15" t="s">
        <v>80</v>
      </c>
      <c r="C559" s="16">
        <v>122</v>
      </c>
      <c r="D559" s="16" t="s">
        <v>196</v>
      </c>
      <c r="E559" s="17" t="s">
        <v>195</v>
      </c>
      <c r="F559" s="24">
        <v>7</v>
      </c>
      <c r="G559" s="19">
        <v>6</v>
      </c>
      <c r="H559" s="19">
        <v>0</v>
      </c>
      <c r="I559" s="19">
        <v>0</v>
      </c>
      <c r="T559" s="19">
        <f>Registro[[#This Row],[Mes 1]]+Registro[[#This Row],[Mes 2]]+Registro[[#This Row],[Mes 3]]</f>
        <v>0</v>
      </c>
      <c r="U559" s="19">
        <f>Registro[[#This Row],[Mes 4]]+Registro[[#This Row],[Mes 5]]+Registro[[#This Row],[Mes 6]]</f>
        <v>0</v>
      </c>
      <c r="V559" s="19">
        <f>Registro[[#This Row],[Mes 7]]+Registro[[#This Row],[Mes 8]]+Registro[[#This Row],[Mes 9]]</f>
        <v>0</v>
      </c>
      <c r="W559" s="20">
        <f>Registro[[#This Row],[Mes 10]]+Registro[[#This Row],[Mes 11]]+Registro[[#This Row],[Mes 12]]</f>
        <v>0</v>
      </c>
      <c r="X559" s="20">
        <f>SUM(Registro[[#This Row],[Trim I]],Registro[[#This Row],[Trim II]],Registro[[#This Row],[Trim III]],Registro[[#This Row],[Trim IV]])</f>
        <v>0</v>
      </c>
      <c r="Y559" s="22">
        <f>IFERROR((Registro[[#This Row],[Avance Total]]/Registro[[#This Row],[Meta]]),0)</f>
        <v>0</v>
      </c>
      <c r="Z559" s="22">
        <f>IFERROR((Registro[[#This Row],[Avance Total]]-Registro[[#This Row],[Línea Base 2025]])/Registro[[#This Row],[Línea Base 2025]],0)</f>
        <v>-1</v>
      </c>
      <c r="AA559" s="20">
        <v>2026</v>
      </c>
    </row>
    <row r="560" spans="1:27" hidden="1">
      <c r="A560" s="14">
        <v>1043</v>
      </c>
      <c r="B560" s="15" t="s">
        <v>80</v>
      </c>
      <c r="C560" s="16">
        <v>123</v>
      </c>
      <c r="D560" s="16" t="s">
        <v>198</v>
      </c>
      <c r="E560" s="17" t="s">
        <v>197</v>
      </c>
      <c r="F560" s="24">
        <v>0</v>
      </c>
      <c r="G560" s="19">
        <v>1</v>
      </c>
      <c r="H560" s="19">
        <v>0</v>
      </c>
      <c r="I560" s="19">
        <v>0</v>
      </c>
      <c r="T560" s="19">
        <f>Registro[[#This Row],[Mes 1]]+Registro[[#This Row],[Mes 2]]+Registro[[#This Row],[Mes 3]]</f>
        <v>0</v>
      </c>
      <c r="U560" s="19">
        <f>Registro[[#This Row],[Mes 4]]+Registro[[#This Row],[Mes 5]]+Registro[[#This Row],[Mes 6]]</f>
        <v>0</v>
      </c>
      <c r="V560" s="19">
        <f>Registro[[#This Row],[Mes 7]]+Registro[[#This Row],[Mes 8]]+Registro[[#This Row],[Mes 9]]</f>
        <v>0</v>
      </c>
      <c r="W560" s="20">
        <f>Registro[[#This Row],[Mes 10]]+Registro[[#This Row],[Mes 11]]+Registro[[#This Row],[Mes 12]]</f>
        <v>0</v>
      </c>
      <c r="X560" s="20">
        <f>SUM(Registro[[#This Row],[Trim I]],Registro[[#This Row],[Trim II]],Registro[[#This Row],[Trim III]],Registro[[#This Row],[Trim IV]])</f>
        <v>0</v>
      </c>
      <c r="Y560" s="22">
        <f>IFERROR((Registro[[#This Row],[Avance Total]]/Registro[[#This Row],[Meta]]),0)</f>
        <v>0</v>
      </c>
      <c r="Z560" s="22">
        <f>IFERROR((Registro[[#This Row],[Avance Total]]-Registro[[#This Row],[Línea Base 2025]])/Registro[[#This Row],[Línea Base 2025]],0)</f>
        <v>0</v>
      </c>
      <c r="AA560" s="20">
        <v>2026</v>
      </c>
    </row>
    <row r="561" spans="1:27" hidden="1">
      <c r="A561" s="14">
        <v>1044</v>
      </c>
      <c r="B561" s="15" t="s">
        <v>81</v>
      </c>
      <c r="C561" s="16">
        <v>111</v>
      </c>
      <c r="D561" s="16" t="s">
        <v>171</v>
      </c>
      <c r="E561" s="17" t="s">
        <v>172</v>
      </c>
      <c r="F561" s="24">
        <v>24</v>
      </c>
      <c r="G561" s="19">
        <v>232</v>
      </c>
      <c r="H561" s="19">
        <v>2</v>
      </c>
      <c r="I561" s="19">
        <v>7</v>
      </c>
      <c r="T561" s="19">
        <f>Registro[[#This Row],[Mes 1]]+Registro[[#This Row],[Mes 2]]+Registro[[#This Row],[Mes 3]]</f>
        <v>9</v>
      </c>
      <c r="U561" s="19">
        <f>Registro[[#This Row],[Mes 4]]+Registro[[#This Row],[Mes 5]]+Registro[[#This Row],[Mes 6]]</f>
        <v>0</v>
      </c>
      <c r="V561" s="19">
        <f>Registro[[#This Row],[Mes 7]]+Registro[[#This Row],[Mes 8]]+Registro[[#This Row],[Mes 9]]</f>
        <v>0</v>
      </c>
      <c r="W561" s="20">
        <f>Registro[[#This Row],[Mes 10]]+Registro[[#This Row],[Mes 11]]+Registro[[#This Row],[Mes 12]]</f>
        <v>0</v>
      </c>
      <c r="X561" s="20">
        <f>SUM(Registro[[#This Row],[Trim I]],Registro[[#This Row],[Trim II]],Registro[[#This Row],[Trim III]],Registro[[#This Row],[Trim IV]])</f>
        <v>9</v>
      </c>
      <c r="Y561" s="22">
        <f>IFERROR((Registro[[#This Row],[Avance Total]]/Registro[[#This Row],[Meta]]),0)</f>
        <v>3.8793103448275863E-2</v>
      </c>
      <c r="Z561" s="22">
        <f>IFERROR((Registro[[#This Row],[Avance Total]]-Registro[[#This Row],[Línea Base 2025]])/Registro[[#This Row],[Línea Base 2025]],0)</f>
        <v>-0.625</v>
      </c>
      <c r="AA561" s="20">
        <v>2026</v>
      </c>
    </row>
    <row r="562" spans="1:27" hidden="1">
      <c r="A562" s="14">
        <v>1044</v>
      </c>
      <c r="B562" s="15" t="s">
        <v>81</v>
      </c>
      <c r="C562" s="16">
        <v>112</v>
      </c>
      <c r="D562" s="16" t="s">
        <v>173</v>
      </c>
      <c r="E562" s="17" t="s">
        <v>7</v>
      </c>
      <c r="F562" s="24">
        <v>10</v>
      </c>
      <c r="G562" s="19">
        <v>86</v>
      </c>
      <c r="H562" s="19">
        <v>0</v>
      </c>
      <c r="I562" s="19">
        <v>0</v>
      </c>
      <c r="T562" s="19">
        <f>Registro[[#This Row],[Mes 1]]+Registro[[#This Row],[Mes 2]]+Registro[[#This Row],[Mes 3]]</f>
        <v>0</v>
      </c>
      <c r="U562" s="19">
        <f>Registro[[#This Row],[Mes 4]]+Registro[[#This Row],[Mes 5]]+Registro[[#This Row],[Mes 6]]</f>
        <v>0</v>
      </c>
      <c r="V562" s="19">
        <f>Registro[[#This Row],[Mes 7]]+Registro[[#This Row],[Mes 8]]+Registro[[#This Row],[Mes 9]]</f>
        <v>0</v>
      </c>
      <c r="W562" s="20">
        <f>Registro[[#This Row],[Mes 10]]+Registro[[#This Row],[Mes 11]]+Registro[[#This Row],[Mes 12]]</f>
        <v>0</v>
      </c>
      <c r="X562" s="20">
        <f>SUM(Registro[[#This Row],[Trim I]],Registro[[#This Row],[Trim II]],Registro[[#This Row],[Trim III]],Registro[[#This Row],[Trim IV]])</f>
        <v>0</v>
      </c>
      <c r="Y562" s="22">
        <f>IFERROR((Registro[[#This Row],[Avance Total]]/Registro[[#This Row],[Meta]]),0)</f>
        <v>0</v>
      </c>
      <c r="Z562" s="22">
        <f>IFERROR((Registro[[#This Row],[Avance Total]]-Registro[[#This Row],[Línea Base 2025]])/Registro[[#This Row],[Línea Base 2025]],0)</f>
        <v>-1</v>
      </c>
      <c r="AA562" s="20">
        <v>2026</v>
      </c>
    </row>
    <row r="563" spans="1:27" hidden="1">
      <c r="A563" s="14">
        <v>1044</v>
      </c>
      <c r="B563" s="15" t="s">
        <v>81</v>
      </c>
      <c r="C563" s="16">
        <v>113</v>
      </c>
      <c r="D563" s="16" t="s">
        <v>179</v>
      </c>
      <c r="E563" s="17" t="s">
        <v>178</v>
      </c>
      <c r="F563" s="24">
        <v>18</v>
      </c>
      <c r="G563" s="19">
        <v>278</v>
      </c>
      <c r="H563" s="19">
        <v>1</v>
      </c>
      <c r="I563" s="19">
        <v>2</v>
      </c>
      <c r="T563" s="19">
        <f>Registro[[#This Row],[Mes 1]]+Registro[[#This Row],[Mes 2]]+Registro[[#This Row],[Mes 3]]</f>
        <v>3</v>
      </c>
      <c r="U563" s="19">
        <f>Registro[[#This Row],[Mes 4]]+Registro[[#This Row],[Mes 5]]+Registro[[#This Row],[Mes 6]]</f>
        <v>0</v>
      </c>
      <c r="V563" s="19">
        <f>Registro[[#This Row],[Mes 7]]+Registro[[#This Row],[Mes 8]]+Registro[[#This Row],[Mes 9]]</f>
        <v>0</v>
      </c>
      <c r="W563" s="20">
        <f>Registro[[#This Row],[Mes 10]]+Registro[[#This Row],[Mes 11]]+Registro[[#This Row],[Mes 12]]</f>
        <v>0</v>
      </c>
      <c r="X563" s="20">
        <f>SUM(Registro[[#This Row],[Trim I]],Registro[[#This Row],[Trim II]],Registro[[#This Row],[Trim III]],Registro[[#This Row],[Trim IV]])</f>
        <v>3</v>
      </c>
      <c r="Y563" s="22">
        <f>IFERROR((Registro[[#This Row],[Avance Total]]/Registro[[#This Row],[Meta]]),0)</f>
        <v>1.0791366906474821E-2</v>
      </c>
      <c r="Z563" s="22">
        <f>IFERROR((Registro[[#This Row],[Avance Total]]-Registro[[#This Row],[Línea Base 2025]])/Registro[[#This Row],[Línea Base 2025]],0)</f>
        <v>-0.83333333333333337</v>
      </c>
      <c r="AA563" s="20">
        <v>2026</v>
      </c>
    </row>
    <row r="564" spans="1:27" hidden="1">
      <c r="A564" s="14">
        <v>1044</v>
      </c>
      <c r="B564" s="15" t="s">
        <v>81</v>
      </c>
      <c r="C564" s="16">
        <v>114</v>
      </c>
      <c r="D564" s="16" t="s">
        <v>181</v>
      </c>
      <c r="E564" s="17" t="s">
        <v>180</v>
      </c>
      <c r="F564" s="24">
        <v>0</v>
      </c>
      <c r="G564" s="19">
        <v>9</v>
      </c>
      <c r="H564" s="19">
        <v>0</v>
      </c>
      <c r="I564" s="19">
        <v>3</v>
      </c>
      <c r="T564" s="19">
        <f>Registro[[#This Row],[Mes 1]]+Registro[[#This Row],[Mes 2]]+Registro[[#This Row],[Mes 3]]</f>
        <v>3</v>
      </c>
      <c r="U564" s="19">
        <f>Registro[[#This Row],[Mes 4]]+Registro[[#This Row],[Mes 5]]+Registro[[#This Row],[Mes 6]]</f>
        <v>0</v>
      </c>
      <c r="V564" s="19">
        <f>Registro[[#This Row],[Mes 7]]+Registro[[#This Row],[Mes 8]]+Registro[[#This Row],[Mes 9]]</f>
        <v>0</v>
      </c>
      <c r="W564" s="20">
        <f>Registro[[#This Row],[Mes 10]]+Registro[[#This Row],[Mes 11]]+Registro[[#This Row],[Mes 12]]</f>
        <v>0</v>
      </c>
      <c r="X564" s="20">
        <f>SUM(Registro[[#This Row],[Trim I]],Registro[[#This Row],[Trim II]],Registro[[#This Row],[Trim III]],Registro[[#This Row],[Trim IV]])</f>
        <v>3</v>
      </c>
      <c r="Y564" s="22">
        <f>IFERROR((Registro[[#This Row],[Avance Total]]/Registro[[#This Row],[Meta]]),0)</f>
        <v>0.33333333333333331</v>
      </c>
      <c r="Z564" s="22">
        <f>IFERROR((Registro[[#This Row],[Avance Total]]-Registro[[#This Row],[Línea Base 2025]])/Registro[[#This Row],[Línea Base 2025]],0)</f>
        <v>0</v>
      </c>
      <c r="AA564" s="20">
        <v>2026</v>
      </c>
    </row>
    <row r="565" spans="1:27" hidden="1">
      <c r="A565" s="14">
        <v>1044</v>
      </c>
      <c r="B565" s="15" t="s">
        <v>81</v>
      </c>
      <c r="C565" s="16">
        <v>115</v>
      </c>
      <c r="D565" s="16" t="s">
        <v>183</v>
      </c>
      <c r="E565" s="17" t="s">
        <v>182</v>
      </c>
      <c r="F565" s="24">
        <v>0</v>
      </c>
      <c r="G565" s="19">
        <v>8</v>
      </c>
      <c r="H565" s="19">
        <v>0</v>
      </c>
      <c r="I565" s="19">
        <v>0</v>
      </c>
      <c r="T565" s="19">
        <f>Registro[[#This Row],[Mes 1]]+Registro[[#This Row],[Mes 2]]+Registro[[#This Row],[Mes 3]]</f>
        <v>0</v>
      </c>
      <c r="U565" s="19">
        <f>Registro[[#This Row],[Mes 4]]+Registro[[#This Row],[Mes 5]]+Registro[[#This Row],[Mes 6]]</f>
        <v>0</v>
      </c>
      <c r="V565" s="19">
        <f>Registro[[#This Row],[Mes 7]]+Registro[[#This Row],[Mes 8]]+Registro[[#This Row],[Mes 9]]</f>
        <v>0</v>
      </c>
      <c r="W565" s="20">
        <f>Registro[[#This Row],[Mes 10]]+Registro[[#This Row],[Mes 11]]+Registro[[#This Row],[Mes 12]]</f>
        <v>0</v>
      </c>
      <c r="X565" s="20">
        <f>SUM(Registro[[#This Row],[Trim I]],Registro[[#This Row],[Trim II]],Registro[[#This Row],[Trim III]],Registro[[#This Row],[Trim IV]])</f>
        <v>0</v>
      </c>
      <c r="Y565" s="22">
        <f>IFERROR((Registro[[#This Row],[Avance Total]]/Registro[[#This Row],[Meta]]),0)</f>
        <v>0</v>
      </c>
      <c r="Z565" s="22">
        <f>IFERROR((Registro[[#This Row],[Avance Total]]-Registro[[#This Row],[Línea Base 2025]])/Registro[[#This Row],[Línea Base 2025]],0)</f>
        <v>0</v>
      </c>
      <c r="AA565" s="20">
        <v>2026</v>
      </c>
    </row>
    <row r="566" spans="1:27">
      <c r="A566" s="14">
        <v>1044</v>
      </c>
      <c r="B566" s="15" t="s">
        <v>81</v>
      </c>
      <c r="C566" s="16">
        <v>116</v>
      </c>
      <c r="D566" s="16" t="s">
        <v>185</v>
      </c>
      <c r="E566" s="17" t="s">
        <v>184</v>
      </c>
      <c r="F566" s="24">
        <v>0</v>
      </c>
      <c r="G566" s="19">
        <v>2</v>
      </c>
      <c r="H566" s="19">
        <v>0</v>
      </c>
      <c r="I566" s="19">
        <v>0</v>
      </c>
      <c r="T566" s="19">
        <f>Registro[[#This Row],[Mes 1]]+Registro[[#This Row],[Mes 2]]+Registro[[#This Row],[Mes 3]]</f>
        <v>0</v>
      </c>
      <c r="U566" s="19">
        <f>Registro[[#This Row],[Mes 4]]+Registro[[#This Row],[Mes 5]]+Registro[[#This Row],[Mes 6]]</f>
        <v>0</v>
      </c>
      <c r="V566" s="19">
        <f>Registro[[#This Row],[Mes 7]]+Registro[[#This Row],[Mes 8]]+Registro[[#This Row],[Mes 9]]</f>
        <v>0</v>
      </c>
      <c r="W566" s="20">
        <f>Registro[[#This Row],[Mes 10]]+Registro[[#This Row],[Mes 11]]+Registro[[#This Row],[Mes 12]]</f>
        <v>0</v>
      </c>
      <c r="X566" s="20">
        <f>SUM(Registro[[#This Row],[Trim I]],Registro[[#This Row],[Trim II]],Registro[[#This Row],[Trim III]],Registro[[#This Row],[Trim IV]])</f>
        <v>0</v>
      </c>
      <c r="Y566" s="22">
        <f>IFERROR((Registro[[#This Row],[Avance Total]]/Registro[[#This Row],[Meta]]),0)</f>
        <v>0</v>
      </c>
      <c r="Z566" s="22">
        <f>IFERROR((Registro[[#This Row],[Avance Total]]-Registro[[#This Row],[Línea Base 2025]])/Registro[[#This Row],[Línea Base 2025]],0)</f>
        <v>0</v>
      </c>
      <c r="AA566" s="20">
        <v>2026</v>
      </c>
    </row>
    <row r="567" spans="1:27" hidden="1">
      <c r="A567" s="14">
        <v>1044</v>
      </c>
      <c r="B567" s="15" t="s">
        <v>81</v>
      </c>
      <c r="C567" s="16">
        <v>117</v>
      </c>
      <c r="D567" s="16" t="s">
        <v>187</v>
      </c>
      <c r="E567" s="17" t="s">
        <v>186</v>
      </c>
      <c r="F567" s="24">
        <v>0</v>
      </c>
      <c r="G567" s="19">
        <v>1</v>
      </c>
      <c r="H567" s="19">
        <v>0</v>
      </c>
      <c r="I567" s="19">
        <v>0</v>
      </c>
      <c r="T567" s="19">
        <f>Registro[[#This Row],[Mes 1]]+Registro[[#This Row],[Mes 2]]+Registro[[#This Row],[Mes 3]]</f>
        <v>0</v>
      </c>
      <c r="U567" s="19">
        <f>Registro[[#This Row],[Mes 4]]+Registro[[#This Row],[Mes 5]]+Registro[[#This Row],[Mes 6]]</f>
        <v>0</v>
      </c>
      <c r="V567" s="19">
        <f>Registro[[#This Row],[Mes 7]]+Registro[[#This Row],[Mes 8]]+Registro[[#This Row],[Mes 9]]</f>
        <v>0</v>
      </c>
      <c r="W567" s="20">
        <f>Registro[[#This Row],[Mes 10]]+Registro[[#This Row],[Mes 11]]+Registro[[#This Row],[Mes 12]]</f>
        <v>0</v>
      </c>
      <c r="X567" s="20">
        <f>SUM(Registro[[#This Row],[Trim I]],Registro[[#This Row],[Trim II]],Registro[[#This Row],[Trim III]],Registro[[#This Row],[Trim IV]])</f>
        <v>0</v>
      </c>
      <c r="Y567" s="22">
        <f>IFERROR((Registro[[#This Row],[Avance Total]]/Registro[[#This Row],[Meta]]),0)</f>
        <v>0</v>
      </c>
      <c r="Z567" s="22">
        <f>IFERROR((Registro[[#This Row],[Avance Total]]-Registro[[#This Row],[Línea Base 2025]])/Registro[[#This Row],[Línea Base 2025]],0)</f>
        <v>0</v>
      </c>
      <c r="AA567" s="20">
        <v>2026</v>
      </c>
    </row>
    <row r="568" spans="1:27" hidden="1">
      <c r="A568" s="14">
        <v>1044</v>
      </c>
      <c r="B568" s="15" t="s">
        <v>81</v>
      </c>
      <c r="C568" s="16">
        <v>118</v>
      </c>
      <c r="D568" s="16" t="s">
        <v>188</v>
      </c>
      <c r="E568" s="17" t="s">
        <v>9</v>
      </c>
      <c r="F568" s="24">
        <v>0</v>
      </c>
      <c r="G568" s="19">
        <v>3</v>
      </c>
      <c r="H568" s="19">
        <v>0</v>
      </c>
      <c r="I568" s="19">
        <v>0</v>
      </c>
      <c r="T568" s="19">
        <f>Registro[[#This Row],[Mes 1]]+Registro[[#This Row],[Mes 2]]+Registro[[#This Row],[Mes 3]]</f>
        <v>0</v>
      </c>
      <c r="U568" s="19">
        <f>Registro[[#This Row],[Mes 4]]+Registro[[#This Row],[Mes 5]]+Registro[[#This Row],[Mes 6]]</f>
        <v>0</v>
      </c>
      <c r="V568" s="19">
        <f>Registro[[#This Row],[Mes 7]]+Registro[[#This Row],[Mes 8]]+Registro[[#This Row],[Mes 9]]</f>
        <v>0</v>
      </c>
      <c r="W568" s="20">
        <f>Registro[[#This Row],[Mes 10]]+Registro[[#This Row],[Mes 11]]+Registro[[#This Row],[Mes 12]]</f>
        <v>0</v>
      </c>
      <c r="X568" s="20">
        <f>SUM(Registro[[#This Row],[Trim I]],Registro[[#This Row],[Trim II]],Registro[[#This Row],[Trim III]],Registro[[#This Row],[Trim IV]])</f>
        <v>0</v>
      </c>
      <c r="Y568" s="22">
        <f>IFERROR((Registro[[#This Row],[Avance Total]]/Registro[[#This Row],[Meta]]),0)</f>
        <v>0</v>
      </c>
      <c r="Z568" s="22">
        <f>IFERROR((Registro[[#This Row],[Avance Total]]-Registro[[#This Row],[Línea Base 2025]])/Registro[[#This Row],[Línea Base 2025]],0)</f>
        <v>0</v>
      </c>
      <c r="AA568" s="20">
        <v>2026</v>
      </c>
    </row>
    <row r="569" spans="1:27" hidden="1">
      <c r="A569" s="14">
        <v>1044</v>
      </c>
      <c r="B569" s="15" t="s">
        <v>81</v>
      </c>
      <c r="C569" s="16">
        <v>119</v>
      </c>
      <c r="D569" s="16" t="s">
        <v>190</v>
      </c>
      <c r="E569" s="17" t="s">
        <v>189</v>
      </c>
      <c r="F569" s="24">
        <v>0</v>
      </c>
      <c r="G569" s="19">
        <v>2</v>
      </c>
      <c r="H569" s="19">
        <v>0</v>
      </c>
      <c r="I569" s="19">
        <v>0</v>
      </c>
      <c r="T569" s="19">
        <f>Registro[[#This Row],[Mes 1]]+Registro[[#This Row],[Mes 2]]+Registro[[#This Row],[Mes 3]]</f>
        <v>0</v>
      </c>
      <c r="U569" s="19">
        <f>Registro[[#This Row],[Mes 4]]+Registro[[#This Row],[Mes 5]]+Registro[[#This Row],[Mes 6]]</f>
        <v>0</v>
      </c>
      <c r="V569" s="19">
        <f>Registro[[#This Row],[Mes 7]]+Registro[[#This Row],[Mes 8]]+Registro[[#This Row],[Mes 9]]</f>
        <v>0</v>
      </c>
      <c r="W569" s="20">
        <f>Registro[[#This Row],[Mes 10]]+Registro[[#This Row],[Mes 11]]+Registro[[#This Row],[Mes 12]]</f>
        <v>0</v>
      </c>
      <c r="X569" s="20">
        <f>SUM(Registro[[#This Row],[Trim I]],Registro[[#This Row],[Trim II]],Registro[[#This Row],[Trim III]],Registro[[#This Row],[Trim IV]])</f>
        <v>0</v>
      </c>
      <c r="Y569" s="22">
        <f>IFERROR((Registro[[#This Row],[Avance Total]]/Registro[[#This Row],[Meta]]),0)</f>
        <v>0</v>
      </c>
      <c r="Z569" s="22">
        <f>IFERROR((Registro[[#This Row],[Avance Total]]-Registro[[#This Row],[Línea Base 2025]])/Registro[[#This Row],[Línea Base 2025]],0)</f>
        <v>0</v>
      </c>
      <c r="AA569" s="20">
        <v>2026</v>
      </c>
    </row>
    <row r="570" spans="1:27" hidden="1">
      <c r="A570" s="14">
        <v>1044</v>
      </c>
      <c r="B570" s="15" t="s">
        <v>81</v>
      </c>
      <c r="C570" s="16">
        <v>120</v>
      </c>
      <c r="D570" s="16" t="s">
        <v>192</v>
      </c>
      <c r="E570" s="17" t="s">
        <v>191</v>
      </c>
      <c r="F570" s="24">
        <v>5</v>
      </c>
      <c r="G570" s="19">
        <v>6</v>
      </c>
      <c r="H570" s="19">
        <v>0</v>
      </c>
      <c r="I570" s="19">
        <v>0</v>
      </c>
      <c r="T570" s="19">
        <f>Registro[[#This Row],[Mes 1]]+Registro[[#This Row],[Mes 2]]+Registro[[#This Row],[Mes 3]]</f>
        <v>0</v>
      </c>
      <c r="U570" s="19">
        <f>Registro[[#This Row],[Mes 4]]+Registro[[#This Row],[Mes 5]]+Registro[[#This Row],[Mes 6]]</f>
        <v>0</v>
      </c>
      <c r="V570" s="19">
        <f>Registro[[#This Row],[Mes 7]]+Registro[[#This Row],[Mes 8]]+Registro[[#This Row],[Mes 9]]</f>
        <v>0</v>
      </c>
      <c r="W570" s="20">
        <f>Registro[[#This Row],[Mes 10]]+Registro[[#This Row],[Mes 11]]+Registro[[#This Row],[Mes 12]]</f>
        <v>0</v>
      </c>
      <c r="X570" s="20">
        <f>SUM(Registro[[#This Row],[Trim I]],Registro[[#This Row],[Trim II]],Registro[[#This Row],[Trim III]],Registro[[#This Row],[Trim IV]])</f>
        <v>0</v>
      </c>
      <c r="Y570" s="22">
        <f>IFERROR((Registro[[#This Row],[Avance Total]]/Registro[[#This Row],[Meta]]),0)</f>
        <v>0</v>
      </c>
      <c r="Z570" s="22">
        <f>IFERROR((Registro[[#This Row],[Avance Total]]-Registro[[#This Row],[Línea Base 2025]])/Registro[[#This Row],[Línea Base 2025]],0)</f>
        <v>-1</v>
      </c>
      <c r="AA570" s="20">
        <v>2026</v>
      </c>
    </row>
    <row r="571" spans="1:27" hidden="1">
      <c r="A571" s="14">
        <v>1044</v>
      </c>
      <c r="B571" s="15" t="s">
        <v>81</v>
      </c>
      <c r="C571" s="16">
        <v>121</v>
      </c>
      <c r="D571" s="16" t="s">
        <v>194</v>
      </c>
      <c r="E571" s="17" t="s">
        <v>193</v>
      </c>
      <c r="F571" s="24">
        <v>4</v>
      </c>
      <c r="G571" s="19">
        <v>1</v>
      </c>
      <c r="H571" s="19">
        <v>0</v>
      </c>
      <c r="I571" s="19">
        <v>0</v>
      </c>
      <c r="T571" s="19">
        <f>Registro[[#This Row],[Mes 1]]+Registro[[#This Row],[Mes 2]]+Registro[[#This Row],[Mes 3]]</f>
        <v>0</v>
      </c>
      <c r="U571" s="19">
        <f>Registro[[#This Row],[Mes 4]]+Registro[[#This Row],[Mes 5]]+Registro[[#This Row],[Mes 6]]</f>
        <v>0</v>
      </c>
      <c r="V571" s="19">
        <f>Registro[[#This Row],[Mes 7]]+Registro[[#This Row],[Mes 8]]+Registro[[#This Row],[Mes 9]]</f>
        <v>0</v>
      </c>
      <c r="W571" s="20">
        <f>Registro[[#This Row],[Mes 10]]+Registro[[#This Row],[Mes 11]]+Registro[[#This Row],[Mes 12]]</f>
        <v>0</v>
      </c>
      <c r="X571" s="20">
        <f>SUM(Registro[[#This Row],[Trim I]],Registro[[#This Row],[Trim II]],Registro[[#This Row],[Trim III]],Registro[[#This Row],[Trim IV]])</f>
        <v>0</v>
      </c>
      <c r="Y571" s="22">
        <f>IFERROR((Registro[[#This Row],[Avance Total]]/Registro[[#This Row],[Meta]]),0)</f>
        <v>0</v>
      </c>
      <c r="Z571" s="22">
        <f>IFERROR((Registro[[#This Row],[Avance Total]]-Registro[[#This Row],[Línea Base 2025]])/Registro[[#This Row],[Línea Base 2025]],0)</f>
        <v>-1</v>
      </c>
      <c r="AA571" s="20">
        <v>2026</v>
      </c>
    </row>
    <row r="572" spans="1:27" hidden="1">
      <c r="A572" s="14">
        <v>1044</v>
      </c>
      <c r="B572" s="15" t="s">
        <v>81</v>
      </c>
      <c r="C572" s="16">
        <v>122</v>
      </c>
      <c r="D572" s="16" t="s">
        <v>196</v>
      </c>
      <c r="E572" s="17" t="s">
        <v>195</v>
      </c>
      <c r="F572" s="24">
        <v>2</v>
      </c>
      <c r="G572" s="19">
        <v>6</v>
      </c>
      <c r="H572" s="19">
        <v>0</v>
      </c>
      <c r="I572" s="19">
        <v>0</v>
      </c>
      <c r="T572" s="19">
        <f>Registro[[#This Row],[Mes 1]]+Registro[[#This Row],[Mes 2]]+Registro[[#This Row],[Mes 3]]</f>
        <v>0</v>
      </c>
      <c r="U572" s="19">
        <f>Registro[[#This Row],[Mes 4]]+Registro[[#This Row],[Mes 5]]+Registro[[#This Row],[Mes 6]]</f>
        <v>0</v>
      </c>
      <c r="V572" s="19">
        <f>Registro[[#This Row],[Mes 7]]+Registro[[#This Row],[Mes 8]]+Registro[[#This Row],[Mes 9]]</f>
        <v>0</v>
      </c>
      <c r="W572" s="20">
        <f>Registro[[#This Row],[Mes 10]]+Registro[[#This Row],[Mes 11]]+Registro[[#This Row],[Mes 12]]</f>
        <v>0</v>
      </c>
      <c r="X572" s="20">
        <f>SUM(Registro[[#This Row],[Trim I]],Registro[[#This Row],[Trim II]],Registro[[#This Row],[Trim III]],Registro[[#This Row],[Trim IV]])</f>
        <v>0</v>
      </c>
      <c r="Y572" s="22">
        <f>IFERROR((Registro[[#This Row],[Avance Total]]/Registro[[#This Row],[Meta]]),0)</f>
        <v>0</v>
      </c>
      <c r="Z572" s="22">
        <f>IFERROR((Registro[[#This Row],[Avance Total]]-Registro[[#This Row],[Línea Base 2025]])/Registro[[#This Row],[Línea Base 2025]],0)</f>
        <v>-1</v>
      </c>
      <c r="AA572" s="20">
        <v>2026</v>
      </c>
    </row>
    <row r="573" spans="1:27" hidden="1">
      <c r="A573" s="14">
        <v>1044</v>
      </c>
      <c r="B573" s="15" t="s">
        <v>81</v>
      </c>
      <c r="C573" s="16">
        <v>123</v>
      </c>
      <c r="D573" s="16" t="s">
        <v>198</v>
      </c>
      <c r="E573" s="17" t="s">
        <v>197</v>
      </c>
      <c r="F573" s="24">
        <v>0</v>
      </c>
      <c r="G573" s="19">
        <v>0</v>
      </c>
      <c r="H573" s="19">
        <v>0</v>
      </c>
      <c r="I573" s="19">
        <v>0</v>
      </c>
      <c r="T573" s="19">
        <f>Registro[[#This Row],[Mes 1]]+Registro[[#This Row],[Mes 2]]+Registro[[#This Row],[Mes 3]]</f>
        <v>0</v>
      </c>
      <c r="U573" s="19">
        <f>Registro[[#This Row],[Mes 4]]+Registro[[#This Row],[Mes 5]]+Registro[[#This Row],[Mes 6]]</f>
        <v>0</v>
      </c>
      <c r="V573" s="19">
        <f>Registro[[#This Row],[Mes 7]]+Registro[[#This Row],[Mes 8]]+Registro[[#This Row],[Mes 9]]</f>
        <v>0</v>
      </c>
      <c r="W573" s="20">
        <f>Registro[[#This Row],[Mes 10]]+Registro[[#This Row],[Mes 11]]+Registro[[#This Row],[Mes 12]]</f>
        <v>0</v>
      </c>
      <c r="X573" s="20">
        <f>SUM(Registro[[#This Row],[Trim I]],Registro[[#This Row],[Trim II]],Registro[[#This Row],[Trim III]],Registro[[#This Row],[Trim IV]])</f>
        <v>0</v>
      </c>
      <c r="Y573" s="22">
        <f>IFERROR((Registro[[#This Row],[Avance Total]]/Registro[[#This Row],[Meta]]),0)</f>
        <v>0</v>
      </c>
      <c r="Z573" s="22">
        <f>IFERROR((Registro[[#This Row],[Avance Total]]-Registro[[#This Row],[Línea Base 2025]])/Registro[[#This Row],[Línea Base 2025]],0)</f>
        <v>0</v>
      </c>
      <c r="AA573" s="20">
        <v>2026</v>
      </c>
    </row>
    <row r="574" spans="1:27" hidden="1">
      <c r="A574" s="14">
        <v>1045</v>
      </c>
      <c r="B574" s="15" t="s">
        <v>13</v>
      </c>
      <c r="C574" s="16">
        <v>111</v>
      </c>
      <c r="D574" s="16" t="s">
        <v>171</v>
      </c>
      <c r="E574" s="17" t="s">
        <v>172</v>
      </c>
      <c r="F574" s="24">
        <v>7</v>
      </c>
      <c r="G574" s="19">
        <v>348</v>
      </c>
      <c r="H574" s="19">
        <v>1</v>
      </c>
      <c r="I574" s="19">
        <v>2</v>
      </c>
      <c r="T574" s="19">
        <f>Registro[[#This Row],[Mes 1]]+Registro[[#This Row],[Mes 2]]+Registro[[#This Row],[Mes 3]]</f>
        <v>3</v>
      </c>
      <c r="U574" s="19">
        <f>Registro[[#This Row],[Mes 4]]+Registro[[#This Row],[Mes 5]]+Registro[[#This Row],[Mes 6]]</f>
        <v>0</v>
      </c>
      <c r="V574" s="19">
        <f>Registro[[#This Row],[Mes 7]]+Registro[[#This Row],[Mes 8]]+Registro[[#This Row],[Mes 9]]</f>
        <v>0</v>
      </c>
      <c r="W574" s="20">
        <f>Registro[[#This Row],[Mes 10]]+Registro[[#This Row],[Mes 11]]+Registro[[#This Row],[Mes 12]]</f>
        <v>0</v>
      </c>
      <c r="X574" s="20">
        <f>SUM(Registro[[#This Row],[Trim I]],Registro[[#This Row],[Trim II]],Registro[[#This Row],[Trim III]],Registro[[#This Row],[Trim IV]])</f>
        <v>3</v>
      </c>
      <c r="Y574" s="22">
        <f>IFERROR((Registro[[#This Row],[Avance Total]]/Registro[[#This Row],[Meta]]),0)</f>
        <v>8.6206896551724137E-3</v>
      </c>
      <c r="Z574" s="22">
        <f>IFERROR((Registro[[#This Row],[Avance Total]]-Registro[[#This Row],[Línea Base 2025]])/Registro[[#This Row],[Línea Base 2025]],0)</f>
        <v>-0.5714285714285714</v>
      </c>
      <c r="AA574" s="20">
        <v>2026</v>
      </c>
    </row>
    <row r="575" spans="1:27" hidden="1">
      <c r="A575" s="14">
        <v>1045</v>
      </c>
      <c r="B575" s="15" t="s">
        <v>13</v>
      </c>
      <c r="C575" s="16">
        <v>112</v>
      </c>
      <c r="D575" s="16" t="s">
        <v>173</v>
      </c>
      <c r="E575" s="17" t="s">
        <v>7</v>
      </c>
      <c r="F575" s="24">
        <v>0</v>
      </c>
      <c r="G575" s="19">
        <v>5</v>
      </c>
      <c r="H575" s="19">
        <v>0</v>
      </c>
      <c r="I575" s="19">
        <v>0</v>
      </c>
      <c r="T575" s="19">
        <f>Registro[[#This Row],[Mes 1]]+Registro[[#This Row],[Mes 2]]+Registro[[#This Row],[Mes 3]]</f>
        <v>0</v>
      </c>
      <c r="U575" s="19">
        <f>Registro[[#This Row],[Mes 4]]+Registro[[#This Row],[Mes 5]]+Registro[[#This Row],[Mes 6]]</f>
        <v>0</v>
      </c>
      <c r="V575" s="19">
        <f>Registro[[#This Row],[Mes 7]]+Registro[[#This Row],[Mes 8]]+Registro[[#This Row],[Mes 9]]</f>
        <v>0</v>
      </c>
      <c r="W575" s="20">
        <f>Registro[[#This Row],[Mes 10]]+Registro[[#This Row],[Mes 11]]+Registro[[#This Row],[Mes 12]]</f>
        <v>0</v>
      </c>
      <c r="X575" s="20">
        <f>SUM(Registro[[#This Row],[Trim I]],Registro[[#This Row],[Trim II]],Registro[[#This Row],[Trim III]],Registro[[#This Row],[Trim IV]])</f>
        <v>0</v>
      </c>
      <c r="Y575" s="22">
        <f>IFERROR((Registro[[#This Row],[Avance Total]]/Registro[[#This Row],[Meta]]),0)</f>
        <v>0</v>
      </c>
      <c r="Z575" s="22">
        <f>IFERROR((Registro[[#This Row],[Avance Total]]-Registro[[#This Row],[Línea Base 2025]])/Registro[[#This Row],[Línea Base 2025]],0)</f>
        <v>0</v>
      </c>
      <c r="AA575" s="20">
        <v>2026</v>
      </c>
    </row>
    <row r="576" spans="1:27" hidden="1">
      <c r="A576" s="14">
        <v>1045</v>
      </c>
      <c r="B576" s="15" t="s">
        <v>13</v>
      </c>
      <c r="C576" s="16">
        <v>113</v>
      </c>
      <c r="D576" s="16" t="s">
        <v>179</v>
      </c>
      <c r="E576" s="17" t="s">
        <v>178</v>
      </c>
      <c r="F576" s="24">
        <v>8</v>
      </c>
      <c r="G576" s="19">
        <v>229</v>
      </c>
      <c r="H576" s="19">
        <v>0</v>
      </c>
      <c r="I576" s="19">
        <v>1</v>
      </c>
      <c r="T576" s="19">
        <f>Registro[[#This Row],[Mes 1]]+Registro[[#This Row],[Mes 2]]+Registro[[#This Row],[Mes 3]]</f>
        <v>1</v>
      </c>
      <c r="U576" s="19">
        <f>Registro[[#This Row],[Mes 4]]+Registro[[#This Row],[Mes 5]]+Registro[[#This Row],[Mes 6]]</f>
        <v>0</v>
      </c>
      <c r="V576" s="19">
        <f>Registro[[#This Row],[Mes 7]]+Registro[[#This Row],[Mes 8]]+Registro[[#This Row],[Mes 9]]</f>
        <v>0</v>
      </c>
      <c r="W576" s="20">
        <f>Registro[[#This Row],[Mes 10]]+Registro[[#This Row],[Mes 11]]+Registro[[#This Row],[Mes 12]]</f>
        <v>0</v>
      </c>
      <c r="X576" s="20">
        <f>SUM(Registro[[#This Row],[Trim I]],Registro[[#This Row],[Trim II]],Registro[[#This Row],[Trim III]],Registro[[#This Row],[Trim IV]])</f>
        <v>1</v>
      </c>
      <c r="Y576" s="22">
        <f>IFERROR((Registro[[#This Row],[Avance Total]]/Registro[[#This Row],[Meta]]),0)</f>
        <v>4.3668122270742356E-3</v>
      </c>
      <c r="Z576" s="22">
        <f>IFERROR((Registro[[#This Row],[Avance Total]]-Registro[[#This Row],[Línea Base 2025]])/Registro[[#This Row],[Línea Base 2025]],0)</f>
        <v>-0.875</v>
      </c>
      <c r="AA576" s="20">
        <v>2026</v>
      </c>
    </row>
    <row r="577" spans="1:27" hidden="1">
      <c r="A577" s="14">
        <v>1045</v>
      </c>
      <c r="B577" s="15" t="s">
        <v>13</v>
      </c>
      <c r="C577" s="16">
        <v>114</v>
      </c>
      <c r="D577" s="16" t="s">
        <v>181</v>
      </c>
      <c r="E577" s="17" t="s">
        <v>180</v>
      </c>
      <c r="F577" s="24">
        <v>0</v>
      </c>
      <c r="G577" s="19">
        <v>0</v>
      </c>
      <c r="H577" s="19">
        <v>0</v>
      </c>
      <c r="I577" s="19">
        <v>0</v>
      </c>
      <c r="T577" s="19">
        <f>Registro[[#This Row],[Mes 1]]+Registro[[#This Row],[Mes 2]]+Registro[[#This Row],[Mes 3]]</f>
        <v>0</v>
      </c>
      <c r="U577" s="19">
        <f>Registro[[#This Row],[Mes 4]]+Registro[[#This Row],[Mes 5]]+Registro[[#This Row],[Mes 6]]</f>
        <v>0</v>
      </c>
      <c r="V577" s="19">
        <f>Registro[[#This Row],[Mes 7]]+Registro[[#This Row],[Mes 8]]+Registro[[#This Row],[Mes 9]]</f>
        <v>0</v>
      </c>
      <c r="W577" s="20">
        <f>Registro[[#This Row],[Mes 10]]+Registro[[#This Row],[Mes 11]]+Registro[[#This Row],[Mes 12]]</f>
        <v>0</v>
      </c>
      <c r="X577" s="20">
        <f>SUM(Registro[[#This Row],[Trim I]],Registro[[#This Row],[Trim II]],Registro[[#This Row],[Trim III]],Registro[[#This Row],[Trim IV]])</f>
        <v>0</v>
      </c>
      <c r="Y577" s="22">
        <f>IFERROR((Registro[[#This Row],[Avance Total]]/Registro[[#This Row],[Meta]]),0)</f>
        <v>0</v>
      </c>
      <c r="Z577" s="22">
        <f>IFERROR((Registro[[#This Row],[Avance Total]]-Registro[[#This Row],[Línea Base 2025]])/Registro[[#This Row],[Línea Base 2025]],0)</f>
        <v>0</v>
      </c>
      <c r="AA577" s="20">
        <v>2026</v>
      </c>
    </row>
    <row r="578" spans="1:27" hidden="1">
      <c r="A578" s="14">
        <v>1045</v>
      </c>
      <c r="B578" s="15" t="s">
        <v>13</v>
      </c>
      <c r="C578" s="16">
        <v>115</v>
      </c>
      <c r="D578" s="16" t="s">
        <v>183</v>
      </c>
      <c r="E578" s="17" t="s">
        <v>182</v>
      </c>
      <c r="F578" s="24">
        <v>0</v>
      </c>
      <c r="G578" s="19">
        <v>0</v>
      </c>
      <c r="H578" s="19">
        <v>0</v>
      </c>
      <c r="I578" s="19">
        <v>0</v>
      </c>
      <c r="T578" s="19">
        <f>Registro[[#This Row],[Mes 1]]+Registro[[#This Row],[Mes 2]]+Registro[[#This Row],[Mes 3]]</f>
        <v>0</v>
      </c>
      <c r="U578" s="19">
        <f>Registro[[#This Row],[Mes 4]]+Registro[[#This Row],[Mes 5]]+Registro[[#This Row],[Mes 6]]</f>
        <v>0</v>
      </c>
      <c r="V578" s="19">
        <f>Registro[[#This Row],[Mes 7]]+Registro[[#This Row],[Mes 8]]+Registro[[#This Row],[Mes 9]]</f>
        <v>0</v>
      </c>
      <c r="W578" s="20">
        <f>Registro[[#This Row],[Mes 10]]+Registro[[#This Row],[Mes 11]]+Registro[[#This Row],[Mes 12]]</f>
        <v>0</v>
      </c>
      <c r="X578" s="20">
        <f>SUM(Registro[[#This Row],[Trim I]],Registro[[#This Row],[Trim II]],Registro[[#This Row],[Trim III]],Registro[[#This Row],[Trim IV]])</f>
        <v>0</v>
      </c>
      <c r="Y578" s="22">
        <f>IFERROR((Registro[[#This Row],[Avance Total]]/Registro[[#This Row],[Meta]]),0)</f>
        <v>0</v>
      </c>
      <c r="Z578" s="22">
        <f>IFERROR((Registro[[#This Row],[Avance Total]]-Registro[[#This Row],[Línea Base 2025]])/Registro[[#This Row],[Línea Base 2025]],0)</f>
        <v>0</v>
      </c>
      <c r="AA578" s="20">
        <v>2026</v>
      </c>
    </row>
    <row r="579" spans="1:27">
      <c r="A579" s="14">
        <v>1045</v>
      </c>
      <c r="B579" s="15" t="s">
        <v>13</v>
      </c>
      <c r="C579" s="16">
        <v>116</v>
      </c>
      <c r="D579" s="16" t="s">
        <v>185</v>
      </c>
      <c r="E579" s="17" t="s">
        <v>184</v>
      </c>
      <c r="F579" s="24">
        <v>1</v>
      </c>
      <c r="G579" s="19">
        <v>1</v>
      </c>
      <c r="H579" s="19">
        <v>0</v>
      </c>
      <c r="I579" s="19">
        <v>0</v>
      </c>
      <c r="T579" s="19">
        <f>Registro[[#This Row],[Mes 1]]+Registro[[#This Row],[Mes 2]]+Registro[[#This Row],[Mes 3]]</f>
        <v>0</v>
      </c>
      <c r="U579" s="19">
        <f>Registro[[#This Row],[Mes 4]]+Registro[[#This Row],[Mes 5]]+Registro[[#This Row],[Mes 6]]</f>
        <v>0</v>
      </c>
      <c r="V579" s="19">
        <f>Registro[[#This Row],[Mes 7]]+Registro[[#This Row],[Mes 8]]+Registro[[#This Row],[Mes 9]]</f>
        <v>0</v>
      </c>
      <c r="W579" s="20">
        <f>Registro[[#This Row],[Mes 10]]+Registro[[#This Row],[Mes 11]]+Registro[[#This Row],[Mes 12]]</f>
        <v>0</v>
      </c>
      <c r="X579" s="20">
        <f>SUM(Registro[[#This Row],[Trim I]],Registro[[#This Row],[Trim II]],Registro[[#This Row],[Trim III]],Registro[[#This Row],[Trim IV]])</f>
        <v>0</v>
      </c>
      <c r="Y579" s="22">
        <f>IFERROR((Registro[[#This Row],[Avance Total]]/Registro[[#This Row],[Meta]]),0)</f>
        <v>0</v>
      </c>
      <c r="Z579" s="22">
        <f>IFERROR((Registro[[#This Row],[Avance Total]]-Registro[[#This Row],[Línea Base 2025]])/Registro[[#This Row],[Línea Base 2025]],0)</f>
        <v>-1</v>
      </c>
      <c r="AA579" s="20">
        <v>2026</v>
      </c>
    </row>
    <row r="580" spans="1:27" hidden="1">
      <c r="A580" s="14">
        <v>1045</v>
      </c>
      <c r="B580" s="15" t="s">
        <v>13</v>
      </c>
      <c r="C580" s="16">
        <v>117</v>
      </c>
      <c r="D580" s="16" t="s">
        <v>187</v>
      </c>
      <c r="E580" s="17" t="s">
        <v>186</v>
      </c>
      <c r="F580" s="24">
        <v>0</v>
      </c>
      <c r="G580" s="19">
        <v>0</v>
      </c>
      <c r="H580" s="19">
        <v>0</v>
      </c>
      <c r="I580" s="19">
        <v>0</v>
      </c>
      <c r="T580" s="19">
        <f>Registro[[#This Row],[Mes 1]]+Registro[[#This Row],[Mes 2]]+Registro[[#This Row],[Mes 3]]</f>
        <v>0</v>
      </c>
      <c r="U580" s="19">
        <f>Registro[[#This Row],[Mes 4]]+Registro[[#This Row],[Mes 5]]+Registro[[#This Row],[Mes 6]]</f>
        <v>0</v>
      </c>
      <c r="V580" s="19">
        <f>Registro[[#This Row],[Mes 7]]+Registro[[#This Row],[Mes 8]]+Registro[[#This Row],[Mes 9]]</f>
        <v>0</v>
      </c>
      <c r="W580" s="20">
        <f>Registro[[#This Row],[Mes 10]]+Registro[[#This Row],[Mes 11]]+Registro[[#This Row],[Mes 12]]</f>
        <v>0</v>
      </c>
      <c r="X580" s="20">
        <f>SUM(Registro[[#This Row],[Trim I]],Registro[[#This Row],[Trim II]],Registro[[#This Row],[Trim III]],Registro[[#This Row],[Trim IV]])</f>
        <v>0</v>
      </c>
      <c r="Y580" s="22">
        <f>IFERROR((Registro[[#This Row],[Avance Total]]/Registro[[#This Row],[Meta]]),0)</f>
        <v>0</v>
      </c>
      <c r="Z580" s="22">
        <f>IFERROR((Registro[[#This Row],[Avance Total]]-Registro[[#This Row],[Línea Base 2025]])/Registro[[#This Row],[Línea Base 2025]],0)</f>
        <v>0</v>
      </c>
      <c r="AA580" s="20">
        <v>2026</v>
      </c>
    </row>
    <row r="581" spans="1:27" hidden="1">
      <c r="A581" s="14">
        <v>1045</v>
      </c>
      <c r="B581" s="15" t="s">
        <v>13</v>
      </c>
      <c r="C581" s="16">
        <v>118</v>
      </c>
      <c r="D581" s="16" t="s">
        <v>188</v>
      </c>
      <c r="E581" s="17" t="s">
        <v>9</v>
      </c>
      <c r="F581" s="24">
        <v>0</v>
      </c>
      <c r="G581" s="19">
        <v>0</v>
      </c>
      <c r="H581" s="19">
        <v>0</v>
      </c>
      <c r="I581" s="19">
        <v>0</v>
      </c>
      <c r="T581" s="19">
        <f>Registro[[#This Row],[Mes 1]]+Registro[[#This Row],[Mes 2]]+Registro[[#This Row],[Mes 3]]</f>
        <v>0</v>
      </c>
      <c r="U581" s="19">
        <f>Registro[[#This Row],[Mes 4]]+Registro[[#This Row],[Mes 5]]+Registro[[#This Row],[Mes 6]]</f>
        <v>0</v>
      </c>
      <c r="V581" s="19">
        <f>Registro[[#This Row],[Mes 7]]+Registro[[#This Row],[Mes 8]]+Registro[[#This Row],[Mes 9]]</f>
        <v>0</v>
      </c>
      <c r="W581" s="20">
        <f>Registro[[#This Row],[Mes 10]]+Registro[[#This Row],[Mes 11]]+Registro[[#This Row],[Mes 12]]</f>
        <v>0</v>
      </c>
      <c r="X581" s="20">
        <f>SUM(Registro[[#This Row],[Trim I]],Registro[[#This Row],[Trim II]],Registro[[#This Row],[Trim III]],Registro[[#This Row],[Trim IV]])</f>
        <v>0</v>
      </c>
      <c r="Y581" s="22">
        <f>IFERROR((Registro[[#This Row],[Avance Total]]/Registro[[#This Row],[Meta]]),0)</f>
        <v>0</v>
      </c>
      <c r="Z581" s="22">
        <f>IFERROR((Registro[[#This Row],[Avance Total]]-Registro[[#This Row],[Línea Base 2025]])/Registro[[#This Row],[Línea Base 2025]],0)</f>
        <v>0</v>
      </c>
      <c r="AA581" s="20">
        <v>2026</v>
      </c>
    </row>
    <row r="582" spans="1:27" hidden="1">
      <c r="A582" s="14">
        <v>1045</v>
      </c>
      <c r="B582" s="15" t="s">
        <v>13</v>
      </c>
      <c r="C582" s="16">
        <v>119</v>
      </c>
      <c r="D582" s="16" t="s">
        <v>190</v>
      </c>
      <c r="E582" s="17" t="s">
        <v>189</v>
      </c>
      <c r="F582" s="24">
        <v>0</v>
      </c>
      <c r="G582" s="19">
        <v>1</v>
      </c>
      <c r="H582" s="19">
        <v>0</v>
      </c>
      <c r="I582" s="19">
        <v>0</v>
      </c>
      <c r="T582" s="19">
        <f>Registro[[#This Row],[Mes 1]]+Registro[[#This Row],[Mes 2]]+Registro[[#This Row],[Mes 3]]</f>
        <v>0</v>
      </c>
      <c r="U582" s="19">
        <f>Registro[[#This Row],[Mes 4]]+Registro[[#This Row],[Mes 5]]+Registro[[#This Row],[Mes 6]]</f>
        <v>0</v>
      </c>
      <c r="V582" s="19">
        <f>Registro[[#This Row],[Mes 7]]+Registro[[#This Row],[Mes 8]]+Registro[[#This Row],[Mes 9]]</f>
        <v>0</v>
      </c>
      <c r="W582" s="20">
        <f>Registro[[#This Row],[Mes 10]]+Registro[[#This Row],[Mes 11]]+Registro[[#This Row],[Mes 12]]</f>
        <v>0</v>
      </c>
      <c r="X582" s="20">
        <f>SUM(Registro[[#This Row],[Trim I]],Registro[[#This Row],[Trim II]],Registro[[#This Row],[Trim III]],Registro[[#This Row],[Trim IV]])</f>
        <v>0</v>
      </c>
      <c r="Y582" s="22">
        <f>IFERROR((Registro[[#This Row],[Avance Total]]/Registro[[#This Row],[Meta]]),0)</f>
        <v>0</v>
      </c>
      <c r="Z582" s="22">
        <f>IFERROR((Registro[[#This Row],[Avance Total]]-Registro[[#This Row],[Línea Base 2025]])/Registro[[#This Row],[Línea Base 2025]],0)</f>
        <v>0</v>
      </c>
      <c r="AA582" s="20">
        <v>2026</v>
      </c>
    </row>
    <row r="583" spans="1:27" hidden="1">
      <c r="A583" s="14">
        <v>1045</v>
      </c>
      <c r="B583" s="15" t="s">
        <v>13</v>
      </c>
      <c r="C583" s="16">
        <v>120</v>
      </c>
      <c r="D583" s="16" t="s">
        <v>192</v>
      </c>
      <c r="E583" s="17" t="s">
        <v>191</v>
      </c>
      <c r="F583" s="24">
        <v>0</v>
      </c>
      <c r="G583" s="19">
        <v>0</v>
      </c>
      <c r="H583" s="19">
        <v>0</v>
      </c>
      <c r="I583" s="19">
        <v>0</v>
      </c>
      <c r="T583" s="19">
        <f>Registro[[#This Row],[Mes 1]]+Registro[[#This Row],[Mes 2]]+Registro[[#This Row],[Mes 3]]</f>
        <v>0</v>
      </c>
      <c r="U583" s="19">
        <f>Registro[[#This Row],[Mes 4]]+Registro[[#This Row],[Mes 5]]+Registro[[#This Row],[Mes 6]]</f>
        <v>0</v>
      </c>
      <c r="V583" s="19">
        <f>Registro[[#This Row],[Mes 7]]+Registro[[#This Row],[Mes 8]]+Registro[[#This Row],[Mes 9]]</f>
        <v>0</v>
      </c>
      <c r="W583" s="20">
        <f>Registro[[#This Row],[Mes 10]]+Registro[[#This Row],[Mes 11]]+Registro[[#This Row],[Mes 12]]</f>
        <v>0</v>
      </c>
      <c r="X583" s="20">
        <f>SUM(Registro[[#This Row],[Trim I]],Registro[[#This Row],[Trim II]],Registro[[#This Row],[Trim III]],Registro[[#This Row],[Trim IV]])</f>
        <v>0</v>
      </c>
      <c r="Y583" s="22">
        <f>IFERROR((Registro[[#This Row],[Avance Total]]/Registro[[#This Row],[Meta]]),0)</f>
        <v>0</v>
      </c>
      <c r="Z583" s="22">
        <f>IFERROR((Registro[[#This Row],[Avance Total]]-Registro[[#This Row],[Línea Base 2025]])/Registro[[#This Row],[Línea Base 2025]],0)</f>
        <v>0</v>
      </c>
      <c r="AA583" s="20">
        <v>2026</v>
      </c>
    </row>
    <row r="584" spans="1:27" hidden="1">
      <c r="A584" s="14">
        <v>1045</v>
      </c>
      <c r="B584" s="15" t="s">
        <v>13</v>
      </c>
      <c r="C584" s="16">
        <v>121</v>
      </c>
      <c r="D584" s="16" t="s">
        <v>194</v>
      </c>
      <c r="E584" s="17" t="s">
        <v>193</v>
      </c>
      <c r="F584" s="24">
        <v>0</v>
      </c>
      <c r="G584" s="19">
        <v>0</v>
      </c>
      <c r="H584" s="19">
        <v>0</v>
      </c>
      <c r="I584" s="19">
        <v>0</v>
      </c>
      <c r="T584" s="19">
        <f>Registro[[#This Row],[Mes 1]]+Registro[[#This Row],[Mes 2]]+Registro[[#This Row],[Mes 3]]</f>
        <v>0</v>
      </c>
      <c r="U584" s="19">
        <f>Registro[[#This Row],[Mes 4]]+Registro[[#This Row],[Mes 5]]+Registro[[#This Row],[Mes 6]]</f>
        <v>0</v>
      </c>
      <c r="V584" s="19">
        <f>Registro[[#This Row],[Mes 7]]+Registro[[#This Row],[Mes 8]]+Registro[[#This Row],[Mes 9]]</f>
        <v>0</v>
      </c>
      <c r="W584" s="20">
        <f>Registro[[#This Row],[Mes 10]]+Registro[[#This Row],[Mes 11]]+Registro[[#This Row],[Mes 12]]</f>
        <v>0</v>
      </c>
      <c r="X584" s="20">
        <f>SUM(Registro[[#This Row],[Trim I]],Registro[[#This Row],[Trim II]],Registro[[#This Row],[Trim III]],Registro[[#This Row],[Trim IV]])</f>
        <v>0</v>
      </c>
      <c r="Y584" s="22">
        <f>IFERROR((Registro[[#This Row],[Avance Total]]/Registro[[#This Row],[Meta]]),0)</f>
        <v>0</v>
      </c>
      <c r="Z584" s="22">
        <f>IFERROR((Registro[[#This Row],[Avance Total]]-Registro[[#This Row],[Línea Base 2025]])/Registro[[#This Row],[Línea Base 2025]],0)</f>
        <v>0</v>
      </c>
      <c r="AA584" s="20">
        <v>2026</v>
      </c>
    </row>
    <row r="585" spans="1:27" hidden="1">
      <c r="A585" s="14">
        <v>1045</v>
      </c>
      <c r="B585" s="15" t="s">
        <v>13</v>
      </c>
      <c r="C585" s="16">
        <v>122</v>
      </c>
      <c r="D585" s="16" t="s">
        <v>196</v>
      </c>
      <c r="E585" s="17" t="s">
        <v>195</v>
      </c>
      <c r="F585" s="24">
        <v>0</v>
      </c>
      <c r="G585" s="19">
        <v>0</v>
      </c>
      <c r="H585" s="19">
        <v>0</v>
      </c>
      <c r="I585" s="19">
        <v>0</v>
      </c>
      <c r="T585" s="19">
        <f>Registro[[#This Row],[Mes 1]]+Registro[[#This Row],[Mes 2]]+Registro[[#This Row],[Mes 3]]</f>
        <v>0</v>
      </c>
      <c r="U585" s="19">
        <f>Registro[[#This Row],[Mes 4]]+Registro[[#This Row],[Mes 5]]+Registro[[#This Row],[Mes 6]]</f>
        <v>0</v>
      </c>
      <c r="V585" s="19">
        <f>Registro[[#This Row],[Mes 7]]+Registro[[#This Row],[Mes 8]]+Registro[[#This Row],[Mes 9]]</f>
        <v>0</v>
      </c>
      <c r="W585" s="20">
        <f>Registro[[#This Row],[Mes 10]]+Registro[[#This Row],[Mes 11]]+Registro[[#This Row],[Mes 12]]</f>
        <v>0</v>
      </c>
      <c r="X585" s="20">
        <f>SUM(Registro[[#This Row],[Trim I]],Registro[[#This Row],[Trim II]],Registro[[#This Row],[Trim III]],Registro[[#This Row],[Trim IV]])</f>
        <v>0</v>
      </c>
      <c r="Y585" s="22">
        <f>IFERROR((Registro[[#This Row],[Avance Total]]/Registro[[#This Row],[Meta]]),0)</f>
        <v>0</v>
      </c>
      <c r="Z585" s="22">
        <f>IFERROR((Registro[[#This Row],[Avance Total]]-Registro[[#This Row],[Línea Base 2025]])/Registro[[#This Row],[Línea Base 2025]],0)</f>
        <v>0</v>
      </c>
      <c r="AA585" s="20">
        <v>2026</v>
      </c>
    </row>
    <row r="586" spans="1:27" hidden="1">
      <c r="A586" s="14">
        <v>1045</v>
      </c>
      <c r="B586" s="15" t="s">
        <v>13</v>
      </c>
      <c r="C586" s="16">
        <v>123</v>
      </c>
      <c r="D586" s="16" t="s">
        <v>198</v>
      </c>
      <c r="E586" s="17" t="s">
        <v>197</v>
      </c>
      <c r="F586" s="24">
        <v>0</v>
      </c>
      <c r="G586" s="19">
        <v>0</v>
      </c>
      <c r="H586" s="19">
        <v>0</v>
      </c>
      <c r="I586" s="19">
        <v>0</v>
      </c>
      <c r="T586" s="19">
        <f>Registro[[#This Row],[Mes 1]]+Registro[[#This Row],[Mes 2]]+Registro[[#This Row],[Mes 3]]</f>
        <v>0</v>
      </c>
      <c r="U586" s="19">
        <f>Registro[[#This Row],[Mes 4]]+Registro[[#This Row],[Mes 5]]+Registro[[#This Row],[Mes 6]]</f>
        <v>0</v>
      </c>
      <c r="V586" s="19">
        <f>Registro[[#This Row],[Mes 7]]+Registro[[#This Row],[Mes 8]]+Registro[[#This Row],[Mes 9]]</f>
        <v>0</v>
      </c>
      <c r="W586" s="20">
        <f>Registro[[#This Row],[Mes 10]]+Registro[[#This Row],[Mes 11]]+Registro[[#This Row],[Mes 12]]</f>
        <v>0</v>
      </c>
      <c r="X586" s="20">
        <f>SUM(Registro[[#This Row],[Trim I]],Registro[[#This Row],[Trim II]],Registro[[#This Row],[Trim III]],Registro[[#This Row],[Trim IV]])</f>
        <v>0</v>
      </c>
      <c r="Y586" s="22">
        <f>IFERROR((Registro[[#This Row],[Avance Total]]/Registro[[#This Row],[Meta]]),0)</f>
        <v>0</v>
      </c>
      <c r="Z586" s="22">
        <f>IFERROR((Registro[[#This Row],[Avance Total]]-Registro[[#This Row],[Línea Base 2025]])/Registro[[#This Row],[Línea Base 2025]],0)</f>
        <v>0</v>
      </c>
      <c r="AA586" s="20">
        <v>2026</v>
      </c>
    </row>
    <row r="587" spans="1:27" hidden="1">
      <c r="A587" s="14">
        <v>1046</v>
      </c>
      <c r="B587" s="15" t="s">
        <v>13</v>
      </c>
      <c r="C587" s="16">
        <v>111</v>
      </c>
      <c r="D587" s="16" t="s">
        <v>171</v>
      </c>
      <c r="E587" s="17" t="s">
        <v>172</v>
      </c>
      <c r="F587" s="24">
        <v>44</v>
      </c>
      <c r="G587" s="19">
        <v>642</v>
      </c>
      <c r="H587" s="19">
        <v>0</v>
      </c>
      <c r="I587" s="19">
        <v>10</v>
      </c>
      <c r="T587" s="19">
        <f>Registro[[#This Row],[Mes 1]]+Registro[[#This Row],[Mes 2]]+Registro[[#This Row],[Mes 3]]</f>
        <v>10</v>
      </c>
      <c r="U587" s="19">
        <f>Registro[[#This Row],[Mes 4]]+Registro[[#This Row],[Mes 5]]+Registro[[#This Row],[Mes 6]]</f>
        <v>0</v>
      </c>
      <c r="V587" s="19">
        <f>Registro[[#This Row],[Mes 7]]+Registro[[#This Row],[Mes 8]]+Registro[[#This Row],[Mes 9]]</f>
        <v>0</v>
      </c>
      <c r="W587" s="20">
        <f>Registro[[#This Row],[Mes 10]]+Registro[[#This Row],[Mes 11]]+Registro[[#This Row],[Mes 12]]</f>
        <v>0</v>
      </c>
      <c r="X587" s="20">
        <f>SUM(Registro[[#This Row],[Trim I]],Registro[[#This Row],[Trim II]],Registro[[#This Row],[Trim III]],Registro[[#This Row],[Trim IV]])</f>
        <v>10</v>
      </c>
      <c r="Y587" s="22">
        <f>IFERROR((Registro[[#This Row],[Avance Total]]/Registro[[#This Row],[Meta]]),0)</f>
        <v>1.5576323987538941E-2</v>
      </c>
      <c r="Z587" s="22">
        <f>IFERROR((Registro[[#This Row],[Avance Total]]-Registro[[#This Row],[Línea Base 2025]])/Registro[[#This Row],[Línea Base 2025]],0)</f>
        <v>-0.77272727272727271</v>
      </c>
      <c r="AA587" s="20">
        <v>2026</v>
      </c>
    </row>
    <row r="588" spans="1:27" hidden="1">
      <c r="A588" s="14">
        <v>1046</v>
      </c>
      <c r="B588" s="15" t="s">
        <v>13</v>
      </c>
      <c r="C588" s="16">
        <v>112</v>
      </c>
      <c r="D588" s="16" t="s">
        <v>173</v>
      </c>
      <c r="E588" s="17" t="s">
        <v>7</v>
      </c>
      <c r="F588" s="24">
        <v>0</v>
      </c>
      <c r="G588" s="19">
        <v>12</v>
      </c>
      <c r="H588" s="19">
        <v>0</v>
      </c>
      <c r="I588" s="19">
        <v>0</v>
      </c>
      <c r="T588" s="19">
        <f>Registro[[#This Row],[Mes 1]]+Registro[[#This Row],[Mes 2]]+Registro[[#This Row],[Mes 3]]</f>
        <v>0</v>
      </c>
      <c r="U588" s="19">
        <f>Registro[[#This Row],[Mes 4]]+Registro[[#This Row],[Mes 5]]+Registro[[#This Row],[Mes 6]]</f>
        <v>0</v>
      </c>
      <c r="V588" s="19">
        <f>Registro[[#This Row],[Mes 7]]+Registro[[#This Row],[Mes 8]]+Registro[[#This Row],[Mes 9]]</f>
        <v>0</v>
      </c>
      <c r="W588" s="20">
        <f>Registro[[#This Row],[Mes 10]]+Registro[[#This Row],[Mes 11]]+Registro[[#This Row],[Mes 12]]</f>
        <v>0</v>
      </c>
      <c r="X588" s="20">
        <f>SUM(Registro[[#This Row],[Trim I]],Registro[[#This Row],[Trim II]],Registro[[#This Row],[Trim III]],Registro[[#This Row],[Trim IV]])</f>
        <v>0</v>
      </c>
      <c r="Y588" s="22">
        <f>IFERROR((Registro[[#This Row],[Avance Total]]/Registro[[#This Row],[Meta]]),0)</f>
        <v>0</v>
      </c>
      <c r="Z588" s="22">
        <f>IFERROR((Registro[[#This Row],[Avance Total]]-Registro[[#This Row],[Línea Base 2025]])/Registro[[#This Row],[Línea Base 2025]],0)</f>
        <v>0</v>
      </c>
      <c r="AA588" s="20">
        <v>2026</v>
      </c>
    </row>
    <row r="589" spans="1:27" hidden="1">
      <c r="A589" s="14">
        <v>1046</v>
      </c>
      <c r="B589" s="15" t="s">
        <v>13</v>
      </c>
      <c r="C589" s="16">
        <v>113</v>
      </c>
      <c r="D589" s="16" t="s">
        <v>179</v>
      </c>
      <c r="E589" s="17" t="s">
        <v>178</v>
      </c>
      <c r="F589" s="24">
        <v>32</v>
      </c>
      <c r="G589" s="19">
        <v>429</v>
      </c>
      <c r="H589" s="19">
        <v>0</v>
      </c>
      <c r="I589" s="19">
        <v>0</v>
      </c>
      <c r="T589" s="19">
        <f>Registro[[#This Row],[Mes 1]]+Registro[[#This Row],[Mes 2]]+Registro[[#This Row],[Mes 3]]</f>
        <v>0</v>
      </c>
      <c r="U589" s="19">
        <f>Registro[[#This Row],[Mes 4]]+Registro[[#This Row],[Mes 5]]+Registro[[#This Row],[Mes 6]]</f>
        <v>0</v>
      </c>
      <c r="V589" s="19">
        <f>Registro[[#This Row],[Mes 7]]+Registro[[#This Row],[Mes 8]]+Registro[[#This Row],[Mes 9]]</f>
        <v>0</v>
      </c>
      <c r="W589" s="20">
        <f>Registro[[#This Row],[Mes 10]]+Registro[[#This Row],[Mes 11]]+Registro[[#This Row],[Mes 12]]</f>
        <v>0</v>
      </c>
      <c r="X589" s="20">
        <f>SUM(Registro[[#This Row],[Trim I]],Registro[[#This Row],[Trim II]],Registro[[#This Row],[Trim III]],Registro[[#This Row],[Trim IV]])</f>
        <v>0</v>
      </c>
      <c r="Y589" s="22">
        <f>IFERROR((Registro[[#This Row],[Avance Total]]/Registro[[#This Row],[Meta]]),0)</f>
        <v>0</v>
      </c>
      <c r="Z589" s="22">
        <f>IFERROR((Registro[[#This Row],[Avance Total]]-Registro[[#This Row],[Línea Base 2025]])/Registro[[#This Row],[Línea Base 2025]],0)</f>
        <v>-1</v>
      </c>
      <c r="AA589" s="20">
        <v>2026</v>
      </c>
    </row>
    <row r="590" spans="1:27" hidden="1">
      <c r="A590" s="14">
        <v>1046</v>
      </c>
      <c r="B590" s="15" t="s">
        <v>13</v>
      </c>
      <c r="C590" s="16">
        <v>114</v>
      </c>
      <c r="D590" s="16" t="s">
        <v>181</v>
      </c>
      <c r="E590" s="17" t="s">
        <v>180</v>
      </c>
      <c r="F590" s="24">
        <v>0</v>
      </c>
      <c r="G590" s="19">
        <v>0</v>
      </c>
      <c r="H590" s="19">
        <v>0</v>
      </c>
      <c r="I590" s="19">
        <v>0</v>
      </c>
      <c r="T590" s="19">
        <f>Registro[[#This Row],[Mes 1]]+Registro[[#This Row],[Mes 2]]+Registro[[#This Row],[Mes 3]]</f>
        <v>0</v>
      </c>
      <c r="U590" s="19">
        <f>Registro[[#This Row],[Mes 4]]+Registro[[#This Row],[Mes 5]]+Registro[[#This Row],[Mes 6]]</f>
        <v>0</v>
      </c>
      <c r="V590" s="19">
        <f>Registro[[#This Row],[Mes 7]]+Registro[[#This Row],[Mes 8]]+Registro[[#This Row],[Mes 9]]</f>
        <v>0</v>
      </c>
      <c r="W590" s="20">
        <f>Registro[[#This Row],[Mes 10]]+Registro[[#This Row],[Mes 11]]+Registro[[#This Row],[Mes 12]]</f>
        <v>0</v>
      </c>
      <c r="X590" s="20">
        <f>SUM(Registro[[#This Row],[Trim I]],Registro[[#This Row],[Trim II]],Registro[[#This Row],[Trim III]],Registro[[#This Row],[Trim IV]])</f>
        <v>0</v>
      </c>
      <c r="Y590" s="22">
        <f>IFERROR((Registro[[#This Row],[Avance Total]]/Registro[[#This Row],[Meta]]),0)</f>
        <v>0</v>
      </c>
      <c r="Z590" s="22">
        <f>IFERROR((Registro[[#This Row],[Avance Total]]-Registro[[#This Row],[Línea Base 2025]])/Registro[[#This Row],[Línea Base 2025]],0)</f>
        <v>0</v>
      </c>
      <c r="AA590" s="20">
        <v>2026</v>
      </c>
    </row>
    <row r="591" spans="1:27" hidden="1">
      <c r="A591" s="14">
        <v>1046</v>
      </c>
      <c r="B591" s="15" t="s">
        <v>13</v>
      </c>
      <c r="C591" s="16">
        <v>115</v>
      </c>
      <c r="D591" s="16" t="s">
        <v>183</v>
      </c>
      <c r="E591" s="17" t="s">
        <v>182</v>
      </c>
      <c r="F591" s="24">
        <v>0</v>
      </c>
      <c r="G591" s="19">
        <v>0</v>
      </c>
      <c r="H591" s="19">
        <v>0</v>
      </c>
      <c r="I591" s="19">
        <v>0</v>
      </c>
      <c r="T591" s="19">
        <f>Registro[[#This Row],[Mes 1]]+Registro[[#This Row],[Mes 2]]+Registro[[#This Row],[Mes 3]]</f>
        <v>0</v>
      </c>
      <c r="U591" s="19">
        <f>Registro[[#This Row],[Mes 4]]+Registro[[#This Row],[Mes 5]]+Registro[[#This Row],[Mes 6]]</f>
        <v>0</v>
      </c>
      <c r="V591" s="19">
        <f>Registro[[#This Row],[Mes 7]]+Registro[[#This Row],[Mes 8]]+Registro[[#This Row],[Mes 9]]</f>
        <v>0</v>
      </c>
      <c r="W591" s="20">
        <f>Registro[[#This Row],[Mes 10]]+Registro[[#This Row],[Mes 11]]+Registro[[#This Row],[Mes 12]]</f>
        <v>0</v>
      </c>
      <c r="X591" s="20">
        <f>SUM(Registro[[#This Row],[Trim I]],Registro[[#This Row],[Trim II]],Registro[[#This Row],[Trim III]],Registro[[#This Row],[Trim IV]])</f>
        <v>0</v>
      </c>
      <c r="Y591" s="22">
        <f>IFERROR((Registro[[#This Row],[Avance Total]]/Registro[[#This Row],[Meta]]),0)</f>
        <v>0</v>
      </c>
      <c r="Z591" s="22">
        <f>IFERROR((Registro[[#This Row],[Avance Total]]-Registro[[#This Row],[Línea Base 2025]])/Registro[[#This Row],[Línea Base 2025]],0)</f>
        <v>0</v>
      </c>
      <c r="AA591" s="20">
        <v>2026</v>
      </c>
    </row>
    <row r="592" spans="1:27">
      <c r="A592" s="14">
        <v>1046</v>
      </c>
      <c r="B592" s="15" t="s">
        <v>13</v>
      </c>
      <c r="C592" s="16">
        <v>116</v>
      </c>
      <c r="D592" s="16" t="s">
        <v>185</v>
      </c>
      <c r="E592" s="17" t="s">
        <v>184</v>
      </c>
      <c r="F592" s="24">
        <v>1</v>
      </c>
      <c r="G592" s="19">
        <v>4</v>
      </c>
      <c r="H592" s="19">
        <v>0</v>
      </c>
      <c r="I592" s="19">
        <v>0</v>
      </c>
      <c r="T592" s="19">
        <f>Registro[[#This Row],[Mes 1]]+Registro[[#This Row],[Mes 2]]+Registro[[#This Row],[Mes 3]]</f>
        <v>0</v>
      </c>
      <c r="U592" s="19">
        <f>Registro[[#This Row],[Mes 4]]+Registro[[#This Row],[Mes 5]]+Registro[[#This Row],[Mes 6]]</f>
        <v>0</v>
      </c>
      <c r="V592" s="19">
        <f>Registro[[#This Row],[Mes 7]]+Registro[[#This Row],[Mes 8]]+Registro[[#This Row],[Mes 9]]</f>
        <v>0</v>
      </c>
      <c r="W592" s="20">
        <f>Registro[[#This Row],[Mes 10]]+Registro[[#This Row],[Mes 11]]+Registro[[#This Row],[Mes 12]]</f>
        <v>0</v>
      </c>
      <c r="X592" s="20">
        <f>SUM(Registro[[#This Row],[Trim I]],Registro[[#This Row],[Trim II]],Registro[[#This Row],[Trim III]],Registro[[#This Row],[Trim IV]])</f>
        <v>0</v>
      </c>
      <c r="Y592" s="22">
        <f>IFERROR((Registro[[#This Row],[Avance Total]]/Registro[[#This Row],[Meta]]),0)</f>
        <v>0</v>
      </c>
      <c r="Z592" s="22">
        <f>IFERROR((Registro[[#This Row],[Avance Total]]-Registro[[#This Row],[Línea Base 2025]])/Registro[[#This Row],[Línea Base 2025]],0)</f>
        <v>-1</v>
      </c>
      <c r="AA592" s="20">
        <v>2026</v>
      </c>
    </row>
    <row r="593" spans="1:27" hidden="1">
      <c r="A593" s="14">
        <v>1046</v>
      </c>
      <c r="B593" s="15" t="s">
        <v>13</v>
      </c>
      <c r="C593" s="16">
        <v>117</v>
      </c>
      <c r="D593" s="16" t="s">
        <v>187</v>
      </c>
      <c r="E593" s="17" t="s">
        <v>186</v>
      </c>
      <c r="F593" s="24">
        <v>0</v>
      </c>
      <c r="G593" s="19">
        <v>0</v>
      </c>
      <c r="H593" s="19">
        <v>0</v>
      </c>
      <c r="I593" s="19">
        <v>0</v>
      </c>
      <c r="T593" s="19">
        <f>Registro[[#This Row],[Mes 1]]+Registro[[#This Row],[Mes 2]]+Registro[[#This Row],[Mes 3]]</f>
        <v>0</v>
      </c>
      <c r="U593" s="19">
        <f>Registro[[#This Row],[Mes 4]]+Registro[[#This Row],[Mes 5]]+Registro[[#This Row],[Mes 6]]</f>
        <v>0</v>
      </c>
      <c r="V593" s="19">
        <f>Registro[[#This Row],[Mes 7]]+Registro[[#This Row],[Mes 8]]+Registro[[#This Row],[Mes 9]]</f>
        <v>0</v>
      </c>
      <c r="W593" s="20">
        <f>Registro[[#This Row],[Mes 10]]+Registro[[#This Row],[Mes 11]]+Registro[[#This Row],[Mes 12]]</f>
        <v>0</v>
      </c>
      <c r="X593" s="20">
        <f>SUM(Registro[[#This Row],[Trim I]],Registro[[#This Row],[Trim II]],Registro[[#This Row],[Trim III]],Registro[[#This Row],[Trim IV]])</f>
        <v>0</v>
      </c>
      <c r="Y593" s="22">
        <f>IFERROR((Registro[[#This Row],[Avance Total]]/Registro[[#This Row],[Meta]]),0)</f>
        <v>0</v>
      </c>
      <c r="Z593" s="22">
        <f>IFERROR((Registro[[#This Row],[Avance Total]]-Registro[[#This Row],[Línea Base 2025]])/Registro[[#This Row],[Línea Base 2025]],0)</f>
        <v>0</v>
      </c>
      <c r="AA593" s="20">
        <v>2026</v>
      </c>
    </row>
    <row r="594" spans="1:27" hidden="1">
      <c r="A594" s="14">
        <v>1046</v>
      </c>
      <c r="B594" s="15" t="s">
        <v>13</v>
      </c>
      <c r="C594" s="16">
        <v>118</v>
      </c>
      <c r="D594" s="16" t="s">
        <v>188</v>
      </c>
      <c r="E594" s="17" t="s">
        <v>9</v>
      </c>
      <c r="F594" s="24">
        <v>0</v>
      </c>
      <c r="G594" s="19">
        <v>0</v>
      </c>
      <c r="H594" s="19">
        <v>0</v>
      </c>
      <c r="I594" s="19">
        <v>0</v>
      </c>
      <c r="T594" s="19">
        <f>Registro[[#This Row],[Mes 1]]+Registro[[#This Row],[Mes 2]]+Registro[[#This Row],[Mes 3]]</f>
        <v>0</v>
      </c>
      <c r="U594" s="19">
        <f>Registro[[#This Row],[Mes 4]]+Registro[[#This Row],[Mes 5]]+Registro[[#This Row],[Mes 6]]</f>
        <v>0</v>
      </c>
      <c r="V594" s="19">
        <f>Registro[[#This Row],[Mes 7]]+Registro[[#This Row],[Mes 8]]+Registro[[#This Row],[Mes 9]]</f>
        <v>0</v>
      </c>
      <c r="W594" s="20">
        <f>Registro[[#This Row],[Mes 10]]+Registro[[#This Row],[Mes 11]]+Registro[[#This Row],[Mes 12]]</f>
        <v>0</v>
      </c>
      <c r="X594" s="20">
        <f>SUM(Registro[[#This Row],[Trim I]],Registro[[#This Row],[Trim II]],Registro[[#This Row],[Trim III]],Registro[[#This Row],[Trim IV]])</f>
        <v>0</v>
      </c>
      <c r="Y594" s="22">
        <f>IFERROR((Registro[[#This Row],[Avance Total]]/Registro[[#This Row],[Meta]]),0)</f>
        <v>0</v>
      </c>
      <c r="Z594" s="22">
        <f>IFERROR((Registro[[#This Row],[Avance Total]]-Registro[[#This Row],[Línea Base 2025]])/Registro[[#This Row],[Línea Base 2025]],0)</f>
        <v>0</v>
      </c>
      <c r="AA594" s="20">
        <v>2026</v>
      </c>
    </row>
    <row r="595" spans="1:27" hidden="1">
      <c r="A595" s="14">
        <v>1046</v>
      </c>
      <c r="B595" s="15" t="s">
        <v>13</v>
      </c>
      <c r="C595" s="16">
        <v>119</v>
      </c>
      <c r="D595" s="16" t="s">
        <v>190</v>
      </c>
      <c r="E595" s="17" t="s">
        <v>189</v>
      </c>
      <c r="F595" s="24">
        <v>0</v>
      </c>
      <c r="G595" s="19">
        <v>3</v>
      </c>
      <c r="H595" s="19">
        <v>0</v>
      </c>
      <c r="I595" s="19">
        <v>0</v>
      </c>
      <c r="T595" s="19">
        <f>Registro[[#This Row],[Mes 1]]+Registro[[#This Row],[Mes 2]]+Registro[[#This Row],[Mes 3]]</f>
        <v>0</v>
      </c>
      <c r="U595" s="19">
        <f>Registro[[#This Row],[Mes 4]]+Registro[[#This Row],[Mes 5]]+Registro[[#This Row],[Mes 6]]</f>
        <v>0</v>
      </c>
      <c r="V595" s="19">
        <f>Registro[[#This Row],[Mes 7]]+Registro[[#This Row],[Mes 8]]+Registro[[#This Row],[Mes 9]]</f>
        <v>0</v>
      </c>
      <c r="W595" s="20">
        <f>Registro[[#This Row],[Mes 10]]+Registro[[#This Row],[Mes 11]]+Registro[[#This Row],[Mes 12]]</f>
        <v>0</v>
      </c>
      <c r="X595" s="20">
        <f>SUM(Registro[[#This Row],[Trim I]],Registro[[#This Row],[Trim II]],Registro[[#This Row],[Trim III]],Registro[[#This Row],[Trim IV]])</f>
        <v>0</v>
      </c>
      <c r="Y595" s="22">
        <f>IFERROR((Registro[[#This Row],[Avance Total]]/Registro[[#This Row],[Meta]]),0)</f>
        <v>0</v>
      </c>
      <c r="Z595" s="22">
        <f>IFERROR((Registro[[#This Row],[Avance Total]]-Registro[[#This Row],[Línea Base 2025]])/Registro[[#This Row],[Línea Base 2025]],0)</f>
        <v>0</v>
      </c>
      <c r="AA595" s="20">
        <v>2026</v>
      </c>
    </row>
    <row r="596" spans="1:27" hidden="1">
      <c r="A596" s="14">
        <v>1046</v>
      </c>
      <c r="B596" s="15" t="s">
        <v>13</v>
      </c>
      <c r="C596" s="16">
        <v>120</v>
      </c>
      <c r="D596" s="16" t="s">
        <v>192</v>
      </c>
      <c r="E596" s="17" t="s">
        <v>191</v>
      </c>
      <c r="F596" s="24">
        <v>0</v>
      </c>
      <c r="G596" s="19">
        <v>0</v>
      </c>
      <c r="H596" s="19">
        <v>0</v>
      </c>
      <c r="I596" s="19">
        <v>0</v>
      </c>
      <c r="T596" s="19">
        <f>Registro[[#This Row],[Mes 1]]+Registro[[#This Row],[Mes 2]]+Registro[[#This Row],[Mes 3]]</f>
        <v>0</v>
      </c>
      <c r="U596" s="19">
        <f>Registro[[#This Row],[Mes 4]]+Registro[[#This Row],[Mes 5]]+Registro[[#This Row],[Mes 6]]</f>
        <v>0</v>
      </c>
      <c r="V596" s="19">
        <f>Registro[[#This Row],[Mes 7]]+Registro[[#This Row],[Mes 8]]+Registro[[#This Row],[Mes 9]]</f>
        <v>0</v>
      </c>
      <c r="W596" s="20">
        <f>Registro[[#This Row],[Mes 10]]+Registro[[#This Row],[Mes 11]]+Registro[[#This Row],[Mes 12]]</f>
        <v>0</v>
      </c>
      <c r="X596" s="20">
        <f>SUM(Registro[[#This Row],[Trim I]],Registro[[#This Row],[Trim II]],Registro[[#This Row],[Trim III]],Registro[[#This Row],[Trim IV]])</f>
        <v>0</v>
      </c>
      <c r="Y596" s="22">
        <f>IFERROR((Registro[[#This Row],[Avance Total]]/Registro[[#This Row],[Meta]]),0)</f>
        <v>0</v>
      </c>
      <c r="Z596" s="22">
        <f>IFERROR((Registro[[#This Row],[Avance Total]]-Registro[[#This Row],[Línea Base 2025]])/Registro[[#This Row],[Línea Base 2025]],0)</f>
        <v>0</v>
      </c>
      <c r="AA596" s="20">
        <v>2026</v>
      </c>
    </row>
    <row r="597" spans="1:27" hidden="1">
      <c r="A597" s="14">
        <v>1046</v>
      </c>
      <c r="B597" s="15" t="s">
        <v>13</v>
      </c>
      <c r="C597" s="16">
        <v>121</v>
      </c>
      <c r="D597" s="16" t="s">
        <v>194</v>
      </c>
      <c r="E597" s="17" t="s">
        <v>193</v>
      </c>
      <c r="F597" s="24">
        <v>0</v>
      </c>
      <c r="G597" s="19">
        <v>0</v>
      </c>
      <c r="H597" s="19">
        <v>0</v>
      </c>
      <c r="I597" s="19">
        <v>0</v>
      </c>
      <c r="T597" s="19">
        <f>Registro[[#This Row],[Mes 1]]+Registro[[#This Row],[Mes 2]]+Registro[[#This Row],[Mes 3]]</f>
        <v>0</v>
      </c>
      <c r="U597" s="19">
        <f>Registro[[#This Row],[Mes 4]]+Registro[[#This Row],[Mes 5]]+Registro[[#This Row],[Mes 6]]</f>
        <v>0</v>
      </c>
      <c r="V597" s="19">
        <f>Registro[[#This Row],[Mes 7]]+Registro[[#This Row],[Mes 8]]+Registro[[#This Row],[Mes 9]]</f>
        <v>0</v>
      </c>
      <c r="W597" s="20">
        <f>Registro[[#This Row],[Mes 10]]+Registro[[#This Row],[Mes 11]]+Registro[[#This Row],[Mes 12]]</f>
        <v>0</v>
      </c>
      <c r="X597" s="20">
        <f>SUM(Registro[[#This Row],[Trim I]],Registro[[#This Row],[Trim II]],Registro[[#This Row],[Trim III]],Registro[[#This Row],[Trim IV]])</f>
        <v>0</v>
      </c>
      <c r="Y597" s="22">
        <f>IFERROR((Registro[[#This Row],[Avance Total]]/Registro[[#This Row],[Meta]]),0)</f>
        <v>0</v>
      </c>
      <c r="Z597" s="22">
        <f>IFERROR((Registro[[#This Row],[Avance Total]]-Registro[[#This Row],[Línea Base 2025]])/Registro[[#This Row],[Línea Base 2025]],0)</f>
        <v>0</v>
      </c>
      <c r="AA597" s="20">
        <v>2026</v>
      </c>
    </row>
    <row r="598" spans="1:27" hidden="1">
      <c r="A598" s="14">
        <v>1046</v>
      </c>
      <c r="B598" s="15" t="s">
        <v>13</v>
      </c>
      <c r="C598" s="16">
        <v>122</v>
      </c>
      <c r="D598" s="16" t="s">
        <v>196</v>
      </c>
      <c r="E598" s="17" t="s">
        <v>195</v>
      </c>
      <c r="F598" s="24">
        <v>0</v>
      </c>
      <c r="G598" s="19">
        <v>0</v>
      </c>
      <c r="H598" s="19">
        <v>0</v>
      </c>
      <c r="I598" s="19">
        <v>0</v>
      </c>
      <c r="T598" s="19">
        <f>Registro[[#This Row],[Mes 1]]+Registro[[#This Row],[Mes 2]]+Registro[[#This Row],[Mes 3]]</f>
        <v>0</v>
      </c>
      <c r="U598" s="19">
        <f>Registro[[#This Row],[Mes 4]]+Registro[[#This Row],[Mes 5]]+Registro[[#This Row],[Mes 6]]</f>
        <v>0</v>
      </c>
      <c r="V598" s="19">
        <f>Registro[[#This Row],[Mes 7]]+Registro[[#This Row],[Mes 8]]+Registro[[#This Row],[Mes 9]]</f>
        <v>0</v>
      </c>
      <c r="W598" s="20">
        <f>Registro[[#This Row],[Mes 10]]+Registro[[#This Row],[Mes 11]]+Registro[[#This Row],[Mes 12]]</f>
        <v>0</v>
      </c>
      <c r="X598" s="20">
        <f>SUM(Registro[[#This Row],[Trim I]],Registro[[#This Row],[Trim II]],Registro[[#This Row],[Trim III]],Registro[[#This Row],[Trim IV]])</f>
        <v>0</v>
      </c>
      <c r="Y598" s="22">
        <f>IFERROR((Registro[[#This Row],[Avance Total]]/Registro[[#This Row],[Meta]]),0)</f>
        <v>0</v>
      </c>
      <c r="Z598" s="22">
        <f>IFERROR((Registro[[#This Row],[Avance Total]]-Registro[[#This Row],[Línea Base 2025]])/Registro[[#This Row],[Línea Base 2025]],0)</f>
        <v>0</v>
      </c>
      <c r="AA598" s="20">
        <v>2026</v>
      </c>
    </row>
    <row r="599" spans="1:27" hidden="1">
      <c r="A599" s="14">
        <v>1046</v>
      </c>
      <c r="B599" s="15" t="s">
        <v>13</v>
      </c>
      <c r="C599" s="16">
        <v>123</v>
      </c>
      <c r="D599" s="16" t="s">
        <v>198</v>
      </c>
      <c r="E599" s="17" t="s">
        <v>197</v>
      </c>
      <c r="F599" s="24">
        <v>0</v>
      </c>
      <c r="G599" s="19">
        <v>0</v>
      </c>
      <c r="H599" s="19">
        <v>0</v>
      </c>
      <c r="I599" s="19">
        <v>0</v>
      </c>
      <c r="T599" s="19">
        <f>Registro[[#This Row],[Mes 1]]+Registro[[#This Row],[Mes 2]]+Registro[[#This Row],[Mes 3]]</f>
        <v>0</v>
      </c>
      <c r="U599" s="19">
        <f>Registro[[#This Row],[Mes 4]]+Registro[[#This Row],[Mes 5]]+Registro[[#This Row],[Mes 6]]</f>
        <v>0</v>
      </c>
      <c r="V599" s="19">
        <f>Registro[[#This Row],[Mes 7]]+Registro[[#This Row],[Mes 8]]+Registro[[#This Row],[Mes 9]]</f>
        <v>0</v>
      </c>
      <c r="W599" s="20">
        <f>Registro[[#This Row],[Mes 10]]+Registro[[#This Row],[Mes 11]]+Registro[[#This Row],[Mes 12]]</f>
        <v>0</v>
      </c>
      <c r="X599" s="20">
        <f>SUM(Registro[[#This Row],[Trim I]],Registro[[#This Row],[Trim II]],Registro[[#This Row],[Trim III]],Registro[[#This Row],[Trim IV]])</f>
        <v>0</v>
      </c>
      <c r="Y599" s="22">
        <f>IFERROR((Registro[[#This Row],[Avance Total]]/Registro[[#This Row],[Meta]]),0)</f>
        <v>0</v>
      </c>
      <c r="Z599" s="22">
        <f>IFERROR((Registro[[#This Row],[Avance Total]]-Registro[[#This Row],[Línea Base 2025]])/Registro[[#This Row],[Línea Base 2025]],0)</f>
        <v>0</v>
      </c>
      <c r="AA599" s="20">
        <v>2026</v>
      </c>
    </row>
    <row r="600" spans="1:27" hidden="1">
      <c r="A600" s="14">
        <v>1047</v>
      </c>
      <c r="B600" s="15" t="s">
        <v>82</v>
      </c>
      <c r="C600" s="16">
        <v>111</v>
      </c>
      <c r="D600" s="16" t="s">
        <v>171</v>
      </c>
      <c r="E600" s="17" t="s">
        <v>172</v>
      </c>
      <c r="F600" s="24">
        <v>53</v>
      </c>
      <c r="G600" s="19">
        <v>159</v>
      </c>
      <c r="H600" s="19">
        <v>60</v>
      </c>
      <c r="I600" s="19">
        <v>60</v>
      </c>
      <c r="T600" s="19">
        <f>Registro[[#This Row],[Mes 1]]+Registro[[#This Row],[Mes 2]]+Registro[[#This Row],[Mes 3]]</f>
        <v>120</v>
      </c>
      <c r="U600" s="19">
        <f>Registro[[#This Row],[Mes 4]]+Registro[[#This Row],[Mes 5]]+Registro[[#This Row],[Mes 6]]</f>
        <v>0</v>
      </c>
      <c r="V600" s="19">
        <f>Registro[[#This Row],[Mes 7]]+Registro[[#This Row],[Mes 8]]+Registro[[#This Row],[Mes 9]]</f>
        <v>0</v>
      </c>
      <c r="W600" s="20">
        <f>Registro[[#This Row],[Mes 10]]+Registro[[#This Row],[Mes 11]]+Registro[[#This Row],[Mes 12]]</f>
        <v>0</v>
      </c>
      <c r="X600" s="20">
        <f>SUM(Registro[[#This Row],[Trim I]],Registro[[#This Row],[Trim II]],Registro[[#This Row],[Trim III]],Registro[[#This Row],[Trim IV]])</f>
        <v>120</v>
      </c>
      <c r="Y600" s="22">
        <f>IFERROR((Registro[[#This Row],[Avance Total]]/Registro[[#This Row],[Meta]]),0)</f>
        <v>0.75471698113207553</v>
      </c>
      <c r="Z600" s="22">
        <f>IFERROR((Registro[[#This Row],[Avance Total]]-Registro[[#This Row],[Línea Base 2025]])/Registro[[#This Row],[Línea Base 2025]],0)</f>
        <v>1.2641509433962264</v>
      </c>
      <c r="AA600" s="20">
        <v>2026</v>
      </c>
    </row>
    <row r="601" spans="1:27" hidden="1">
      <c r="A601" s="14">
        <v>1047</v>
      </c>
      <c r="B601" s="15" t="s">
        <v>82</v>
      </c>
      <c r="C601" s="16">
        <v>112</v>
      </c>
      <c r="D601" s="16" t="s">
        <v>173</v>
      </c>
      <c r="E601" s="17" t="s">
        <v>7</v>
      </c>
      <c r="F601" s="24">
        <v>17</v>
      </c>
      <c r="G601" s="19">
        <v>70</v>
      </c>
      <c r="H601" s="19">
        <v>0</v>
      </c>
      <c r="I601" s="19">
        <v>0</v>
      </c>
      <c r="T601" s="19">
        <f>Registro[[#This Row],[Mes 1]]+Registro[[#This Row],[Mes 2]]+Registro[[#This Row],[Mes 3]]</f>
        <v>0</v>
      </c>
      <c r="U601" s="19">
        <f>Registro[[#This Row],[Mes 4]]+Registro[[#This Row],[Mes 5]]+Registro[[#This Row],[Mes 6]]</f>
        <v>0</v>
      </c>
      <c r="V601" s="19">
        <f>Registro[[#This Row],[Mes 7]]+Registro[[#This Row],[Mes 8]]+Registro[[#This Row],[Mes 9]]</f>
        <v>0</v>
      </c>
      <c r="W601" s="20">
        <f>Registro[[#This Row],[Mes 10]]+Registro[[#This Row],[Mes 11]]+Registro[[#This Row],[Mes 12]]</f>
        <v>0</v>
      </c>
      <c r="X601" s="20">
        <f>SUM(Registro[[#This Row],[Trim I]],Registro[[#This Row],[Trim II]],Registro[[#This Row],[Trim III]],Registro[[#This Row],[Trim IV]])</f>
        <v>0</v>
      </c>
      <c r="Y601" s="22">
        <f>IFERROR((Registro[[#This Row],[Avance Total]]/Registro[[#This Row],[Meta]]),0)</f>
        <v>0</v>
      </c>
      <c r="Z601" s="22">
        <f>IFERROR((Registro[[#This Row],[Avance Total]]-Registro[[#This Row],[Línea Base 2025]])/Registro[[#This Row],[Línea Base 2025]],0)</f>
        <v>-1</v>
      </c>
      <c r="AA601" s="20">
        <v>2026</v>
      </c>
    </row>
    <row r="602" spans="1:27" hidden="1">
      <c r="A602" s="14">
        <v>1047</v>
      </c>
      <c r="B602" s="15" t="s">
        <v>82</v>
      </c>
      <c r="C602" s="16">
        <v>113</v>
      </c>
      <c r="D602" s="16" t="s">
        <v>179</v>
      </c>
      <c r="E602" s="17" t="s">
        <v>178</v>
      </c>
      <c r="F602" s="24">
        <v>44</v>
      </c>
      <c r="G602" s="19">
        <v>449</v>
      </c>
      <c r="H602" s="19">
        <v>2</v>
      </c>
      <c r="I602" s="19">
        <v>1</v>
      </c>
      <c r="T602" s="19">
        <f>Registro[[#This Row],[Mes 1]]+Registro[[#This Row],[Mes 2]]+Registro[[#This Row],[Mes 3]]</f>
        <v>3</v>
      </c>
      <c r="U602" s="19">
        <f>Registro[[#This Row],[Mes 4]]+Registro[[#This Row],[Mes 5]]+Registro[[#This Row],[Mes 6]]</f>
        <v>0</v>
      </c>
      <c r="V602" s="19">
        <f>Registro[[#This Row],[Mes 7]]+Registro[[#This Row],[Mes 8]]+Registro[[#This Row],[Mes 9]]</f>
        <v>0</v>
      </c>
      <c r="W602" s="20">
        <f>Registro[[#This Row],[Mes 10]]+Registro[[#This Row],[Mes 11]]+Registro[[#This Row],[Mes 12]]</f>
        <v>0</v>
      </c>
      <c r="X602" s="20">
        <f>SUM(Registro[[#This Row],[Trim I]],Registro[[#This Row],[Trim II]],Registro[[#This Row],[Trim III]],Registro[[#This Row],[Trim IV]])</f>
        <v>3</v>
      </c>
      <c r="Y602" s="22">
        <f>IFERROR((Registro[[#This Row],[Avance Total]]/Registro[[#This Row],[Meta]]),0)</f>
        <v>6.6815144766146995E-3</v>
      </c>
      <c r="Z602" s="22">
        <f>IFERROR((Registro[[#This Row],[Avance Total]]-Registro[[#This Row],[Línea Base 2025]])/Registro[[#This Row],[Línea Base 2025]],0)</f>
        <v>-0.93181818181818177</v>
      </c>
      <c r="AA602" s="20">
        <v>2026</v>
      </c>
    </row>
    <row r="603" spans="1:27" hidden="1">
      <c r="A603" s="14">
        <v>1047</v>
      </c>
      <c r="B603" s="15" t="s">
        <v>82</v>
      </c>
      <c r="C603" s="16">
        <v>114</v>
      </c>
      <c r="D603" s="16" t="s">
        <v>181</v>
      </c>
      <c r="E603" s="17" t="s">
        <v>180</v>
      </c>
      <c r="F603" s="24">
        <v>1</v>
      </c>
      <c r="G603" s="19">
        <v>25</v>
      </c>
      <c r="H603" s="19">
        <v>1</v>
      </c>
      <c r="I603" s="19">
        <v>0</v>
      </c>
      <c r="T603" s="19">
        <f>Registro[[#This Row],[Mes 1]]+Registro[[#This Row],[Mes 2]]+Registro[[#This Row],[Mes 3]]</f>
        <v>1</v>
      </c>
      <c r="U603" s="19">
        <f>Registro[[#This Row],[Mes 4]]+Registro[[#This Row],[Mes 5]]+Registro[[#This Row],[Mes 6]]</f>
        <v>0</v>
      </c>
      <c r="V603" s="19">
        <f>Registro[[#This Row],[Mes 7]]+Registro[[#This Row],[Mes 8]]+Registro[[#This Row],[Mes 9]]</f>
        <v>0</v>
      </c>
      <c r="W603" s="20">
        <f>Registro[[#This Row],[Mes 10]]+Registro[[#This Row],[Mes 11]]+Registro[[#This Row],[Mes 12]]</f>
        <v>0</v>
      </c>
      <c r="X603" s="20">
        <f>SUM(Registro[[#This Row],[Trim I]],Registro[[#This Row],[Trim II]],Registro[[#This Row],[Trim III]],Registro[[#This Row],[Trim IV]])</f>
        <v>1</v>
      </c>
      <c r="Y603" s="22">
        <f>IFERROR((Registro[[#This Row],[Avance Total]]/Registro[[#This Row],[Meta]]),0)</f>
        <v>0.04</v>
      </c>
      <c r="Z603" s="22">
        <f>IFERROR((Registro[[#This Row],[Avance Total]]-Registro[[#This Row],[Línea Base 2025]])/Registro[[#This Row],[Línea Base 2025]],0)</f>
        <v>0</v>
      </c>
      <c r="AA603" s="20">
        <v>2026</v>
      </c>
    </row>
    <row r="604" spans="1:27" hidden="1">
      <c r="A604" s="14">
        <v>1047</v>
      </c>
      <c r="B604" s="15" t="s">
        <v>82</v>
      </c>
      <c r="C604" s="16">
        <v>115</v>
      </c>
      <c r="D604" s="16" t="s">
        <v>183</v>
      </c>
      <c r="E604" s="17" t="s">
        <v>182</v>
      </c>
      <c r="F604" s="24">
        <v>2</v>
      </c>
      <c r="G604" s="19">
        <v>22</v>
      </c>
      <c r="H604" s="19">
        <v>0</v>
      </c>
      <c r="I604" s="19">
        <v>0</v>
      </c>
      <c r="T604" s="19">
        <f>Registro[[#This Row],[Mes 1]]+Registro[[#This Row],[Mes 2]]+Registro[[#This Row],[Mes 3]]</f>
        <v>0</v>
      </c>
      <c r="U604" s="19">
        <f>Registro[[#This Row],[Mes 4]]+Registro[[#This Row],[Mes 5]]+Registro[[#This Row],[Mes 6]]</f>
        <v>0</v>
      </c>
      <c r="V604" s="19">
        <f>Registro[[#This Row],[Mes 7]]+Registro[[#This Row],[Mes 8]]+Registro[[#This Row],[Mes 9]]</f>
        <v>0</v>
      </c>
      <c r="W604" s="20">
        <f>Registro[[#This Row],[Mes 10]]+Registro[[#This Row],[Mes 11]]+Registro[[#This Row],[Mes 12]]</f>
        <v>0</v>
      </c>
      <c r="X604" s="20">
        <f>SUM(Registro[[#This Row],[Trim I]],Registro[[#This Row],[Trim II]],Registro[[#This Row],[Trim III]],Registro[[#This Row],[Trim IV]])</f>
        <v>0</v>
      </c>
      <c r="Y604" s="22">
        <f>IFERROR((Registro[[#This Row],[Avance Total]]/Registro[[#This Row],[Meta]]),0)</f>
        <v>0</v>
      </c>
      <c r="Z604" s="22">
        <f>IFERROR((Registro[[#This Row],[Avance Total]]-Registro[[#This Row],[Línea Base 2025]])/Registro[[#This Row],[Línea Base 2025]],0)</f>
        <v>-1</v>
      </c>
      <c r="AA604" s="20">
        <v>2026</v>
      </c>
    </row>
    <row r="605" spans="1:27">
      <c r="A605" s="14">
        <v>1047</v>
      </c>
      <c r="B605" s="15" t="s">
        <v>82</v>
      </c>
      <c r="C605" s="16">
        <v>116</v>
      </c>
      <c r="D605" s="16" t="s">
        <v>185</v>
      </c>
      <c r="E605" s="17" t="s">
        <v>184</v>
      </c>
      <c r="F605" s="24">
        <v>2</v>
      </c>
      <c r="G605" s="19">
        <v>5</v>
      </c>
      <c r="H605" s="19">
        <v>0</v>
      </c>
      <c r="I605" s="19">
        <v>0</v>
      </c>
      <c r="T605" s="19">
        <f>Registro[[#This Row],[Mes 1]]+Registro[[#This Row],[Mes 2]]+Registro[[#This Row],[Mes 3]]</f>
        <v>0</v>
      </c>
      <c r="U605" s="19">
        <f>Registro[[#This Row],[Mes 4]]+Registro[[#This Row],[Mes 5]]+Registro[[#This Row],[Mes 6]]</f>
        <v>0</v>
      </c>
      <c r="V605" s="19">
        <f>Registro[[#This Row],[Mes 7]]+Registro[[#This Row],[Mes 8]]+Registro[[#This Row],[Mes 9]]</f>
        <v>0</v>
      </c>
      <c r="W605" s="20">
        <f>Registro[[#This Row],[Mes 10]]+Registro[[#This Row],[Mes 11]]+Registro[[#This Row],[Mes 12]]</f>
        <v>0</v>
      </c>
      <c r="X605" s="20">
        <f>SUM(Registro[[#This Row],[Trim I]],Registro[[#This Row],[Trim II]],Registro[[#This Row],[Trim III]],Registro[[#This Row],[Trim IV]])</f>
        <v>0</v>
      </c>
      <c r="Y605" s="22">
        <f>IFERROR((Registro[[#This Row],[Avance Total]]/Registro[[#This Row],[Meta]]),0)</f>
        <v>0</v>
      </c>
      <c r="Z605" s="22">
        <f>IFERROR((Registro[[#This Row],[Avance Total]]-Registro[[#This Row],[Línea Base 2025]])/Registro[[#This Row],[Línea Base 2025]],0)</f>
        <v>-1</v>
      </c>
      <c r="AA605" s="20">
        <v>2026</v>
      </c>
    </row>
    <row r="606" spans="1:27" hidden="1">
      <c r="A606" s="14">
        <v>1047</v>
      </c>
      <c r="B606" s="15" t="s">
        <v>82</v>
      </c>
      <c r="C606" s="16">
        <v>117</v>
      </c>
      <c r="D606" s="16" t="s">
        <v>187</v>
      </c>
      <c r="E606" s="17" t="s">
        <v>186</v>
      </c>
      <c r="F606" s="24">
        <v>1</v>
      </c>
      <c r="G606" s="19">
        <v>4</v>
      </c>
      <c r="H606" s="19">
        <v>0</v>
      </c>
      <c r="I606" s="19">
        <v>0</v>
      </c>
      <c r="T606" s="19">
        <f>Registro[[#This Row],[Mes 1]]+Registro[[#This Row],[Mes 2]]+Registro[[#This Row],[Mes 3]]</f>
        <v>0</v>
      </c>
      <c r="U606" s="19">
        <f>Registro[[#This Row],[Mes 4]]+Registro[[#This Row],[Mes 5]]+Registro[[#This Row],[Mes 6]]</f>
        <v>0</v>
      </c>
      <c r="V606" s="19">
        <f>Registro[[#This Row],[Mes 7]]+Registro[[#This Row],[Mes 8]]+Registro[[#This Row],[Mes 9]]</f>
        <v>0</v>
      </c>
      <c r="W606" s="20">
        <f>Registro[[#This Row],[Mes 10]]+Registro[[#This Row],[Mes 11]]+Registro[[#This Row],[Mes 12]]</f>
        <v>0</v>
      </c>
      <c r="X606" s="20">
        <f>SUM(Registro[[#This Row],[Trim I]],Registro[[#This Row],[Trim II]],Registro[[#This Row],[Trim III]],Registro[[#This Row],[Trim IV]])</f>
        <v>0</v>
      </c>
      <c r="Y606" s="22">
        <f>IFERROR((Registro[[#This Row],[Avance Total]]/Registro[[#This Row],[Meta]]),0)</f>
        <v>0</v>
      </c>
      <c r="Z606" s="22">
        <f>IFERROR((Registro[[#This Row],[Avance Total]]-Registro[[#This Row],[Línea Base 2025]])/Registro[[#This Row],[Línea Base 2025]],0)</f>
        <v>-1</v>
      </c>
      <c r="AA606" s="20">
        <v>2026</v>
      </c>
    </row>
    <row r="607" spans="1:27" hidden="1">
      <c r="A607" s="14">
        <v>1047</v>
      </c>
      <c r="B607" s="15" t="s">
        <v>82</v>
      </c>
      <c r="C607" s="16">
        <v>118</v>
      </c>
      <c r="D607" s="16" t="s">
        <v>188</v>
      </c>
      <c r="E607" s="17" t="s">
        <v>9</v>
      </c>
      <c r="F607" s="24">
        <v>0</v>
      </c>
      <c r="G607" s="19">
        <v>1</v>
      </c>
      <c r="H607" s="19">
        <v>0</v>
      </c>
      <c r="I607" s="19">
        <v>0</v>
      </c>
      <c r="T607" s="19">
        <f>Registro[[#This Row],[Mes 1]]+Registro[[#This Row],[Mes 2]]+Registro[[#This Row],[Mes 3]]</f>
        <v>0</v>
      </c>
      <c r="U607" s="19">
        <f>Registro[[#This Row],[Mes 4]]+Registro[[#This Row],[Mes 5]]+Registro[[#This Row],[Mes 6]]</f>
        <v>0</v>
      </c>
      <c r="V607" s="19">
        <f>Registro[[#This Row],[Mes 7]]+Registro[[#This Row],[Mes 8]]+Registro[[#This Row],[Mes 9]]</f>
        <v>0</v>
      </c>
      <c r="W607" s="20">
        <f>Registro[[#This Row],[Mes 10]]+Registro[[#This Row],[Mes 11]]+Registro[[#This Row],[Mes 12]]</f>
        <v>0</v>
      </c>
      <c r="X607" s="20">
        <f>SUM(Registro[[#This Row],[Trim I]],Registro[[#This Row],[Trim II]],Registro[[#This Row],[Trim III]],Registro[[#This Row],[Trim IV]])</f>
        <v>0</v>
      </c>
      <c r="Y607" s="22">
        <f>IFERROR((Registro[[#This Row],[Avance Total]]/Registro[[#This Row],[Meta]]),0)</f>
        <v>0</v>
      </c>
      <c r="Z607" s="22">
        <f>IFERROR((Registro[[#This Row],[Avance Total]]-Registro[[#This Row],[Línea Base 2025]])/Registro[[#This Row],[Línea Base 2025]],0)</f>
        <v>0</v>
      </c>
      <c r="AA607" s="20">
        <v>2026</v>
      </c>
    </row>
    <row r="608" spans="1:27" hidden="1">
      <c r="A608" s="14">
        <v>1047</v>
      </c>
      <c r="B608" s="15" t="s">
        <v>82</v>
      </c>
      <c r="C608" s="16">
        <v>119</v>
      </c>
      <c r="D608" s="16" t="s">
        <v>190</v>
      </c>
      <c r="E608" s="17" t="s">
        <v>189</v>
      </c>
      <c r="F608" s="24">
        <v>0</v>
      </c>
      <c r="G608" s="19">
        <v>4</v>
      </c>
      <c r="H608" s="19">
        <v>0</v>
      </c>
      <c r="I608" s="19">
        <v>0</v>
      </c>
      <c r="T608" s="19">
        <f>Registro[[#This Row],[Mes 1]]+Registro[[#This Row],[Mes 2]]+Registro[[#This Row],[Mes 3]]</f>
        <v>0</v>
      </c>
      <c r="U608" s="19">
        <f>Registro[[#This Row],[Mes 4]]+Registro[[#This Row],[Mes 5]]+Registro[[#This Row],[Mes 6]]</f>
        <v>0</v>
      </c>
      <c r="V608" s="19">
        <f>Registro[[#This Row],[Mes 7]]+Registro[[#This Row],[Mes 8]]+Registro[[#This Row],[Mes 9]]</f>
        <v>0</v>
      </c>
      <c r="W608" s="20">
        <f>Registro[[#This Row],[Mes 10]]+Registro[[#This Row],[Mes 11]]+Registro[[#This Row],[Mes 12]]</f>
        <v>0</v>
      </c>
      <c r="X608" s="20">
        <f>SUM(Registro[[#This Row],[Trim I]],Registro[[#This Row],[Trim II]],Registro[[#This Row],[Trim III]],Registro[[#This Row],[Trim IV]])</f>
        <v>0</v>
      </c>
      <c r="Y608" s="22">
        <f>IFERROR((Registro[[#This Row],[Avance Total]]/Registro[[#This Row],[Meta]]),0)</f>
        <v>0</v>
      </c>
      <c r="Z608" s="22">
        <f>IFERROR((Registro[[#This Row],[Avance Total]]-Registro[[#This Row],[Línea Base 2025]])/Registro[[#This Row],[Línea Base 2025]],0)</f>
        <v>0</v>
      </c>
      <c r="AA608" s="20">
        <v>2026</v>
      </c>
    </row>
    <row r="609" spans="1:27" hidden="1">
      <c r="A609" s="14">
        <v>1047</v>
      </c>
      <c r="B609" s="15" t="s">
        <v>82</v>
      </c>
      <c r="C609" s="16">
        <v>120</v>
      </c>
      <c r="D609" s="16" t="s">
        <v>192</v>
      </c>
      <c r="E609" s="17" t="s">
        <v>191</v>
      </c>
      <c r="F609" s="24">
        <v>44</v>
      </c>
      <c r="G609" s="19">
        <v>29</v>
      </c>
      <c r="H609" s="19">
        <v>0</v>
      </c>
      <c r="I609" s="19">
        <v>0</v>
      </c>
      <c r="T609" s="19">
        <f>Registro[[#This Row],[Mes 1]]+Registro[[#This Row],[Mes 2]]+Registro[[#This Row],[Mes 3]]</f>
        <v>0</v>
      </c>
      <c r="U609" s="19">
        <f>Registro[[#This Row],[Mes 4]]+Registro[[#This Row],[Mes 5]]+Registro[[#This Row],[Mes 6]]</f>
        <v>0</v>
      </c>
      <c r="V609" s="19">
        <f>Registro[[#This Row],[Mes 7]]+Registro[[#This Row],[Mes 8]]+Registro[[#This Row],[Mes 9]]</f>
        <v>0</v>
      </c>
      <c r="W609" s="20">
        <f>Registro[[#This Row],[Mes 10]]+Registro[[#This Row],[Mes 11]]+Registro[[#This Row],[Mes 12]]</f>
        <v>0</v>
      </c>
      <c r="X609" s="20">
        <f>SUM(Registro[[#This Row],[Trim I]],Registro[[#This Row],[Trim II]],Registro[[#This Row],[Trim III]],Registro[[#This Row],[Trim IV]])</f>
        <v>0</v>
      </c>
      <c r="Y609" s="22">
        <f>IFERROR((Registro[[#This Row],[Avance Total]]/Registro[[#This Row],[Meta]]),0)</f>
        <v>0</v>
      </c>
      <c r="Z609" s="22">
        <f>IFERROR((Registro[[#This Row],[Avance Total]]-Registro[[#This Row],[Línea Base 2025]])/Registro[[#This Row],[Línea Base 2025]],0)</f>
        <v>-1</v>
      </c>
      <c r="AA609" s="20">
        <v>2026</v>
      </c>
    </row>
    <row r="610" spans="1:27" hidden="1">
      <c r="A610" s="14">
        <v>1047</v>
      </c>
      <c r="B610" s="15" t="s">
        <v>82</v>
      </c>
      <c r="C610" s="16">
        <v>121</v>
      </c>
      <c r="D610" s="16" t="s">
        <v>194</v>
      </c>
      <c r="E610" s="17" t="s">
        <v>193</v>
      </c>
      <c r="F610" s="24">
        <v>9</v>
      </c>
      <c r="G610" s="19">
        <v>0</v>
      </c>
      <c r="H610" s="19">
        <v>0</v>
      </c>
      <c r="I610" s="19">
        <v>0</v>
      </c>
      <c r="T610" s="19">
        <f>Registro[[#This Row],[Mes 1]]+Registro[[#This Row],[Mes 2]]+Registro[[#This Row],[Mes 3]]</f>
        <v>0</v>
      </c>
      <c r="U610" s="19">
        <f>Registro[[#This Row],[Mes 4]]+Registro[[#This Row],[Mes 5]]+Registro[[#This Row],[Mes 6]]</f>
        <v>0</v>
      </c>
      <c r="V610" s="19">
        <f>Registro[[#This Row],[Mes 7]]+Registro[[#This Row],[Mes 8]]+Registro[[#This Row],[Mes 9]]</f>
        <v>0</v>
      </c>
      <c r="W610" s="20">
        <f>Registro[[#This Row],[Mes 10]]+Registro[[#This Row],[Mes 11]]+Registro[[#This Row],[Mes 12]]</f>
        <v>0</v>
      </c>
      <c r="X610" s="20">
        <f>SUM(Registro[[#This Row],[Trim I]],Registro[[#This Row],[Trim II]],Registro[[#This Row],[Trim III]],Registro[[#This Row],[Trim IV]])</f>
        <v>0</v>
      </c>
      <c r="Y610" s="22">
        <f>IFERROR((Registro[[#This Row],[Avance Total]]/Registro[[#This Row],[Meta]]),0)</f>
        <v>0</v>
      </c>
      <c r="Z610" s="22">
        <f>IFERROR((Registro[[#This Row],[Avance Total]]-Registro[[#This Row],[Línea Base 2025]])/Registro[[#This Row],[Línea Base 2025]],0)</f>
        <v>-1</v>
      </c>
      <c r="AA610" s="20">
        <v>2026</v>
      </c>
    </row>
    <row r="611" spans="1:27" hidden="1">
      <c r="A611" s="14">
        <v>1047</v>
      </c>
      <c r="B611" s="15" t="s">
        <v>82</v>
      </c>
      <c r="C611" s="16">
        <v>122</v>
      </c>
      <c r="D611" s="16" t="s">
        <v>196</v>
      </c>
      <c r="E611" s="17" t="s">
        <v>195</v>
      </c>
      <c r="F611" s="24">
        <v>26</v>
      </c>
      <c r="G611" s="19">
        <v>7</v>
      </c>
      <c r="H611" s="19">
        <v>0</v>
      </c>
      <c r="I611" s="19">
        <v>0</v>
      </c>
      <c r="T611" s="19">
        <f>Registro[[#This Row],[Mes 1]]+Registro[[#This Row],[Mes 2]]+Registro[[#This Row],[Mes 3]]</f>
        <v>0</v>
      </c>
      <c r="U611" s="19">
        <f>Registro[[#This Row],[Mes 4]]+Registro[[#This Row],[Mes 5]]+Registro[[#This Row],[Mes 6]]</f>
        <v>0</v>
      </c>
      <c r="V611" s="19">
        <f>Registro[[#This Row],[Mes 7]]+Registro[[#This Row],[Mes 8]]+Registro[[#This Row],[Mes 9]]</f>
        <v>0</v>
      </c>
      <c r="W611" s="20">
        <f>Registro[[#This Row],[Mes 10]]+Registro[[#This Row],[Mes 11]]+Registro[[#This Row],[Mes 12]]</f>
        <v>0</v>
      </c>
      <c r="X611" s="20">
        <f>SUM(Registro[[#This Row],[Trim I]],Registro[[#This Row],[Trim II]],Registro[[#This Row],[Trim III]],Registro[[#This Row],[Trim IV]])</f>
        <v>0</v>
      </c>
      <c r="Y611" s="22">
        <f>IFERROR((Registro[[#This Row],[Avance Total]]/Registro[[#This Row],[Meta]]),0)</f>
        <v>0</v>
      </c>
      <c r="Z611" s="22">
        <f>IFERROR((Registro[[#This Row],[Avance Total]]-Registro[[#This Row],[Línea Base 2025]])/Registro[[#This Row],[Línea Base 2025]],0)</f>
        <v>-1</v>
      </c>
      <c r="AA611" s="20">
        <v>2026</v>
      </c>
    </row>
    <row r="612" spans="1:27" hidden="1">
      <c r="A612" s="14">
        <v>1047</v>
      </c>
      <c r="B612" s="15" t="s">
        <v>82</v>
      </c>
      <c r="C612" s="16">
        <v>123</v>
      </c>
      <c r="D612" s="16" t="s">
        <v>198</v>
      </c>
      <c r="E612" s="17" t="s">
        <v>197</v>
      </c>
      <c r="F612" s="24">
        <v>0</v>
      </c>
      <c r="G612" s="19">
        <v>7</v>
      </c>
      <c r="H612" s="19">
        <v>0</v>
      </c>
      <c r="I612" s="19">
        <v>0</v>
      </c>
      <c r="T612" s="19">
        <f>Registro[[#This Row],[Mes 1]]+Registro[[#This Row],[Mes 2]]+Registro[[#This Row],[Mes 3]]</f>
        <v>0</v>
      </c>
      <c r="U612" s="19">
        <f>Registro[[#This Row],[Mes 4]]+Registro[[#This Row],[Mes 5]]+Registro[[#This Row],[Mes 6]]</f>
        <v>0</v>
      </c>
      <c r="V612" s="19">
        <f>Registro[[#This Row],[Mes 7]]+Registro[[#This Row],[Mes 8]]+Registro[[#This Row],[Mes 9]]</f>
        <v>0</v>
      </c>
      <c r="W612" s="20">
        <f>Registro[[#This Row],[Mes 10]]+Registro[[#This Row],[Mes 11]]+Registro[[#This Row],[Mes 12]]</f>
        <v>0</v>
      </c>
      <c r="X612" s="20">
        <f>SUM(Registro[[#This Row],[Trim I]],Registro[[#This Row],[Trim II]],Registro[[#This Row],[Trim III]],Registro[[#This Row],[Trim IV]])</f>
        <v>0</v>
      </c>
      <c r="Y612" s="22">
        <f>IFERROR((Registro[[#This Row],[Avance Total]]/Registro[[#This Row],[Meta]]),0)</f>
        <v>0</v>
      </c>
      <c r="Z612" s="22">
        <f>IFERROR((Registro[[#This Row],[Avance Total]]-Registro[[#This Row],[Línea Base 2025]])/Registro[[#This Row],[Línea Base 2025]],0)</f>
        <v>0</v>
      </c>
      <c r="AA612" s="20">
        <v>2026</v>
      </c>
    </row>
    <row r="613" spans="1:27" hidden="1">
      <c r="A613" s="14">
        <v>1048</v>
      </c>
      <c r="B613" s="15" t="s">
        <v>83</v>
      </c>
      <c r="C613" s="16">
        <v>111</v>
      </c>
      <c r="D613" s="16" t="s">
        <v>171</v>
      </c>
      <c r="E613" s="17" t="s">
        <v>172</v>
      </c>
      <c r="F613" s="24">
        <v>45</v>
      </c>
      <c r="G613" s="19">
        <v>403</v>
      </c>
      <c r="H613" s="19">
        <v>3</v>
      </c>
      <c r="I613" s="19">
        <v>22</v>
      </c>
      <c r="T613" s="19">
        <f>Registro[[#This Row],[Mes 1]]+Registro[[#This Row],[Mes 2]]+Registro[[#This Row],[Mes 3]]</f>
        <v>25</v>
      </c>
      <c r="U613" s="19">
        <f>Registro[[#This Row],[Mes 4]]+Registro[[#This Row],[Mes 5]]+Registro[[#This Row],[Mes 6]]</f>
        <v>0</v>
      </c>
      <c r="V613" s="19">
        <f>Registro[[#This Row],[Mes 7]]+Registro[[#This Row],[Mes 8]]+Registro[[#This Row],[Mes 9]]</f>
        <v>0</v>
      </c>
      <c r="W613" s="20">
        <f>Registro[[#This Row],[Mes 10]]+Registro[[#This Row],[Mes 11]]+Registro[[#This Row],[Mes 12]]</f>
        <v>0</v>
      </c>
      <c r="X613" s="20">
        <f>SUM(Registro[[#This Row],[Trim I]],Registro[[#This Row],[Trim II]],Registro[[#This Row],[Trim III]],Registro[[#This Row],[Trim IV]])</f>
        <v>25</v>
      </c>
      <c r="Y613" s="22">
        <f>IFERROR((Registro[[#This Row],[Avance Total]]/Registro[[#This Row],[Meta]]),0)</f>
        <v>6.2034739454094295E-2</v>
      </c>
      <c r="Z613" s="22">
        <f>IFERROR((Registro[[#This Row],[Avance Total]]-Registro[[#This Row],[Línea Base 2025]])/Registro[[#This Row],[Línea Base 2025]],0)</f>
        <v>-0.44444444444444442</v>
      </c>
      <c r="AA613" s="20">
        <v>2026</v>
      </c>
    </row>
    <row r="614" spans="1:27" hidden="1">
      <c r="A614" s="14">
        <v>1048</v>
      </c>
      <c r="B614" s="15" t="s">
        <v>83</v>
      </c>
      <c r="C614" s="16">
        <v>112</v>
      </c>
      <c r="D614" s="16" t="s">
        <v>173</v>
      </c>
      <c r="E614" s="17" t="s">
        <v>7</v>
      </c>
      <c r="F614" s="24">
        <v>44</v>
      </c>
      <c r="G614" s="19">
        <v>101</v>
      </c>
      <c r="H614" s="19">
        <v>0</v>
      </c>
      <c r="I614" s="19">
        <v>0</v>
      </c>
      <c r="T614" s="19">
        <f>Registro[[#This Row],[Mes 1]]+Registro[[#This Row],[Mes 2]]+Registro[[#This Row],[Mes 3]]</f>
        <v>0</v>
      </c>
      <c r="U614" s="19">
        <f>Registro[[#This Row],[Mes 4]]+Registro[[#This Row],[Mes 5]]+Registro[[#This Row],[Mes 6]]</f>
        <v>0</v>
      </c>
      <c r="V614" s="19">
        <f>Registro[[#This Row],[Mes 7]]+Registro[[#This Row],[Mes 8]]+Registro[[#This Row],[Mes 9]]</f>
        <v>0</v>
      </c>
      <c r="W614" s="20">
        <f>Registro[[#This Row],[Mes 10]]+Registro[[#This Row],[Mes 11]]+Registro[[#This Row],[Mes 12]]</f>
        <v>0</v>
      </c>
      <c r="X614" s="20">
        <f>SUM(Registro[[#This Row],[Trim I]],Registro[[#This Row],[Trim II]],Registro[[#This Row],[Trim III]],Registro[[#This Row],[Trim IV]])</f>
        <v>0</v>
      </c>
      <c r="Y614" s="22">
        <f>IFERROR((Registro[[#This Row],[Avance Total]]/Registro[[#This Row],[Meta]]),0)</f>
        <v>0</v>
      </c>
      <c r="Z614" s="22">
        <f>IFERROR((Registro[[#This Row],[Avance Total]]-Registro[[#This Row],[Línea Base 2025]])/Registro[[#This Row],[Línea Base 2025]],0)</f>
        <v>-1</v>
      </c>
      <c r="AA614" s="20">
        <v>2026</v>
      </c>
    </row>
    <row r="615" spans="1:27" hidden="1">
      <c r="A615" s="14">
        <v>1048</v>
      </c>
      <c r="B615" s="15" t="s">
        <v>83</v>
      </c>
      <c r="C615" s="16">
        <v>113</v>
      </c>
      <c r="D615" s="16" t="s">
        <v>179</v>
      </c>
      <c r="E615" s="17" t="s">
        <v>178</v>
      </c>
      <c r="F615" s="24">
        <v>27</v>
      </c>
      <c r="G615" s="19">
        <v>537</v>
      </c>
      <c r="H615" s="19">
        <v>1</v>
      </c>
      <c r="I615" s="19">
        <v>0</v>
      </c>
      <c r="T615" s="19">
        <f>Registro[[#This Row],[Mes 1]]+Registro[[#This Row],[Mes 2]]+Registro[[#This Row],[Mes 3]]</f>
        <v>1</v>
      </c>
      <c r="U615" s="19">
        <f>Registro[[#This Row],[Mes 4]]+Registro[[#This Row],[Mes 5]]+Registro[[#This Row],[Mes 6]]</f>
        <v>0</v>
      </c>
      <c r="V615" s="19">
        <f>Registro[[#This Row],[Mes 7]]+Registro[[#This Row],[Mes 8]]+Registro[[#This Row],[Mes 9]]</f>
        <v>0</v>
      </c>
      <c r="W615" s="20">
        <f>Registro[[#This Row],[Mes 10]]+Registro[[#This Row],[Mes 11]]+Registro[[#This Row],[Mes 12]]</f>
        <v>0</v>
      </c>
      <c r="X615" s="20">
        <f>SUM(Registro[[#This Row],[Trim I]],Registro[[#This Row],[Trim II]],Registro[[#This Row],[Trim III]],Registro[[#This Row],[Trim IV]])</f>
        <v>1</v>
      </c>
      <c r="Y615" s="22">
        <f>IFERROR((Registro[[#This Row],[Avance Total]]/Registro[[#This Row],[Meta]]),0)</f>
        <v>1.8621973929236499E-3</v>
      </c>
      <c r="Z615" s="22">
        <f>IFERROR((Registro[[#This Row],[Avance Total]]-Registro[[#This Row],[Línea Base 2025]])/Registro[[#This Row],[Línea Base 2025]],0)</f>
        <v>-0.96296296296296291</v>
      </c>
      <c r="AA615" s="20">
        <v>2026</v>
      </c>
    </row>
    <row r="616" spans="1:27" hidden="1">
      <c r="A616" s="14">
        <v>1048</v>
      </c>
      <c r="B616" s="15" t="s">
        <v>83</v>
      </c>
      <c r="C616" s="16">
        <v>114</v>
      </c>
      <c r="D616" s="16" t="s">
        <v>181</v>
      </c>
      <c r="E616" s="17" t="s">
        <v>180</v>
      </c>
      <c r="F616" s="24">
        <v>0</v>
      </c>
      <c r="G616" s="19">
        <v>41</v>
      </c>
      <c r="H616" s="19">
        <v>0</v>
      </c>
      <c r="I616" s="19">
        <v>0</v>
      </c>
      <c r="T616" s="19">
        <f>Registro[[#This Row],[Mes 1]]+Registro[[#This Row],[Mes 2]]+Registro[[#This Row],[Mes 3]]</f>
        <v>0</v>
      </c>
      <c r="U616" s="19">
        <f>Registro[[#This Row],[Mes 4]]+Registro[[#This Row],[Mes 5]]+Registro[[#This Row],[Mes 6]]</f>
        <v>0</v>
      </c>
      <c r="V616" s="19">
        <f>Registro[[#This Row],[Mes 7]]+Registro[[#This Row],[Mes 8]]+Registro[[#This Row],[Mes 9]]</f>
        <v>0</v>
      </c>
      <c r="W616" s="20">
        <f>Registro[[#This Row],[Mes 10]]+Registro[[#This Row],[Mes 11]]+Registro[[#This Row],[Mes 12]]</f>
        <v>0</v>
      </c>
      <c r="X616" s="20">
        <f>SUM(Registro[[#This Row],[Trim I]],Registro[[#This Row],[Trim II]],Registro[[#This Row],[Trim III]],Registro[[#This Row],[Trim IV]])</f>
        <v>0</v>
      </c>
      <c r="Y616" s="22">
        <f>IFERROR((Registro[[#This Row],[Avance Total]]/Registro[[#This Row],[Meta]]),0)</f>
        <v>0</v>
      </c>
      <c r="Z616" s="22">
        <f>IFERROR((Registro[[#This Row],[Avance Total]]-Registro[[#This Row],[Línea Base 2025]])/Registro[[#This Row],[Línea Base 2025]],0)</f>
        <v>0</v>
      </c>
      <c r="AA616" s="20">
        <v>2026</v>
      </c>
    </row>
    <row r="617" spans="1:27" hidden="1">
      <c r="A617" s="14">
        <v>1048</v>
      </c>
      <c r="B617" s="15" t="s">
        <v>83</v>
      </c>
      <c r="C617" s="16">
        <v>115</v>
      </c>
      <c r="D617" s="16" t="s">
        <v>183</v>
      </c>
      <c r="E617" s="17" t="s">
        <v>182</v>
      </c>
      <c r="F617" s="24">
        <v>0</v>
      </c>
      <c r="G617" s="19">
        <v>37</v>
      </c>
      <c r="H617" s="19">
        <v>0</v>
      </c>
      <c r="I617" s="19">
        <v>0</v>
      </c>
      <c r="T617" s="19">
        <f>Registro[[#This Row],[Mes 1]]+Registro[[#This Row],[Mes 2]]+Registro[[#This Row],[Mes 3]]</f>
        <v>0</v>
      </c>
      <c r="U617" s="19">
        <f>Registro[[#This Row],[Mes 4]]+Registro[[#This Row],[Mes 5]]+Registro[[#This Row],[Mes 6]]</f>
        <v>0</v>
      </c>
      <c r="V617" s="19">
        <f>Registro[[#This Row],[Mes 7]]+Registro[[#This Row],[Mes 8]]+Registro[[#This Row],[Mes 9]]</f>
        <v>0</v>
      </c>
      <c r="W617" s="20">
        <f>Registro[[#This Row],[Mes 10]]+Registro[[#This Row],[Mes 11]]+Registro[[#This Row],[Mes 12]]</f>
        <v>0</v>
      </c>
      <c r="X617" s="20">
        <f>SUM(Registro[[#This Row],[Trim I]],Registro[[#This Row],[Trim II]],Registro[[#This Row],[Trim III]],Registro[[#This Row],[Trim IV]])</f>
        <v>0</v>
      </c>
      <c r="Y617" s="22">
        <f>IFERROR((Registro[[#This Row],[Avance Total]]/Registro[[#This Row],[Meta]]),0)</f>
        <v>0</v>
      </c>
      <c r="Z617" s="22">
        <f>IFERROR((Registro[[#This Row],[Avance Total]]-Registro[[#This Row],[Línea Base 2025]])/Registro[[#This Row],[Línea Base 2025]],0)</f>
        <v>0</v>
      </c>
      <c r="AA617" s="20">
        <v>2026</v>
      </c>
    </row>
    <row r="618" spans="1:27">
      <c r="A618" s="14">
        <v>1048</v>
      </c>
      <c r="B618" s="15" t="s">
        <v>83</v>
      </c>
      <c r="C618" s="16">
        <v>116</v>
      </c>
      <c r="D618" s="16" t="s">
        <v>185</v>
      </c>
      <c r="E618" s="17" t="s">
        <v>184</v>
      </c>
      <c r="F618" s="24">
        <v>1</v>
      </c>
      <c r="G618" s="19">
        <v>4</v>
      </c>
      <c r="H618" s="19">
        <v>0</v>
      </c>
      <c r="I618" s="19">
        <v>0</v>
      </c>
      <c r="T618" s="19">
        <f>Registro[[#This Row],[Mes 1]]+Registro[[#This Row],[Mes 2]]+Registro[[#This Row],[Mes 3]]</f>
        <v>0</v>
      </c>
      <c r="U618" s="19">
        <f>Registro[[#This Row],[Mes 4]]+Registro[[#This Row],[Mes 5]]+Registro[[#This Row],[Mes 6]]</f>
        <v>0</v>
      </c>
      <c r="V618" s="19">
        <f>Registro[[#This Row],[Mes 7]]+Registro[[#This Row],[Mes 8]]+Registro[[#This Row],[Mes 9]]</f>
        <v>0</v>
      </c>
      <c r="W618" s="20">
        <f>Registro[[#This Row],[Mes 10]]+Registro[[#This Row],[Mes 11]]+Registro[[#This Row],[Mes 12]]</f>
        <v>0</v>
      </c>
      <c r="X618" s="20">
        <f>SUM(Registro[[#This Row],[Trim I]],Registro[[#This Row],[Trim II]],Registro[[#This Row],[Trim III]],Registro[[#This Row],[Trim IV]])</f>
        <v>0</v>
      </c>
      <c r="Y618" s="22">
        <f>IFERROR((Registro[[#This Row],[Avance Total]]/Registro[[#This Row],[Meta]]),0)</f>
        <v>0</v>
      </c>
      <c r="Z618" s="22">
        <f>IFERROR((Registro[[#This Row],[Avance Total]]-Registro[[#This Row],[Línea Base 2025]])/Registro[[#This Row],[Línea Base 2025]],0)</f>
        <v>-1</v>
      </c>
      <c r="AA618" s="20">
        <v>2026</v>
      </c>
    </row>
    <row r="619" spans="1:27" hidden="1">
      <c r="A619" s="14">
        <v>1048</v>
      </c>
      <c r="B619" s="15" t="s">
        <v>83</v>
      </c>
      <c r="C619" s="16">
        <v>117</v>
      </c>
      <c r="D619" s="16" t="s">
        <v>187</v>
      </c>
      <c r="E619" s="17" t="s">
        <v>186</v>
      </c>
      <c r="F619" s="24">
        <v>0</v>
      </c>
      <c r="G619" s="19">
        <v>9</v>
      </c>
      <c r="H619" s="19">
        <v>0</v>
      </c>
      <c r="I619" s="19">
        <v>0</v>
      </c>
      <c r="T619" s="19">
        <f>Registro[[#This Row],[Mes 1]]+Registro[[#This Row],[Mes 2]]+Registro[[#This Row],[Mes 3]]</f>
        <v>0</v>
      </c>
      <c r="U619" s="19">
        <f>Registro[[#This Row],[Mes 4]]+Registro[[#This Row],[Mes 5]]+Registro[[#This Row],[Mes 6]]</f>
        <v>0</v>
      </c>
      <c r="V619" s="19">
        <f>Registro[[#This Row],[Mes 7]]+Registro[[#This Row],[Mes 8]]+Registro[[#This Row],[Mes 9]]</f>
        <v>0</v>
      </c>
      <c r="W619" s="20">
        <f>Registro[[#This Row],[Mes 10]]+Registro[[#This Row],[Mes 11]]+Registro[[#This Row],[Mes 12]]</f>
        <v>0</v>
      </c>
      <c r="X619" s="20">
        <f>SUM(Registro[[#This Row],[Trim I]],Registro[[#This Row],[Trim II]],Registro[[#This Row],[Trim III]],Registro[[#This Row],[Trim IV]])</f>
        <v>0</v>
      </c>
      <c r="Y619" s="22">
        <f>IFERROR((Registro[[#This Row],[Avance Total]]/Registro[[#This Row],[Meta]]),0)</f>
        <v>0</v>
      </c>
      <c r="Z619" s="22">
        <f>IFERROR((Registro[[#This Row],[Avance Total]]-Registro[[#This Row],[Línea Base 2025]])/Registro[[#This Row],[Línea Base 2025]],0)</f>
        <v>0</v>
      </c>
      <c r="AA619" s="20">
        <v>2026</v>
      </c>
    </row>
    <row r="620" spans="1:27" hidden="1">
      <c r="A620" s="14">
        <v>1048</v>
      </c>
      <c r="B620" s="15" t="s">
        <v>83</v>
      </c>
      <c r="C620" s="16">
        <v>118</v>
      </c>
      <c r="D620" s="16" t="s">
        <v>188</v>
      </c>
      <c r="E620" s="17" t="s">
        <v>9</v>
      </c>
      <c r="F620" s="24">
        <v>0</v>
      </c>
      <c r="G620" s="19">
        <v>5</v>
      </c>
      <c r="H620" s="19">
        <v>0</v>
      </c>
      <c r="I620" s="19">
        <v>0</v>
      </c>
      <c r="T620" s="19">
        <f>Registro[[#This Row],[Mes 1]]+Registro[[#This Row],[Mes 2]]+Registro[[#This Row],[Mes 3]]</f>
        <v>0</v>
      </c>
      <c r="U620" s="19">
        <f>Registro[[#This Row],[Mes 4]]+Registro[[#This Row],[Mes 5]]+Registro[[#This Row],[Mes 6]]</f>
        <v>0</v>
      </c>
      <c r="V620" s="19">
        <f>Registro[[#This Row],[Mes 7]]+Registro[[#This Row],[Mes 8]]+Registro[[#This Row],[Mes 9]]</f>
        <v>0</v>
      </c>
      <c r="W620" s="20">
        <f>Registro[[#This Row],[Mes 10]]+Registro[[#This Row],[Mes 11]]+Registro[[#This Row],[Mes 12]]</f>
        <v>0</v>
      </c>
      <c r="X620" s="20">
        <f>SUM(Registro[[#This Row],[Trim I]],Registro[[#This Row],[Trim II]],Registro[[#This Row],[Trim III]],Registro[[#This Row],[Trim IV]])</f>
        <v>0</v>
      </c>
      <c r="Y620" s="22">
        <f>IFERROR((Registro[[#This Row],[Avance Total]]/Registro[[#This Row],[Meta]]),0)</f>
        <v>0</v>
      </c>
      <c r="Z620" s="22">
        <f>IFERROR((Registro[[#This Row],[Avance Total]]-Registro[[#This Row],[Línea Base 2025]])/Registro[[#This Row],[Línea Base 2025]],0)</f>
        <v>0</v>
      </c>
      <c r="AA620" s="20">
        <v>2026</v>
      </c>
    </row>
    <row r="621" spans="1:27" hidden="1">
      <c r="A621" s="14">
        <v>1048</v>
      </c>
      <c r="B621" s="15" t="s">
        <v>83</v>
      </c>
      <c r="C621" s="16">
        <v>119</v>
      </c>
      <c r="D621" s="16" t="s">
        <v>190</v>
      </c>
      <c r="E621" s="17" t="s">
        <v>189</v>
      </c>
      <c r="F621" s="24">
        <v>0</v>
      </c>
      <c r="G621" s="19">
        <v>3</v>
      </c>
      <c r="H621" s="19">
        <v>0</v>
      </c>
      <c r="I621" s="19">
        <v>0</v>
      </c>
      <c r="T621" s="19">
        <f>Registro[[#This Row],[Mes 1]]+Registro[[#This Row],[Mes 2]]+Registro[[#This Row],[Mes 3]]</f>
        <v>0</v>
      </c>
      <c r="U621" s="19">
        <f>Registro[[#This Row],[Mes 4]]+Registro[[#This Row],[Mes 5]]+Registro[[#This Row],[Mes 6]]</f>
        <v>0</v>
      </c>
      <c r="V621" s="19">
        <f>Registro[[#This Row],[Mes 7]]+Registro[[#This Row],[Mes 8]]+Registro[[#This Row],[Mes 9]]</f>
        <v>0</v>
      </c>
      <c r="W621" s="20">
        <f>Registro[[#This Row],[Mes 10]]+Registro[[#This Row],[Mes 11]]+Registro[[#This Row],[Mes 12]]</f>
        <v>0</v>
      </c>
      <c r="X621" s="20">
        <f>SUM(Registro[[#This Row],[Trim I]],Registro[[#This Row],[Trim II]],Registro[[#This Row],[Trim III]],Registro[[#This Row],[Trim IV]])</f>
        <v>0</v>
      </c>
      <c r="Y621" s="22">
        <f>IFERROR((Registro[[#This Row],[Avance Total]]/Registro[[#This Row],[Meta]]),0)</f>
        <v>0</v>
      </c>
      <c r="Z621" s="22">
        <f>IFERROR((Registro[[#This Row],[Avance Total]]-Registro[[#This Row],[Línea Base 2025]])/Registro[[#This Row],[Línea Base 2025]],0)</f>
        <v>0</v>
      </c>
      <c r="AA621" s="20">
        <v>2026</v>
      </c>
    </row>
    <row r="622" spans="1:27" hidden="1">
      <c r="A622" s="14">
        <v>1048</v>
      </c>
      <c r="B622" s="15" t="s">
        <v>83</v>
      </c>
      <c r="C622" s="16">
        <v>120</v>
      </c>
      <c r="D622" s="16" t="s">
        <v>192</v>
      </c>
      <c r="E622" s="17" t="s">
        <v>191</v>
      </c>
      <c r="F622" s="24">
        <v>1</v>
      </c>
      <c r="G622" s="19">
        <v>71</v>
      </c>
      <c r="H622" s="19">
        <v>8</v>
      </c>
      <c r="I622" s="19">
        <v>0</v>
      </c>
      <c r="T622" s="19">
        <f>Registro[[#This Row],[Mes 1]]+Registro[[#This Row],[Mes 2]]+Registro[[#This Row],[Mes 3]]</f>
        <v>8</v>
      </c>
      <c r="U622" s="19">
        <f>Registro[[#This Row],[Mes 4]]+Registro[[#This Row],[Mes 5]]+Registro[[#This Row],[Mes 6]]</f>
        <v>0</v>
      </c>
      <c r="V622" s="19">
        <f>Registro[[#This Row],[Mes 7]]+Registro[[#This Row],[Mes 8]]+Registro[[#This Row],[Mes 9]]</f>
        <v>0</v>
      </c>
      <c r="W622" s="20">
        <f>Registro[[#This Row],[Mes 10]]+Registro[[#This Row],[Mes 11]]+Registro[[#This Row],[Mes 12]]</f>
        <v>0</v>
      </c>
      <c r="X622" s="20">
        <f>SUM(Registro[[#This Row],[Trim I]],Registro[[#This Row],[Trim II]],Registro[[#This Row],[Trim III]],Registro[[#This Row],[Trim IV]])</f>
        <v>8</v>
      </c>
      <c r="Y622" s="22">
        <f>IFERROR((Registro[[#This Row],[Avance Total]]/Registro[[#This Row],[Meta]]),0)</f>
        <v>0.11267605633802817</v>
      </c>
      <c r="Z622" s="22">
        <f>IFERROR((Registro[[#This Row],[Avance Total]]-Registro[[#This Row],[Línea Base 2025]])/Registro[[#This Row],[Línea Base 2025]],0)</f>
        <v>7</v>
      </c>
      <c r="AA622" s="20">
        <v>2026</v>
      </c>
    </row>
    <row r="623" spans="1:27" hidden="1">
      <c r="A623" s="14">
        <v>1048</v>
      </c>
      <c r="B623" s="15" t="s">
        <v>83</v>
      </c>
      <c r="C623" s="16">
        <v>121</v>
      </c>
      <c r="D623" s="16" t="s">
        <v>194</v>
      </c>
      <c r="E623" s="17" t="s">
        <v>193</v>
      </c>
      <c r="F623" s="24">
        <v>0</v>
      </c>
      <c r="G623" s="19">
        <v>0</v>
      </c>
      <c r="H623" s="19">
        <v>0</v>
      </c>
      <c r="I623" s="19">
        <v>0</v>
      </c>
      <c r="T623" s="19">
        <f>Registro[[#This Row],[Mes 1]]+Registro[[#This Row],[Mes 2]]+Registro[[#This Row],[Mes 3]]</f>
        <v>0</v>
      </c>
      <c r="U623" s="19">
        <f>Registro[[#This Row],[Mes 4]]+Registro[[#This Row],[Mes 5]]+Registro[[#This Row],[Mes 6]]</f>
        <v>0</v>
      </c>
      <c r="V623" s="19">
        <f>Registro[[#This Row],[Mes 7]]+Registro[[#This Row],[Mes 8]]+Registro[[#This Row],[Mes 9]]</f>
        <v>0</v>
      </c>
      <c r="W623" s="20">
        <f>Registro[[#This Row],[Mes 10]]+Registro[[#This Row],[Mes 11]]+Registro[[#This Row],[Mes 12]]</f>
        <v>0</v>
      </c>
      <c r="X623" s="20">
        <f>SUM(Registro[[#This Row],[Trim I]],Registro[[#This Row],[Trim II]],Registro[[#This Row],[Trim III]],Registro[[#This Row],[Trim IV]])</f>
        <v>0</v>
      </c>
      <c r="Y623" s="22">
        <f>IFERROR((Registro[[#This Row],[Avance Total]]/Registro[[#This Row],[Meta]]),0)</f>
        <v>0</v>
      </c>
      <c r="Z623" s="22">
        <f>IFERROR((Registro[[#This Row],[Avance Total]]-Registro[[#This Row],[Línea Base 2025]])/Registro[[#This Row],[Línea Base 2025]],0)</f>
        <v>0</v>
      </c>
      <c r="AA623" s="20">
        <v>2026</v>
      </c>
    </row>
    <row r="624" spans="1:27" hidden="1">
      <c r="A624" s="14">
        <v>1048</v>
      </c>
      <c r="B624" s="15" t="s">
        <v>83</v>
      </c>
      <c r="C624" s="16">
        <v>122</v>
      </c>
      <c r="D624" s="16" t="s">
        <v>196</v>
      </c>
      <c r="E624" s="17" t="s">
        <v>195</v>
      </c>
      <c r="F624" s="24">
        <v>4</v>
      </c>
      <c r="G624" s="19">
        <v>11</v>
      </c>
      <c r="H624" s="19">
        <v>0</v>
      </c>
      <c r="I624" s="19">
        <v>0</v>
      </c>
      <c r="T624" s="19">
        <f>Registro[[#This Row],[Mes 1]]+Registro[[#This Row],[Mes 2]]+Registro[[#This Row],[Mes 3]]</f>
        <v>0</v>
      </c>
      <c r="U624" s="19">
        <f>Registro[[#This Row],[Mes 4]]+Registro[[#This Row],[Mes 5]]+Registro[[#This Row],[Mes 6]]</f>
        <v>0</v>
      </c>
      <c r="V624" s="19">
        <f>Registro[[#This Row],[Mes 7]]+Registro[[#This Row],[Mes 8]]+Registro[[#This Row],[Mes 9]]</f>
        <v>0</v>
      </c>
      <c r="W624" s="20">
        <f>Registro[[#This Row],[Mes 10]]+Registro[[#This Row],[Mes 11]]+Registro[[#This Row],[Mes 12]]</f>
        <v>0</v>
      </c>
      <c r="X624" s="20">
        <f>SUM(Registro[[#This Row],[Trim I]],Registro[[#This Row],[Trim II]],Registro[[#This Row],[Trim III]],Registro[[#This Row],[Trim IV]])</f>
        <v>0</v>
      </c>
      <c r="Y624" s="22">
        <f>IFERROR((Registro[[#This Row],[Avance Total]]/Registro[[#This Row],[Meta]]),0)</f>
        <v>0</v>
      </c>
      <c r="Z624" s="22">
        <f>IFERROR((Registro[[#This Row],[Avance Total]]-Registro[[#This Row],[Línea Base 2025]])/Registro[[#This Row],[Línea Base 2025]],0)</f>
        <v>-1</v>
      </c>
      <c r="AA624" s="20">
        <v>2026</v>
      </c>
    </row>
    <row r="625" spans="1:27" hidden="1">
      <c r="A625" s="14">
        <v>1048</v>
      </c>
      <c r="B625" s="15" t="s">
        <v>83</v>
      </c>
      <c r="C625" s="16">
        <v>123</v>
      </c>
      <c r="D625" s="16" t="s">
        <v>198</v>
      </c>
      <c r="E625" s="17" t="s">
        <v>197</v>
      </c>
      <c r="F625" s="24">
        <v>0</v>
      </c>
      <c r="G625" s="19">
        <v>11</v>
      </c>
      <c r="H625" s="19">
        <v>0</v>
      </c>
      <c r="I625" s="19">
        <v>0</v>
      </c>
      <c r="T625" s="19">
        <f>Registro[[#This Row],[Mes 1]]+Registro[[#This Row],[Mes 2]]+Registro[[#This Row],[Mes 3]]</f>
        <v>0</v>
      </c>
      <c r="U625" s="19">
        <f>Registro[[#This Row],[Mes 4]]+Registro[[#This Row],[Mes 5]]+Registro[[#This Row],[Mes 6]]</f>
        <v>0</v>
      </c>
      <c r="V625" s="19">
        <f>Registro[[#This Row],[Mes 7]]+Registro[[#This Row],[Mes 8]]+Registro[[#This Row],[Mes 9]]</f>
        <v>0</v>
      </c>
      <c r="W625" s="20">
        <f>Registro[[#This Row],[Mes 10]]+Registro[[#This Row],[Mes 11]]+Registro[[#This Row],[Mes 12]]</f>
        <v>0</v>
      </c>
      <c r="X625" s="20">
        <f>SUM(Registro[[#This Row],[Trim I]],Registro[[#This Row],[Trim II]],Registro[[#This Row],[Trim III]],Registro[[#This Row],[Trim IV]])</f>
        <v>0</v>
      </c>
      <c r="Y625" s="22">
        <f>IFERROR((Registro[[#This Row],[Avance Total]]/Registro[[#This Row],[Meta]]),0)</f>
        <v>0</v>
      </c>
      <c r="Z625" s="22">
        <f>IFERROR((Registro[[#This Row],[Avance Total]]-Registro[[#This Row],[Línea Base 2025]])/Registro[[#This Row],[Línea Base 2025]],0)</f>
        <v>0</v>
      </c>
      <c r="AA625" s="20">
        <v>2026</v>
      </c>
    </row>
    <row r="626" spans="1:27" hidden="1">
      <c r="A626" s="14">
        <v>1049</v>
      </c>
      <c r="B626" s="15" t="s">
        <v>84</v>
      </c>
      <c r="C626" s="16">
        <v>111</v>
      </c>
      <c r="D626" s="16" t="s">
        <v>171</v>
      </c>
      <c r="E626" s="17" t="s">
        <v>172</v>
      </c>
      <c r="F626" s="24">
        <v>33</v>
      </c>
      <c r="G626" s="19">
        <v>111</v>
      </c>
      <c r="H626" s="19">
        <v>31</v>
      </c>
      <c r="I626" s="19">
        <v>8</v>
      </c>
      <c r="T626" s="19">
        <f>Registro[[#This Row],[Mes 1]]+Registro[[#This Row],[Mes 2]]+Registro[[#This Row],[Mes 3]]</f>
        <v>39</v>
      </c>
      <c r="U626" s="19">
        <f>Registro[[#This Row],[Mes 4]]+Registro[[#This Row],[Mes 5]]+Registro[[#This Row],[Mes 6]]</f>
        <v>0</v>
      </c>
      <c r="V626" s="19">
        <f>Registro[[#This Row],[Mes 7]]+Registro[[#This Row],[Mes 8]]+Registro[[#This Row],[Mes 9]]</f>
        <v>0</v>
      </c>
      <c r="W626" s="20">
        <f>Registro[[#This Row],[Mes 10]]+Registro[[#This Row],[Mes 11]]+Registro[[#This Row],[Mes 12]]</f>
        <v>0</v>
      </c>
      <c r="X626" s="20">
        <f>SUM(Registro[[#This Row],[Trim I]],Registro[[#This Row],[Trim II]],Registro[[#This Row],[Trim III]],Registro[[#This Row],[Trim IV]])</f>
        <v>39</v>
      </c>
      <c r="Y626" s="22">
        <f>IFERROR((Registro[[#This Row],[Avance Total]]/Registro[[#This Row],[Meta]]),0)</f>
        <v>0.35135135135135137</v>
      </c>
      <c r="Z626" s="22">
        <f>IFERROR((Registro[[#This Row],[Avance Total]]-Registro[[#This Row],[Línea Base 2025]])/Registro[[#This Row],[Línea Base 2025]],0)</f>
        <v>0.18181818181818182</v>
      </c>
      <c r="AA626" s="20">
        <v>2026</v>
      </c>
    </row>
    <row r="627" spans="1:27" hidden="1">
      <c r="A627" s="14">
        <v>1049</v>
      </c>
      <c r="B627" s="15" t="s">
        <v>84</v>
      </c>
      <c r="C627" s="16">
        <v>112</v>
      </c>
      <c r="D627" s="16" t="s">
        <v>173</v>
      </c>
      <c r="E627" s="17" t="s">
        <v>7</v>
      </c>
      <c r="F627" s="24">
        <v>29</v>
      </c>
      <c r="G627" s="19">
        <v>79</v>
      </c>
      <c r="H627" s="19">
        <v>0</v>
      </c>
      <c r="I627" s="19">
        <v>0</v>
      </c>
      <c r="T627" s="19">
        <f>Registro[[#This Row],[Mes 1]]+Registro[[#This Row],[Mes 2]]+Registro[[#This Row],[Mes 3]]</f>
        <v>0</v>
      </c>
      <c r="U627" s="19">
        <f>Registro[[#This Row],[Mes 4]]+Registro[[#This Row],[Mes 5]]+Registro[[#This Row],[Mes 6]]</f>
        <v>0</v>
      </c>
      <c r="V627" s="19">
        <f>Registro[[#This Row],[Mes 7]]+Registro[[#This Row],[Mes 8]]+Registro[[#This Row],[Mes 9]]</f>
        <v>0</v>
      </c>
      <c r="W627" s="20">
        <f>Registro[[#This Row],[Mes 10]]+Registro[[#This Row],[Mes 11]]+Registro[[#This Row],[Mes 12]]</f>
        <v>0</v>
      </c>
      <c r="X627" s="20">
        <f>SUM(Registro[[#This Row],[Trim I]],Registro[[#This Row],[Trim II]],Registro[[#This Row],[Trim III]],Registro[[#This Row],[Trim IV]])</f>
        <v>0</v>
      </c>
      <c r="Y627" s="22">
        <f>IFERROR((Registro[[#This Row],[Avance Total]]/Registro[[#This Row],[Meta]]),0)</f>
        <v>0</v>
      </c>
      <c r="Z627" s="22">
        <f>IFERROR((Registro[[#This Row],[Avance Total]]-Registro[[#This Row],[Línea Base 2025]])/Registro[[#This Row],[Línea Base 2025]],0)</f>
        <v>-1</v>
      </c>
      <c r="AA627" s="20">
        <v>2026</v>
      </c>
    </row>
    <row r="628" spans="1:27" hidden="1">
      <c r="A628" s="14">
        <v>1049</v>
      </c>
      <c r="B628" s="15" t="s">
        <v>84</v>
      </c>
      <c r="C628" s="16">
        <v>113</v>
      </c>
      <c r="D628" s="16" t="s">
        <v>179</v>
      </c>
      <c r="E628" s="17" t="s">
        <v>178</v>
      </c>
      <c r="F628" s="24">
        <v>19</v>
      </c>
      <c r="G628" s="19">
        <v>262</v>
      </c>
      <c r="H628" s="19">
        <v>0</v>
      </c>
      <c r="I628" s="19">
        <v>0</v>
      </c>
      <c r="T628" s="19">
        <f>Registro[[#This Row],[Mes 1]]+Registro[[#This Row],[Mes 2]]+Registro[[#This Row],[Mes 3]]</f>
        <v>0</v>
      </c>
      <c r="U628" s="19">
        <f>Registro[[#This Row],[Mes 4]]+Registro[[#This Row],[Mes 5]]+Registro[[#This Row],[Mes 6]]</f>
        <v>0</v>
      </c>
      <c r="V628" s="19">
        <f>Registro[[#This Row],[Mes 7]]+Registro[[#This Row],[Mes 8]]+Registro[[#This Row],[Mes 9]]</f>
        <v>0</v>
      </c>
      <c r="W628" s="20">
        <f>Registro[[#This Row],[Mes 10]]+Registro[[#This Row],[Mes 11]]+Registro[[#This Row],[Mes 12]]</f>
        <v>0</v>
      </c>
      <c r="X628" s="20">
        <f>SUM(Registro[[#This Row],[Trim I]],Registro[[#This Row],[Trim II]],Registro[[#This Row],[Trim III]],Registro[[#This Row],[Trim IV]])</f>
        <v>0</v>
      </c>
      <c r="Y628" s="22">
        <f>IFERROR((Registro[[#This Row],[Avance Total]]/Registro[[#This Row],[Meta]]),0)</f>
        <v>0</v>
      </c>
      <c r="Z628" s="22">
        <f>IFERROR((Registro[[#This Row],[Avance Total]]-Registro[[#This Row],[Línea Base 2025]])/Registro[[#This Row],[Línea Base 2025]],0)</f>
        <v>-1</v>
      </c>
      <c r="AA628" s="20">
        <v>2026</v>
      </c>
    </row>
    <row r="629" spans="1:27" hidden="1">
      <c r="A629" s="14">
        <v>1049</v>
      </c>
      <c r="B629" s="15" t="s">
        <v>84</v>
      </c>
      <c r="C629" s="16">
        <v>114</v>
      </c>
      <c r="D629" s="16" t="s">
        <v>181</v>
      </c>
      <c r="E629" s="17" t="s">
        <v>180</v>
      </c>
      <c r="F629" s="24">
        <v>0</v>
      </c>
      <c r="G629" s="19">
        <v>19</v>
      </c>
      <c r="H629" s="19">
        <v>0</v>
      </c>
      <c r="I629" s="19">
        <v>0</v>
      </c>
      <c r="T629" s="19">
        <f>Registro[[#This Row],[Mes 1]]+Registro[[#This Row],[Mes 2]]+Registro[[#This Row],[Mes 3]]</f>
        <v>0</v>
      </c>
      <c r="U629" s="19">
        <f>Registro[[#This Row],[Mes 4]]+Registro[[#This Row],[Mes 5]]+Registro[[#This Row],[Mes 6]]</f>
        <v>0</v>
      </c>
      <c r="V629" s="19">
        <f>Registro[[#This Row],[Mes 7]]+Registro[[#This Row],[Mes 8]]+Registro[[#This Row],[Mes 9]]</f>
        <v>0</v>
      </c>
      <c r="W629" s="20">
        <f>Registro[[#This Row],[Mes 10]]+Registro[[#This Row],[Mes 11]]+Registro[[#This Row],[Mes 12]]</f>
        <v>0</v>
      </c>
      <c r="X629" s="20">
        <f>SUM(Registro[[#This Row],[Trim I]],Registro[[#This Row],[Trim II]],Registro[[#This Row],[Trim III]],Registro[[#This Row],[Trim IV]])</f>
        <v>0</v>
      </c>
      <c r="Y629" s="22">
        <f>IFERROR((Registro[[#This Row],[Avance Total]]/Registro[[#This Row],[Meta]]),0)</f>
        <v>0</v>
      </c>
      <c r="Z629" s="22">
        <f>IFERROR((Registro[[#This Row],[Avance Total]]-Registro[[#This Row],[Línea Base 2025]])/Registro[[#This Row],[Línea Base 2025]],0)</f>
        <v>0</v>
      </c>
      <c r="AA629" s="20">
        <v>2026</v>
      </c>
    </row>
    <row r="630" spans="1:27" hidden="1">
      <c r="A630" s="14">
        <v>1049</v>
      </c>
      <c r="B630" s="15" t="s">
        <v>84</v>
      </c>
      <c r="C630" s="16">
        <v>115</v>
      </c>
      <c r="D630" s="16" t="s">
        <v>183</v>
      </c>
      <c r="E630" s="17" t="s">
        <v>182</v>
      </c>
      <c r="F630" s="24">
        <v>0</v>
      </c>
      <c r="G630" s="19">
        <v>18</v>
      </c>
      <c r="H630" s="19">
        <v>0</v>
      </c>
      <c r="I630" s="19">
        <v>0</v>
      </c>
      <c r="T630" s="19">
        <f>Registro[[#This Row],[Mes 1]]+Registro[[#This Row],[Mes 2]]+Registro[[#This Row],[Mes 3]]</f>
        <v>0</v>
      </c>
      <c r="U630" s="19">
        <f>Registro[[#This Row],[Mes 4]]+Registro[[#This Row],[Mes 5]]+Registro[[#This Row],[Mes 6]]</f>
        <v>0</v>
      </c>
      <c r="V630" s="19">
        <f>Registro[[#This Row],[Mes 7]]+Registro[[#This Row],[Mes 8]]+Registro[[#This Row],[Mes 9]]</f>
        <v>0</v>
      </c>
      <c r="W630" s="20">
        <f>Registro[[#This Row],[Mes 10]]+Registro[[#This Row],[Mes 11]]+Registro[[#This Row],[Mes 12]]</f>
        <v>0</v>
      </c>
      <c r="X630" s="20">
        <f>SUM(Registro[[#This Row],[Trim I]],Registro[[#This Row],[Trim II]],Registro[[#This Row],[Trim III]],Registro[[#This Row],[Trim IV]])</f>
        <v>0</v>
      </c>
      <c r="Y630" s="22">
        <f>IFERROR((Registro[[#This Row],[Avance Total]]/Registro[[#This Row],[Meta]]),0)</f>
        <v>0</v>
      </c>
      <c r="Z630" s="22">
        <f>IFERROR((Registro[[#This Row],[Avance Total]]-Registro[[#This Row],[Línea Base 2025]])/Registro[[#This Row],[Línea Base 2025]],0)</f>
        <v>0</v>
      </c>
      <c r="AA630" s="20">
        <v>2026</v>
      </c>
    </row>
    <row r="631" spans="1:27">
      <c r="A631" s="14">
        <v>1049</v>
      </c>
      <c r="B631" s="15" t="s">
        <v>84</v>
      </c>
      <c r="C631" s="16">
        <v>116</v>
      </c>
      <c r="D631" s="16" t="s">
        <v>185</v>
      </c>
      <c r="E631" s="17" t="s">
        <v>184</v>
      </c>
      <c r="F631" s="24">
        <v>1</v>
      </c>
      <c r="G631" s="19">
        <v>4</v>
      </c>
      <c r="H631" s="19">
        <v>0</v>
      </c>
      <c r="I631" s="19">
        <v>0</v>
      </c>
      <c r="T631" s="19">
        <f>Registro[[#This Row],[Mes 1]]+Registro[[#This Row],[Mes 2]]+Registro[[#This Row],[Mes 3]]</f>
        <v>0</v>
      </c>
      <c r="U631" s="19">
        <f>Registro[[#This Row],[Mes 4]]+Registro[[#This Row],[Mes 5]]+Registro[[#This Row],[Mes 6]]</f>
        <v>0</v>
      </c>
      <c r="V631" s="19">
        <f>Registro[[#This Row],[Mes 7]]+Registro[[#This Row],[Mes 8]]+Registro[[#This Row],[Mes 9]]</f>
        <v>0</v>
      </c>
      <c r="W631" s="20">
        <f>Registro[[#This Row],[Mes 10]]+Registro[[#This Row],[Mes 11]]+Registro[[#This Row],[Mes 12]]</f>
        <v>0</v>
      </c>
      <c r="X631" s="20">
        <f>SUM(Registro[[#This Row],[Trim I]],Registro[[#This Row],[Trim II]],Registro[[#This Row],[Trim III]],Registro[[#This Row],[Trim IV]])</f>
        <v>0</v>
      </c>
      <c r="Y631" s="22">
        <f>IFERROR((Registro[[#This Row],[Avance Total]]/Registro[[#This Row],[Meta]]),0)</f>
        <v>0</v>
      </c>
      <c r="Z631" s="22">
        <f>IFERROR((Registro[[#This Row],[Avance Total]]-Registro[[#This Row],[Línea Base 2025]])/Registro[[#This Row],[Línea Base 2025]],0)</f>
        <v>-1</v>
      </c>
      <c r="AA631" s="20">
        <v>2026</v>
      </c>
    </row>
    <row r="632" spans="1:27" hidden="1">
      <c r="A632" s="14">
        <v>1049</v>
      </c>
      <c r="B632" s="15" t="s">
        <v>84</v>
      </c>
      <c r="C632" s="16">
        <v>117</v>
      </c>
      <c r="D632" s="16" t="s">
        <v>187</v>
      </c>
      <c r="E632" s="17" t="s">
        <v>186</v>
      </c>
      <c r="F632" s="24">
        <v>1</v>
      </c>
      <c r="G632" s="19">
        <v>2</v>
      </c>
      <c r="H632" s="19">
        <v>0</v>
      </c>
      <c r="I632" s="19">
        <v>0</v>
      </c>
      <c r="T632" s="19">
        <f>Registro[[#This Row],[Mes 1]]+Registro[[#This Row],[Mes 2]]+Registro[[#This Row],[Mes 3]]</f>
        <v>0</v>
      </c>
      <c r="U632" s="19">
        <f>Registro[[#This Row],[Mes 4]]+Registro[[#This Row],[Mes 5]]+Registro[[#This Row],[Mes 6]]</f>
        <v>0</v>
      </c>
      <c r="V632" s="19">
        <f>Registro[[#This Row],[Mes 7]]+Registro[[#This Row],[Mes 8]]+Registro[[#This Row],[Mes 9]]</f>
        <v>0</v>
      </c>
      <c r="W632" s="20">
        <f>Registro[[#This Row],[Mes 10]]+Registro[[#This Row],[Mes 11]]+Registro[[#This Row],[Mes 12]]</f>
        <v>0</v>
      </c>
      <c r="X632" s="20">
        <f>SUM(Registro[[#This Row],[Trim I]],Registro[[#This Row],[Trim II]],Registro[[#This Row],[Trim III]],Registro[[#This Row],[Trim IV]])</f>
        <v>0</v>
      </c>
      <c r="Y632" s="22">
        <f>IFERROR((Registro[[#This Row],[Avance Total]]/Registro[[#This Row],[Meta]]),0)</f>
        <v>0</v>
      </c>
      <c r="Z632" s="22">
        <f>IFERROR((Registro[[#This Row],[Avance Total]]-Registro[[#This Row],[Línea Base 2025]])/Registro[[#This Row],[Línea Base 2025]],0)</f>
        <v>-1</v>
      </c>
      <c r="AA632" s="20">
        <v>2026</v>
      </c>
    </row>
    <row r="633" spans="1:27" hidden="1">
      <c r="A633" s="14">
        <v>1049</v>
      </c>
      <c r="B633" s="15" t="s">
        <v>84</v>
      </c>
      <c r="C633" s="16">
        <v>118</v>
      </c>
      <c r="D633" s="16" t="s">
        <v>188</v>
      </c>
      <c r="E633" s="17" t="s">
        <v>9</v>
      </c>
      <c r="F633" s="24">
        <v>0</v>
      </c>
      <c r="G633" s="19">
        <v>0</v>
      </c>
      <c r="H633" s="19">
        <v>0</v>
      </c>
      <c r="I633" s="19">
        <v>0</v>
      </c>
      <c r="T633" s="19">
        <f>Registro[[#This Row],[Mes 1]]+Registro[[#This Row],[Mes 2]]+Registro[[#This Row],[Mes 3]]</f>
        <v>0</v>
      </c>
      <c r="U633" s="19">
        <f>Registro[[#This Row],[Mes 4]]+Registro[[#This Row],[Mes 5]]+Registro[[#This Row],[Mes 6]]</f>
        <v>0</v>
      </c>
      <c r="V633" s="19">
        <f>Registro[[#This Row],[Mes 7]]+Registro[[#This Row],[Mes 8]]+Registro[[#This Row],[Mes 9]]</f>
        <v>0</v>
      </c>
      <c r="W633" s="20">
        <f>Registro[[#This Row],[Mes 10]]+Registro[[#This Row],[Mes 11]]+Registro[[#This Row],[Mes 12]]</f>
        <v>0</v>
      </c>
      <c r="X633" s="20">
        <f>SUM(Registro[[#This Row],[Trim I]],Registro[[#This Row],[Trim II]],Registro[[#This Row],[Trim III]],Registro[[#This Row],[Trim IV]])</f>
        <v>0</v>
      </c>
      <c r="Y633" s="22">
        <f>IFERROR((Registro[[#This Row],[Avance Total]]/Registro[[#This Row],[Meta]]),0)</f>
        <v>0</v>
      </c>
      <c r="Z633" s="22">
        <f>IFERROR((Registro[[#This Row],[Avance Total]]-Registro[[#This Row],[Línea Base 2025]])/Registro[[#This Row],[Línea Base 2025]],0)</f>
        <v>0</v>
      </c>
      <c r="AA633" s="20">
        <v>2026</v>
      </c>
    </row>
    <row r="634" spans="1:27" hidden="1">
      <c r="A634" s="14">
        <v>1049</v>
      </c>
      <c r="B634" s="15" t="s">
        <v>84</v>
      </c>
      <c r="C634" s="16">
        <v>119</v>
      </c>
      <c r="D634" s="16" t="s">
        <v>190</v>
      </c>
      <c r="E634" s="17" t="s">
        <v>189</v>
      </c>
      <c r="F634" s="24">
        <v>0</v>
      </c>
      <c r="G634" s="19">
        <v>3</v>
      </c>
      <c r="H634" s="19">
        <v>0</v>
      </c>
      <c r="I634" s="19">
        <v>0</v>
      </c>
      <c r="T634" s="19">
        <f>Registro[[#This Row],[Mes 1]]+Registro[[#This Row],[Mes 2]]+Registro[[#This Row],[Mes 3]]</f>
        <v>0</v>
      </c>
      <c r="U634" s="19">
        <f>Registro[[#This Row],[Mes 4]]+Registro[[#This Row],[Mes 5]]+Registro[[#This Row],[Mes 6]]</f>
        <v>0</v>
      </c>
      <c r="V634" s="19">
        <f>Registro[[#This Row],[Mes 7]]+Registro[[#This Row],[Mes 8]]+Registro[[#This Row],[Mes 9]]</f>
        <v>0</v>
      </c>
      <c r="W634" s="20">
        <f>Registro[[#This Row],[Mes 10]]+Registro[[#This Row],[Mes 11]]+Registro[[#This Row],[Mes 12]]</f>
        <v>0</v>
      </c>
      <c r="X634" s="20">
        <f>SUM(Registro[[#This Row],[Trim I]],Registro[[#This Row],[Trim II]],Registro[[#This Row],[Trim III]],Registro[[#This Row],[Trim IV]])</f>
        <v>0</v>
      </c>
      <c r="Y634" s="22">
        <f>IFERROR((Registro[[#This Row],[Avance Total]]/Registro[[#This Row],[Meta]]),0)</f>
        <v>0</v>
      </c>
      <c r="Z634" s="22">
        <f>IFERROR((Registro[[#This Row],[Avance Total]]-Registro[[#This Row],[Línea Base 2025]])/Registro[[#This Row],[Línea Base 2025]],0)</f>
        <v>0</v>
      </c>
      <c r="AA634" s="20">
        <v>2026</v>
      </c>
    </row>
    <row r="635" spans="1:27" hidden="1">
      <c r="A635" s="14">
        <v>1049</v>
      </c>
      <c r="B635" s="15" t="s">
        <v>84</v>
      </c>
      <c r="C635" s="16">
        <v>120</v>
      </c>
      <c r="D635" s="16" t="s">
        <v>192</v>
      </c>
      <c r="E635" s="17" t="s">
        <v>191</v>
      </c>
      <c r="F635" s="24">
        <v>6</v>
      </c>
      <c r="G635" s="19">
        <v>13</v>
      </c>
      <c r="H635" s="19">
        <v>0</v>
      </c>
      <c r="I635" s="19">
        <v>0</v>
      </c>
      <c r="T635" s="19">
        <f>Registro[[#This Row],[Mes 1]]+Registro[[#This Row],[Mes 2]]+Registro[[#This Row],[Mes 3]]</f>
        <v>0</v>
      </c>
      <c r="U635" s="19">
        <f>Registro[[#This Row],[Mes 4]]+Registro[[#This Row],[Mes 5]]+Registro[[#This Row],[Mes 6]]</f>
        <v>0</v>
      </c>
      <c r="V635" s="19">
        <f>Registro[[#This Row],[Mes 7]]+Registro[[#This Row],[Mes 8]]+Registro[[#This Row],[Mes 9]]</f>
        <v>0</v>
      </c>
      <c r="W635" s="20">
        <f>Registro[[#This Row],[Mes 10]]+Registro[[#This Row],[Mes 11]]+Registro[[#This Row],[Mes 12]]</f>
        <v>0</v>
      </c>
      <c r="X635" s="20">
        <f>SUM(Registro[[#This Row],[Trim I]],Registro[[#This Row],[Trim II]],Registro[[#This Row],[Trim III]],Registro[[#This Row],[Trim IV]])</f>
        <v>0</v>
      </c>
      <c r="Y635" s="22">
        <f>IFERROR((Registro[[#This Row],[Avance Total]]/Registro[[#This Row],[Meta]]),0)</f>
        <v>0</v>
      </c>
      <c r="Z635" s="22">
        <f>IFERROR((Registro[[#This Row],[Avance Total]]-Registro[[#This Row],[Línea Base 2025]])/Registro[[#This Row],[Línea Base 2025]],0)</f>
        <v>-1</v>
      </c>
      <c r="AA635" s="20">
        <v>2026</v>
      </c>
    </row>
    <row r="636" spans="1:27" hidden="1">
      <c r="A636" s="14">
        <v>1049</v>
      </c>
      <c r="B636" s="15" t="s">
        <v>84</v>
      </c>
      <c r="C636" s="16">
        <v>121</v>
      </c>
      <c r="D636" s="16" t="s">
        <v>194</v>
      </c>
      <c r="E636" s="17" t="s">
        <v>193</v>
      </c>
      <c r="F636" s="24">
        <v>0</v>
      </c>
      <c r="G636" s="19">
        <v>3</v>
      </c>
      <c r="H636" s="19">
        <v>0</v>
      </c>
      <c r="I636" s="19">
        <v>0</v>
      </c>
      <c r="T636" s="19">
        <f>Registro[[#This Row],[Mes 1]]+Registro[[#This Row],[Mes 2]]+Registro[[#This Row],[Mes 3]]</f>
        <v>0</v>
      </c>
      <c r="U636" s="19">
        <f>Registro[[#This Row],[Mes 4]]+Registro[[#This Row],[Mes 5]]+Registro[[#This Row],[Mes 6]]</f>
        <v>0</v>
      </c>
      <c r="V636" s="19">
        <f>Registro[[#This Row],[Mes 7]]+Registro[[#This Row],[Mes 8]]+Registro[[#This Row],[Mes 9]]</f>
        <v>0</v>
      </c>
      <c r="W636" s="20">
        <f>Registro[[#This Row],[Mes 10]]+Registro[[#This Row],[Mes 11]]+Registro[[#This Row],[Mes 12]]</f>
        <v>0</v>
      </c>
      <c r="X636" s="20">
        <f>SUM(Registro[[#This Row],[Trim I]],Registro[[#This Row],[Trim II]],Registro[[#This Row],[Trim III]],Registro[[#This Row],[Trim IV]])</f>
        <v>0</v>
      </c>
      <c r="Y636" s="22">
        <f>IFERROR((Registro[[#This Row],[Avance Total]]/Registro[[#This Row],[Meta]]),0)</f>
        <v>0</v>
      </c>
      <c r="Z636" s="22">
        <f>IFERROR((Registro[[#This Row],[Avance Total]]-Registro[[#This Row],[Línea Base 2025]])/Registro[[#This Row],[Línea Base 2025]],0)</f>
        <v>0</v>
      </c>
      <c r="AA636" s="20">
        <v>2026</v>
      </c>
    </row>
    <row r="637" spans="1:27" hidden="1">
      <c r="A637" s="14">
        <v>1049</v>
      </c>
      <c r="B637" s="15" t="s">
        <v>84</v>
      </c>
      <c r="C637" s="16">
        <v>122</v>
      </c>
      <c r="D637" s="16" t="s">
        <v>196</v>
      </c>
      <c r="E637" s="17" t="s">
        <v>195</v>
      </c>
      <c r="F637" s="24">
        <v>8</v>
      </c>
      <c r="G637" s="19">
        <v>7</v>
      </c>
      <c r="H637" s="19">
        <v>0</v>
      </c>
      <c r="I637" s="19">
        <v>0</v>
      </c>
      <c r="T637" s="19">
        <f>Registro[[#This Row],[Mes 1]]+Registro[[#This Row],[Mes 2]]+Registro[[#This Row],[Mes 3]]</f>
        <v>0</v>
      </c>
      <c r="U637" s="19">
        <f>Registro[[#This Row],[Mes 4]]+Registro[[#This Row],[Mes 5]]+Registro[[#This Row],[Mes 6]]</f>
        <v>0</v>
      </c>
      <c r="V637" s="19">
        <f>Registro[[#This Row],[Mes 7]]+Registro[[#This Row],[Mes 8]]+Registro[[#This Row],[Mes 9]]</f>
        <v>0</v>
      </c>
      <c r="W637" s="20">
        <f>Registro[[#This Row],[Mes 10]]+Registro[[#This Row],[Mes 11]]+Registro[[#This Row],[Mes 12]]</f>
        <v>0</v>
      </c>
      <c r="X637" s="20">
        <f>SUM(Registro[[#This Row],[Trim I]],Registro[[#This Row],[Trim II]],Registro[[#This Row],[Trim III]],Registro[[#This Row],[Trim IV]])</f>
        <v>0</v>
      </c>
      <c r="Y637" s="22">
        <f>IFERROR((Registro[[#This Row],[Avance Total]]/Registro[[#This Row],[Meta]]),0)</f>
        <v>0</v>
      </c>
      <c r="Z637" s="22">
        <f>IFERROR((Registro[[#This Row],[Avance Total]]-Registro[[#This Row],[Línea Base 2025]])/Registro[[#This Row],[Línea Base 2025]],0)</f>
        <v>-1</v>
      </c>
      <c r="AA637" s="20">
        <v>2026</v>
      </c>
    </row>
    <row r="638" spans="1:27" hidden="1">
      <c r="A638" s="14">
        <v>1049</v>
      </c>
      <c r="B638" s="15" t="s">
        <v>84</v>
      </c>
      <c r="C638" s="16">
        <v>123</v>
      </c>
      <c r="D638" s="16" t="s">
        <v>198</v>
      </c>
      <c r="E638" s="17" t="s">
        <v>197</v>
      </c>
      <c r="F638" s="24">
        <v>0</v>
      </c>
      <c r="G638" s="19">
        <v>1</v>
      </c>
      <c r="H638" s="19">
        <v>0</v>
      </c>
      <c r="I638" s="19">
        <v>0</v>
      </c>
      <c r="T638" s="19">
        <f>Registro[[#This Row],[Mes 1]]+Registro[[#This Row],[Mes 2]]+Registro[[#This Row],[Mes 3]]</f>
        <v>0</v>
      </c>
      <c r="U638" s="19">
        <f>Registro[[#This Row],[Mes 4]]+Registro[[#This Row],[Mes 5]]+Registro[[#This Row],[Mes 6]]</f>
        <v>0</v>
      </c>
      <c r="V638" s="19">
        <f>Registro[[#This Row],[Mes 7]]+Registro[[#This Row],[Mes 8]]+Registro[[#This Row],[Mes 9]]</f>
        <v>0</v>
      </c>
      <c r="W638" s="20">
        <f>Registro[[#This Row],[Mes 10]]+Registro[[#This Row],[Mes 11]]+Registro[[#This Row],[Mes 12]]</f>
        <v>0</v>
      </c>
      <c r="X638" s="20">
        <f>SUM(Registro[[#This Row],[Trim I]],Registro[[#This Row],[Trim II]],Registro[[#This Row],[Trim III]],Registro[[#This Row],[Trim IV]])</f>
        <v>0</v>
      </c>
      <c r="Y638" s="22">
        <f>IFERROR((Registro[[#This Row],[Avance Total]]/Registro[[#This Row],[Meta]]),0)</f>
        <v>0</v>
      </c>
      <c r="Z638" s="22">
        <f>IFERROR((Registro[[#This Row],[Avance Total]]-Registro[[#This Row],[Línea Base 2025]])/Registro[[#This Row],[Línea Base 2025]],0)</f>
        <v>0</v>
      </c>
      <c r="AA638" s="20">
        <v>2026</v>
      </c>
    </row>
    <row r="639" spans="1:27" hidden="1">
      <c r="A639" s="14">
        <v>1050</v>
      </c>
      <c r="B639" s="15" t="s">
        <v>85</v>
      </c>
      <c r="C639" s="16">
        <v>111</v>
      </c>
      <c r="D639" s="16" t="s">
        <v>171</v>
      </c>
      <c r="E639" s="17" t="s">
        <v>172</v>
      </c>
      <c r="F639" s="24">
        <v>21</v>
      </c>
      <c r="G639" s="19">
        <v>208</v>
      </c>
      <c r="H639" s="19">
        <v>26</v>
      </c>
      <c r="I639" s="19">
        <v>20</v>
      </c>
      <c r="T639" s="19">
        <f>Registro[[#This Row],[Mes 1]]+Registro[[#This Row],[Mes 2]]+Registro[[#This Row],[Mes 3]]</f>
        <v>46</v>
      </c>
      <c r="U639" s="19">
        <f>Registro[[#This Row],[Mes 4]]+Registro[[#This Row],[Mes 5]]+Registro[[#This Row],[Mes 6]]</f>
        <v>0</v>
      </c>
      <c r="V639" s="19">
        <f>Registro[[#This Row],[Mes 7]]+Registro[[#This Row],[Mes 8]]+Registro[[#This Row],[Mes 9]]</f>
        <v>0</v>
      </c>
      <c r="W639" s="20">
        <f>Registro[[#This Row],[Mes 10]]+Registro[[#This Row],[Mes 11]]+Registro[[#This Row],[Mes 12]]</f>
        <v>0</v>
      </c>
      <c r="X639" s="20">
        <f>SUM(Registro[[#This Row],[Trim I]],Registro[[#This Row],[Trim II]],Registro[[#This Row],[Trim III]],Registro[[#This Row],[Trim IV]])</f>
        <v>46</v>
      </c>
      <c r="Y639" s="22">
        <f>IFERROR((Registro[[#This Row],[Avance Total]]/Registro[[#This Row],[Meta]]),0)</f>
        <v>0.22115384615384615</v>
      </c>
      <c r="Z639" s="22">
        <f>IFERROR((Registro[[#This Row],[Avance Total]]-Registro[[#This Row],[Línea Base 2025]])/Registro[[#This Row],[Línea Base 2025]],0)</f>
        <v>1.1904761904761905</v>
      </c>
      <c r="AA639" s="20">
        <v>2026</v>
      </c>
    </row>
    <row r="640" spans="1:27" hidden="1">
      <c r="A640" s="14">
        <v>1050</v>
      </c>
      <c r="B640" s="15" t="s">
        <v>85</v>
      </c>
      <c r="C640" s="16">
        <v>112</v>
      </c>
      <c r="D640" s="16" t="s">
        <v>173</v>
      </c>
      <c r="E640" s="17" t="s">
        <v>7</v>
      </c>
      <c r="F640" s="24">
        <v>14</v>
      </c>
      <c r="G640" s="19">
        <v>43</v>
      </c>
      <c r="H640" s="19">
        <v>0</v>
      </c>
      <c r="I640" s="19">
        <v>0</v>
      </c>
      <c r="T640" s="19">
        <f>Registro[[#This Row],[Mes 1]]+Registro[[#This Row],[Mes 2]]+Registro[[#This Row],[Mes 3]]</f>
        <v>0</v>
      </c>
      <c r="U640" s="19">
        <f>Registro[[#This Row],[Mes 4]]+Registro[[#This Row],[Mes 5]]+Registro[[#This Row],[Mes 6]]</f>
        <v>0</v>
      </c>
      <c r="V640" s="19">
        <f>Registro[[#This Row],[Mes 7]]+Registro[[#This Row],[Mes 8]]+Registro[[#This Row],[Mes 9]]</f>
        <v>0</v>
      </c>
      <c r="W640" s="20">
        <f>Registro[[#This Row],[Mes 10]]+Registro[[#This Row],[Mes 11]]+Registro[[#This Row],[Mes 12]]</f>
        <v>0</v>
      </c>
      <c r="X640" s="20">
        <f>SUM(Registro[[#This Row],[Trim I]],Registro[[#This Row],[Trim II]],Registro[[#This Row],[Trim III]],Registro[[#This Row],[Trim IV]])</f>
        <v>0</v>
      </c>
      <c r="Y640" s="22">
        <f>IFERROR((Registro[[#This Row],[Avance Total]]/Registro[[#This Row],[Meta]]),0)</f>
        <v>0</v>
      </c>
      <c r="Z640" s="22">
        <f>IFERROR((Registro[[#This Row],[Avance Total]]-Registro[[#This Row],[Línea Base 2025]])/Registro[[#This Row],[Línea Base 2025]],0)</f>
        <v>-1</v>
      </c>
      <c r="AA640" s="20">
        <v>2026</v>
      </c>
    </row>
    <row r="641" spans="1:27" hidden="1">
      <c r="A641" s="14">
        <v>1050</v>
      </c>
      <c r="B641" s="15" t="s">
        <v>85</v>
      </c>
      <c r="C641" s="16">
        <v>113</v>
      </c>
      <c r="D641" s="16" t="s">
        <v>179</v>
      </c>
      <c r="E641" s="17" t="s">
        <v>178</v>
      </c>
      <c r="F641" s="24">
        <v>13</v>
      </c>
      <c r="G641" s="19">
        <v>317</v>
      </c>
      <c r="H641" s="19">
        <v>0</v>
      </c>
      <c r="I641" s="19">
        <v>1</v>
      </c>
      <c r="T641" s="19">
        <f>Registro[[#This Row],[Mes 1]]+Registro[[#This Row],[Mes 2]]+Registro[[#This Row],[Mes 3]]</f>
        <v>1</v>
      </c>
      <c r="U641" s="19">
        <f>Registro[[#This Row],[Mes 4]]+Registro[[#This Row],[Mes 5]]+Registro[[#This Row],[Mes 6]]</f>
        <v>0</v>
      </c>
      <c r="V641" s="19">
        <f>Registro[[#This Row],[Mes 7]]+Registro[[#This Row],[Mes 8]]+Registro[[#This Row],[Mes 9]]</f>
        <v>0</v>
      </c>
      <c r="W641" s="20">
        <f>Registro[[#This Row],[Mes 10]]+Registro[[#This Row],[Mes 11]]+Registro[[#This Row],[Mes 12]]</f>
        <v>0</v>
      </c>
      <c r="X641" s="20">
        <f>SUM(Registro[[#This Row],[Trim I]],Registro[[#This Row],[Trim II]],Registro[[#This Row],[Trim III]],Registro[[#This Row],[Trim IV]])</f>
        <v>1</v>
      </c>
      <c r="Y641" s="22">
        <f>IFERROR((Registro[[#This Row],[Avance Total]]/Registro[[#This Row],[Meta]]),0)</f>
        <v>3.1545741324921135E-3</v>
      </c>
      <c r="Z641" s="22">
        <f>IFERROR((Registro[[#This Row],[Avance Total]]-Registro[[#This Row],[Línea Base 2025]])/Registro[[#This Row],[Línea Base 2025]],0)</f>
        <v>-0.92307692307692313</v>
      </c>
      <c r="AA641" s="20">
        <v>2026</v>
      </c>
    </row>
    <row r="642" spans="1:27" hidden="1">
      <c r="A642" s="14">
        <v>1050</v>
      </c>
      <c r="B642" s="15" t="s">
        <v>85</v>
      </c>
      <c r="C642" s="16">
        <v>114</v>
      </c>
      <c r="D642" s="16" t="s">
        <v>181</v>
      </c>
      <c r="E642" s="17" t="s">
        <v>180</v>
      </c>
      <c r="F642" s="24">
        <v>0</v>
      </c>
      <c r="G642" s="19">
        <v>18</v>
      </c>
      <c r="H642" s="19">
        <v>1</v>
      </c>
      <c r="I642" s="19">
        <v>0</v>
      </c>
      <c r="T642" s="19">
        <f>Registro[[#This Row],[Mes 1]]+Registro[[#This Row],[Mes 2]]+Registro[[#This Row],[Mes 3]]</f>
        <v>1</v>
      </c>
      <c r="U642" s="19">
        <f>Registro[[#This Row],[Mes 4]]+Registro[[#This Row],[Mes 5]]+Registro[[#This Row],[Mes 6]]</f>
        <v>0</v>
      </c>
      <c r="V642" s="19">
        <f>Registro[[#This Row],[Mes 7]]+Registro[[#This Row],[Mes 8]]+Registro[[#This Row],[Mes 9]]</f>
        <v>0</v>
      </c>
      <c r="W642" s="20">
        <f>Registro[[#This Row],[Mes 10]]+Registro[[#This Row],[Mes 11]]+Registro[[#This Row],[Mes 12]]</f>
        <v>0</v>
      </c>
      <c r="X642" s="20">
        <f>SUM(Registro[[#This Row],[Trim I]],Registro[[#This Row],[Trim II]],Registro[[#This Row],[Trim III]],Registro[[#This Row],[Trim IV]])</f>
        <v>1</v>
      </c>
      <c r="Y642" s="22">
        <f>IFERROR((Registro[[#This Row],[Avance Total]]/Registro[[#This Row],[Meta]]),0)</f>
        <v>5.5555555555555552E-2</v>
      </c>
      <c r="Z642" s="22">
        <f>IFERROR((Registro[[#This Row],[Avance Total]]-Registro[[#This Row],[Línea Base 2025]])/Registro[[#This Row],[Línea Base 2025]],0)</f>
        <v>0</v>
      </c>
      <c r="AA642" s="20">
        <v>2026</v>
      </c>
    </row>
    <row r="643" spans="1:27" hidden="1">
      <c r="A643" s="14">
        <v>1050</v>
      </c>
      <c r="B643" s="15" t="s">
        <v>85</v>
      </c>
      <c r="C643" s="16">
        <v>115</v>
      </c>
      <c r="D643" s="16" t="s">
        <v>183</v>
      </c>
      <c r="E643" s="17" t="s">
        <v>182</v>
      </c>
      <c r="F643" s="24">
        <v>0</v>
      </c>
      <c r="G643" s="19">
        <v>16</v>
      </c>
      <c r="H643" s="19">
        <v>0</v>
      </c>
      <c r="I643" s="19">
        <v>0</v>
      </c>
      <c r="T643" s="19">
        <f>Registro[[#This Row],[Mes 1]]+Registro[[#This Row],[Mes 2]]+Registro[[#This Row],[Mes 3]]</f>
        <v>0</v>
      </c>
      <c r="U643" s="19">
        <f>Registro[[#This Row],[Mes 4]]+Registro[[#This Row],[Mes 5]]+Registro[[#This Row],[Mes 6]]</f>
        <v>0</v>
      </c>
      <c r="V643" s="19">
        <f>Registro[[#This Row],[Mes 7]]+Registro[[#This Row],[Mes 8]]+Registro[[#This Row],[Mes 9]]</f>
        <v>0</v>
      </c>
      <c r="W643" s="20">
        <f>Registro[[#This Row],[Mes 10]]+Registro[[#This Row],[Mes 11]]+Registro[[#This Row],[Mes 12]]</f>
        <v>0</v>
      </c>
      <c r="X643" s="20">
        <f>SUM(Registro[[#This Row],[Trim I]],Registro[[#This Row],[Trim II]],Registro[[#This Row],[Trim III]],Registro[[#This Row],[Trim IV]])</f>
        <v>0</v>
      </c>
      <c r="Y643" s="22">
        <f>IFERROR((Registro[[#This Row],[Avance Total]]/Registro[[#This Row],[Meta]]),0)</f>
        <v>0</v>
      </c>
      <c r="Z643" s="22">
        <f>IFERROR((Registro[[#This Row],[Avance Total]]-Registro[[#This Row],[Línea Base 2025]])/Registro[[#This Row],[Línea Base 2025]],0)</f>
        <v>0</v>
      </c>
      <c r="AA643" s="20">
        <v>2026</v>
      </c>
    </row>
    <row r="644" spans="1:27">
      <c r="A644" s="14">
        <v>1050</v>
      </c>
      <c r="B644" s="15" t="s">
        <v>85</v>
      </c>
      <c r="C644" s="16">
        <v>116</v>
      </c>
      <c r="D644" s="16" t="s">
        <v>185</v>
      </c>
      <c r="E644" s="17" t="s">
        <v>184</v>
      </c>
      <c r="F644" s="24">
        <v>2</v>
      </c>
      <c r="G644" s="19">
        <v>5</v>
      </c>
      <c r="H644" s="19">
        <v>0</v>
      </c>
      <c r="I644" s="19">
        <v>0</v>
      </c>
      <c r="T644" s="19">
        <f>Registro[[#This Row],[Mes 1]]+Registro[[#This Row],[Mes 2]]+Registro[[#This Row],[Mes 3]]</f>
        <v>0</v>
      </c>
      <c r="U644" s="19">
        <f>Registro[[#This Row],[Mes 4]]+Registro[[#This Row],[Mes 5]]+Registro[[#This Row],[Mes 6]]</f>
        <v>0</v>
      </c>
      <c r="V644" s="19">
        <f>Registro[[#This Row],[Mes 7]]+Registro[[#This Row],[Mes 8]]+Registro[[#This Row],[Mes 9]]</f>
        <v>0</v>
      </c>
      <c r="W644" s="20">
        <f>Registro[[#This Row],[Mes 10]]+Registro[[#This Row],[Mes 11]]+Registro[[#This Row],[Mes 12]]</f>
        <v>0</v>
      </c>
      <c r="X644" s="20">
        <f>SUM(Registro[[#This Row],[Trim I]],Registro[[#This Row],[Trim II]],Registro[[#This Row],[Trim III]],Registro[[#This Row],[Trim IV]])</f>
        <v>0</v>
      </c>
      <c r="Y644" s="22">
        <f>IFERROR((Registro[[#This Row],[Avance Total]]/Registro[[#This Row],[Meta]]),0)</f>
        <v>0</v>
      </c>
      <c r="Z644" s="22">
        <f>IFERROR((Registro[[#This Row],[Avance Total]]-Registro[[#This Row],[Línea Base 2025]])/Registro[[#This Row],[Línea Base 2025]],0)</f>
        <v>-1</v>
      </c>
      <c r="AA644" s="20">
        <v>2026</v>
      </c>
    </row>
    <row r="645" spans="1:27" hidden="1">
      <c r="A645" s="14">
        <v>1050</v>
      </c>
      <c r="B645" s="15" t="s">
        <v>85</v>
      </c>
      <c r="C645" s="16">
        <v>117</v>
      </c>
      <c r="D645" s="16" t="s">
        <v>187</v>
      </c>
      <c r="E645" s="17" t="s">
        <v>186</v>
      </c>
      <c r="F645" s="24">
        <v>0</v>
      </c>
      <c r="G645" s="19">
        <v>2</v>
      </c>
      <c r="H645" s="19">
        <v>0</v>
      </c>
      <c r="I645" s="19">
        <v>0</v>
      </c>
      <c r="T645" s="19">
        <f>Registro[[#This Row],[Mes 1]]+Registro[[#This Row],[Mes 2]]+Registro[[#This Row],[Mes 3]]</f>
        <v>0</v>
      </c>
      <c r="U645" s="19">
        <f>Registro[[#This Row],[Mes 4]]+Registro[[#This Row],[Mes 5]]+Registro[[#This Row],[Mes 6]]</f>
        <v>0</v>
      </c>
      <c r="V645" s="19">
        <f>Registro[[#This Row],[Mes 7]]+Registro[[#This Row],[Mes 8]]+Registro[[#This Row],[Mes 9]]</f>
        <v>0</v>
      </c>
      <c r="W645" s="20">
        <f>Registro[[#This Row],[Mes 10]]+Registro[[#This Row],[Mes 11]]+Registro[[#This Row],[Mes 12]]</f>
        <v>0</v>
      </c>
      <c r="X645" s="20">
        <f>SUM(Registro[[#This Row],[Trim I]],Registro[[#This Row],[Trim II]],Registro[[#This Row],[Trim III]],Registro[[#This Row],[Trim IV]])</f>
        <v>0</v>
      </c>
      <c r="Y645" s="22">
        <f>IFERROR((Registro[[#This Row],[Avance Total]]/Registro[[#This Row],[Meta]]),0)</f>
        <v>0</v>
      </c>
      <c r="Z645" s="22">
        <f>IFERROR((Registro[[#This Row],[Avance Total]]-Registro[[#This Row],[Línea Base 2025]])/Registro[[#This Row],[Línea Base 2025]],0)</f>
        <v>0</v>
      </c>
      <c r="AA645" s="20">
        <v>2026</v>
      </c>
    </row>
    <row r="646" spans="1:27" hidden="1">
      <c r="A646" s="14">
        <v>1050</v>
      </c>
      <c r="B646" s="15" t="s">
        <v>85</v>
      </c>
      <c r="C646" s="16">
        <v>118</v>
      </c>
      <c r="D646" s="16" t="s">
        <v>188</v>
      </c>
      <c r="E646" s="17" t="s">
        <v>9</v>
      </c>
      <c r="F646" s="24">
        <v>0</v>
      </c>
      <c r="G646" s="19">
        <v>0</v>
      </c>
      <c r="H646" s="19">
        <v>0</v>
      </c>
      <c r="I646" s="19">
        <v>0</v>
      </c>
      <c r="T646" s="19">
        <f>Registro[[#This Row],[Mes 1]]+Registro[[#This Row],[Mes 2]]+Registro[[#This Row],[Mes 3]]</f>
        <v>0</v>
      </c>
      <c r="U646" s="19">
        <f>Registro[[#This Row],[Mes 4]]+Registro[[#This Row],[Mes 5]]+Registro[[#This Row],[Mes 6]]</f>
        <v>0</v>
      </c>
      <c r="V646" s="19">
        <f>Registro[[#This Row],[Mes 7]]+Registro[[#This Row],[Mes 8]]+Registro[[#This Row],[Mes 9]]</f>
        <v>0</v>
      </c>
      <c r="W646" s="20">
        <f>Registro[[#This Row],[Mes 10]]+Registro[[#This Row],[Mes 11]]+Registro[[#This Row],[Mes 12]]</f>
        <v>0</v>
      </c>
      <c r="X646" s="20">
        <f>SUM(Registro[[#This Row],[Trim I]],Registro[[#This Row],[Trim II]],Registro[[#This Row],[Trim III]],Registro[[#This Row],[Trim IV]])</f>
        <v>0</v>
      </c>
      <c r="Y646" s="22">
        <f>IFERROR((Registro[[#This Row],[Avance Total]]/Registro[[#This Row],[Meta]]),0)</f>
        <v>0</v>
      </c>
      <c r="Z646" s="22">
        <f>IFERROR((Registro[[#This Row],[Avance Total]]-Registro[[#This Row],[Línea Base 2025]])/Registro[[#This Row],[Línea Base 2025]],0)</f>
        <v>0</v>
      </c>
      <c r="AA646" s="20">
        <v>2026</v>
      </c>
    </row>
    <row r="647" spans="1:27" hidden="1">
      <c r="A647" s="14">
        <v>1050</v>
      </c>
      <c r="B647" s="15" t="s">
        <v>85</v>
      </c>
      <c r="C647" s="16">
        <v>119</v>
      </c>
      <c r="D647" s="16" t="s">
        <v>190</v>
      </c>
      <c r="E647" s="17" t="s">
        <v>189</v>
      </c>
      <c r="F647" s="24">
        <v>0</v>
      </c>
      <c r="G647" s="19">
        <v>4</v>
      </c>
      <c r="H647" s="19">
        <v>0</v>
      </c>
      <c r="I647" s="19">
        <v>0</v>
      </c>
      <c r="T647" s="19">
        <f>Registro[[#This Row],[Mes 1]]+Registro[[#This Row],[Mes 2]]+Registro[[#This Row],[Mes 3]]</f>
        <v>0</v>
      </c>
      <c r="U647" s="19">
        <f>Registro[[#This Row],[Mes 4]]+Registro[[#This Row],[Mes 5]]+Registro[[#This Row],[Mes 6]]</f>
        <v>0</v>
      </c>
      <c r="V647" s="19">
        <f>Registro[[#This Row],[Mes 7]]+Registro[[#This Row],[Mes 8]]+Registro[[#This Row],[Mes 9]]</f>
        <v>0</v>
      </c>
      <c r="W647" s="20">
        <f>Registro[[#This Row],[Mes 10]]+Registro[[#This Row],[Mes 11]]+Registro[[#This Row],[Mes 12]]</f>
        <v>0</v>
      </c>
      <c r="X647" s="20">
        <f>SUM(Registro[[#This Row],[Trim I]],Registro[[#This Row],[Trim II]],Registro[[#This Row],[Trim III]],Registro[[#This Row],[Trim IV]])</f>
        <v>0</v>
      </c>
      <c r="Y647" s="22">
        <f>IFERROR((Registro[[#This Row],[Avance Total]]/Registro[[#This Row],[Meta]]),0)</f>
        <v>0</v>
      </c>
      <c r="Z647" s="22">
        <f>IFERROR((Registro[[#This Row],[Avance Total]]-Registro[[#This Row],[Línea Base 2025]])/Registro[[#This Row],[Línea Base 2025]],0)</f>
        <v>0</v>
      </c>
      <c r="AA647" s="20">
        <v>2026</v>
      </c>
    </row>
    <row r="648" spans="1:27" hidden="1">
      <c r="A648" s="14">
        <v>1050</v>
      </c>
      <c r="B648" s="15" t="s">
        <v>85</v>
      </c>
      <c r="C648" s="16">
        <v>120</v>
      </c>
      <c r="D648" s="16" t="s">
        <v>192</v>
      </c>
      <c r="E648" s="17" t="s">
        <v>191</v>
      </c>
      <c r="F648" s="24">
        <v>13</v>
      </c>
      <c r="G648" s="19">
        <v>13</v>
      </c>
      <c r="H648" s="19">
        <v>0</v>
      </c>
      <c r="I648" s="19">
        <v>0</v>
      </c>
      <c r="T648" s="19">
        <f>Registro[[#This Row],[Mes 1]]+Registro[[#This Row],[Mes 2]]+Registro[[#This Row],[Mes 3]]</f>
        <v>0</v>
      </c>
      <c r="U648" s="19">
        <f>Registro[[#This Row],[Mes 4]]+Registro[[#This Row],[Mes 5]]+Registro[[#This Row],[Mes 6]]</f>
        <v>0</v>
      </c>
      <c r="V648" s="19">
        <f>Registro[[#This Row],[Mes 7]]+Registro[[#This Row],[Mes 8]]+Registro[[#This Row],[Mes 9]]</f>
        <v>0</v>
      </c>
      <c r="W648" s="20">
        <f>Registro[[#This Row],[Mes 10]]+Registro[[#This Row],[Mes 11]]+Registro[[#This Row],[Mes 12]]</f>
        <v>0</v>
      </c>
      <c r="X648" s="20">
        <f>SUM(Registro[[#This Row],[Trim I]],Registro[[#This Row],[Trim II]],Registro[[#This Row],[Trim III]],Registro[[#This Row],[Trim IV]])</f>
        <v>0</v>
      </c>
      <c r="Y648" s="22">
        <f>IFERROR((Registro[[#This Row],[Avance Total]]/Registro[[#This Row],[Meta]]),0)</f>
        <v>0</v>
      </c>
      <c r="Z648" s="22">
        <f>IFERROR((Registro[[#This Row],[Avance Total]]-Registro[[#This Row],[Línea Base 2025]])/Registro[[#This Row],[Línea Base 2025]],0)</f>
        <v>-1</v>
      </c>
      <c r="AA648" s="20">
        <v>2026</v>
      </c>
    </row>
    <row r="649" spans="1:27" hidden="1">
      <c r="A649" s="14">
        <v>1050</v>
      </c>
      <c r="B649" s="15" t="s">
        <v>85</v>
      </c>
      <c r="C649" s="16">
        <v>121</v>
      </c>
      <c r="D649" s="16" t="s">
        <v>194</v>
      </c>
      <c r="E649" s="17" t="s">
        <v>193</v>
      </c>
      <c r="F649" s="24">
        <v>0</v>
      </c>
      <c r="G649" s="19">
        <v>0</v>
      </c>
      <c r="H649" s="19">
        <v>0</v>
      </c>
      <c r="I649" s="19">
        <v>0</v>
      </c>
      <c r="T649" s="19">
        <f>Registro[[#This Row],[Mes 1]]+Registro[[#This Row],[Mes 2]]+Registro[[#This Row],[Mes 3]]</f>
        <v>0</v>
      </c>
      <c r="U649" s="19">
        <f>Registro[[#This Row],[Mes 4]]+Registro[[#This Row],[Mes 5]]+Registro[[#This Row],[Mes 6]]</f>
        <v>0</v>
      </c>
      <c r="V649" s="19">
        <f>Registro[[#This Row],[Mes 7]]+Registro[[#This Row],[Mes 8]]+Registro[[#This Row],[Mes 9]]</f>
        <v>0</v>
      </c>
      <c r="W649" s="20">
        <f>Registro[[#This Row],[Mes 10]]+Registro[[#This Row],[Mes 11]]+Registro[[#This Row],[Mes 12]]</f>
        <v>0</v>
      </c>
      <c r="X649" s="20">
        <f>SUM(Registro[[#This Row],[Trim I]],Registro[[#This Row],[Trim II]],Registro[[#This Row],[Trim III]],Registro[[#This Row],[Trim IV]])</f>
        <v>0</v>
      </c>
      <c r="Y649" s="22">
        <f>IFERROR((Registro[[#This Row],[Avance Total]]/Registro[[#This Row],[Meta]]),0)</f>
        <v>0</v>
      </c>
      <c r="Z649" s="22">
        <f>IFERROR((Registro[[#This Row],[Avance Total]]-Registro[[#This Row],[Línea Base 2025]])/Registro[[#This Row],[Línea Base 2025]],0)</f>
        <v>0</v>
      </c>
      <c r="AA649" s="20">
        <v>2026</v>
      </c>
    </row>
    <row r="650" spans="1:27" hidden="1">
      <c r="A650" s="14">
        <v>1050</v>
      </c>
      <c r="B650" s="15" t="s">
        <v>85</v>
      </c>
      <c r="C650" s="16">
        <v>122</v>
      </c>
      <c r="D650" s="16" t="s">
        <v>196</v>
      </c>
      <c r="E650" s="17" t="s">
        <v>195</v>
      </c>
      <c r="F650" s="24">
        <v>2</v>
      </c>
      <c r="G650" s="19">
        <v>5</v>
      </c>
      <c r="H650" s="19">
        <v>0</v>
      </c>
      <c r="I650" s="19">
        <v>0</v>
      </c>
      <c r="T650" s="19">
        <f>Registro[[#This Row],[Mes 1]]+Registro[[#This Row],[Mes 2]]+Registro[[#This Row],[Mes 3]]</f>
        <v>0</v>
      </c>
      <c r="U650" s="19">
        <f>Registro[[#This Row],[Mes 4]]+Registro[[#This Row],[Mes 5]]+Registro[[#This Row],[Mes 6]]</f>
        <v>0</v>
      </c>
      <c r="V650" s="19">
        <f>Registro[[#This Row],[Mes 7]]+Registro[[#This Row],[Mes 8]]+Registro[[#This Row],[Mes 9]]</f>
        <v>0</v>
      </c>
      <c r="W650" s="20">
        <f>Registro[[#This Row],[Mes 10]]+Registro[[#This Row],[Mes 11]]+Registro[[#This Row],[Mes 12]]</f>
        <v>0</v>
      </c>
      <c r="X650" s="20">
        <f>SUM(Registro[[#This Row],[Trim I]],Registro[[#This Row],[Trim II]],Registro[[#This Row],[Trim III]],Registro[[#This Row],[Trim IV]])</f>
        <v>0</v>
      </c>
      <c r="Y650" s="22">
        <f>IFERROR((Registro[[#This Row],[Avance Total]]/Registro[[#This Row],[Meta]]),0)</f>
        <v>0</v>
      </c>
      <c r="Z650" s="22">
        <f>IFERROR((Registro[[#This Row],[Avance Total]]-Registro[[#This Row],[Línea Base 2025]])/Registro[[#This Row],[Línea Base 2025]],0)</f>
        <v>-1</v>
      </c>
      <c r="AA650" s="20">
        <v>2026</v>
      </c>
    </row>
    <row r="651" spans="1:27" hidden="1">
      <c r="A651" s="14">
        <v>1050</v>
      </c>
      <c r="B651" s="15" t="s">
        <v>85</v>
      </c>
      <c r="C651" s="16">
        <v>123</v>
      </c>
      <c r="D651" s="16" t="s">
        <v>198</v>
      </c>
      <c r="E651" s="17" t="s">
        <v>197</v>
      </c>
      <c r="F651" s="24">
        <v>0</v>
      </c>
      <c r="G651" s="19">
        <v>5</v>
      </c>
      <c r="H651" s="19">
        <v>0</v>
      </c>
      <c r="I651" s="19">
        <v>0</v>
      </c>
      <c r="T651" s="19">
        <f>Registro[[#This Row],[Mes 1]]+Registro[[#This Row],[Mes 2]]+Registro[[#This Row],[Mes 3]]</f>
        <v>0</v>
      </c>
      <c r="U651" s="19">
        <f>Registro[[#This Row],[Mes 4]]+Registro[[#This Row],[Mes 5]]+Registro[[#This Row],[Mes 6]]</f>
        <v>0</v>
      </c>
      <c r="V651" s="19">
        <f>Registro[[#This Row],[Mes 7]]+Registro[[#This Row],[Mes 8]]+Registro[[#This Row],[Mes 9]]</f>
        <v>0</v>
      </c>
      <c r="W651" s="20">
        <f>Registro[[#This Row],[Mes 10]]+Registro[[#This Row],[Mes 11]]+Registro[[#This Row],[Mes 12]]</f>
        <v>0</v>
      </c>
      <c r="X651" s="20">
        <f>SUM(Registro[[#This Row],[Trim I]],Registro[[#This Row],[Trim II]],Registro[[#This Row],[Trim III]],Registro[[#This Row],[Trim IV]])</f>
        <v>0</v>
      </c>
      <c r="Y651" s="22">
        <f>IFERROR((Registro[[#This Row],[Avance Total]]/Registro[[#This Row],[Meta]]),0)</f>
        <v>0</v>
      </c>
      <c r="Z651" s="22">
        <f>IFERROR((Registro[[#This Row],[Avance Total]]-Registro[[#This Row],[Línea Base 2025]])/Registro[[#This Row],[Línea Base 2025]],0)</f>
        <v>0</v>
      </c>
      <c r="AA651" s="20">
        <v>2026</v>
      </c>
    </row>
    <row r="652" spans="1:27" hidden="1">
      <c r="A652" s="14">
        <v>1051</v>
      </c>
      <c r="B652" s="15" t="s">
        <v>13</v>
      </c>
      <c r="C652" s="16">
        <v>111</v>
      </c>
      <c r="D652" s="16" t="s">
        <v>171</v>
      </c>
      <c r="E652" s="17" t="s">
        <v>172</v>
      </c>
      <c r="F652" s="24">
        <v>3</v>
      </c>
      <c r="G652" s="19">
        <v>121</v>
      </c>
      <c r="H652" s="19">
        <v>0</v>
      </c>
      <c r="I652" s="19">
        <v>0</v>
      </c>
      <c r="T652" s="19">
        <f>Registro[[#This Row],[Mes 1]]+Registro[[#This Row],[Mes 2]]+Registro[[#This Row],[Mes 3]]</f>
        <v>0</v>
      </c>
      <c r="U652" s="19">
        <f>Registro[[#This Row],[Mes 4]]+Registro[[#This Row],[Mes 5]]+Registro[[#This Row],[Mes 6]]</f>
        <v>0</v>
      </c>
      <c r="V652" s="19">
        <f>Registro[[#This Row],[Mes 7]]+Registro[[#This Row],[Mes 8]]+Registro[[#This Row],[Mes 9]]</f>
        <v>0</v>
      </c>
      <c r="W652" s="20">
        <f>Registro[[#This Row],[Mes 10]]+Registro[[#This Row],[Mes 11]]+Registro[[#This Row],[Mes 12]]</f>
        <v>0</v>
      </c>
      <c r="X652" s="20">
        <f>SUM(Registro[[#This Row],[Trim I]],Registro[[#This Row],[Trim II]],Registro[[#This Row],[Trim III]],Registro[[#This Row],[Trim IV]])</f>
        <v>0</v>
      </c>
      <c r="Y652" s="22">
        <f>IFERROR((Registro[[#This Row],[Avance Total]]/Registro[[#This Row],[Meta]]),0)</f>
        <v>0</v>
      </c>
      <c r="Z652" s="22">
        <f>IFERROR((Registro[[#This Row],[Avance Total]]-Registro[[#This Row],[Línea Base 2025]])/Registro[[#This Row],[Línea Base 2025]],0)</f>
        <v>-1</v>
      </c>
      <c r="AA652" s="20">
        <v>2026</v>
      </c>
    </row>
    <row r="653" spans="1:27" hidden="1">
      <c r="A653" s="14">
        <v>1051</v>
      </c>
      <c r="B653" s="15" t="s">
        <v>13</v>
      </c>
      <c r="C653" s="16">
        <v>112</v>
      </c>
      <c r="D653" s="16" t="s">
        <v>173</v>
      </c>
      <c r="E653" s="17" t="s">
        <v>7</v>
      </c>
      <c r="F653" s="24">
        <v>1</v>
      </c>
      <c r="G653" s="19">
        <v>4</v>
      </c>
      <c r="H653" s="19">
        <v>0</v>
      </c>
      <c r="I653" s="19">
        <v>0</v>
      </c>
      <c r="T653" s="19">
        <f>Registro[[#This Row],[Mes 1]]+Registro[[#This Row],[Mes 2]]+Registro[[#This Row],[Mes 3]]</f>
        <v>0</v>
      </c>
      <c r="U653" s="19">
        <f>Registro[[#This Row],[Mes 4]]+Registro[[#This Row],[Mes 5]]+Registro[[#This Row],[Mes 6]]</f>
        <v>0</v>
      </c>
      <c r="V653" s="19">
        <f>Registro[[#This Row],[Mes 7]]+Registro[[#This Row],[Mes 8]]+Registro[[#This Row],[Mes 9]]</f>
        <v>0</v>
      </c>
      <c r="W653" s="20">
        <f>Registro[[#This Row],[Mes 10]]+Registro[[#This Row],[Mes 11]]+Registro[[#This Row],[Mes 12]]</f>
        <v>0</v>
      </c>
      <c r="X653" s="20">
        <f>SUM(Registro[[#This Row],[Trim I]],Registro[[#This Row],[Trim II]],Registro[[#This Row],[Trim III]],Registro[[#This Row],[Trim IV]])</f>
        <v>0</v>
      </c>
      <c r="Y653" s="22">
        <f>IFERROR((Registro[[#This Row],[Avance Total]]/Registro[[#This Row],[Meta]]),0)</f>
        <v>0</v>
      </c>
      <c r="Z653" s="22">
        <f>IFERROR((Registro[[#This Row],[Avance Total]]-Registro[[#This Row],[Línea Base 2025]])/Registro[[#This Row],[Línea Base 2025]],0)</f>
        <v>-1</v>
      </c>
      <c r="AA653" s="20">
        <v>2026</v>
      </c>
    </row>
    <row r="654" spans="1:27" hidden="1">
      <c r="A654" s="14">
        <v>1051</v>
      </c>
      <c r="B654" s="15" t="s">
        <v>13</v>
      </c>
      <c r="C654" s="16">
        <v>113</v>
      </c>
      <c r="D654" s="16" t="s">
        <v>179</v>
      </c>
      <c r="E654" s="17" t="s">
        <v>178</v>
      </c>
      <c r="F654" s="24">
        <v>9</v>
      </c>
      <c r="G654" s="19">
        <v>75</v>
      </c>
      <c r="H654" s="19">
        <v>0</v>
      </c>
      <c r="I654" s="19">
        <v>0</v>
      </c>
      <c r="T654" s="19">
        <f>Registro[[#This Row],[Mes 1]]+Registro[[#This Row],[Mes 2]]+Registro[[#This Row],[Mes 3]]</f>
        <v>0</v>
      </c>
      <c r="U654" s="19">
        <f>Registro[[#This Row],[Mes 4]]+Registro[[#This Row],[Mes 5]]+Registro[[#This Row],[Mes 6]]</f>
        <v>0</v>
      </c>
      <c r="V654" s="19">
        <f>Registro[[#This Row],[Mes 7]]+Registro[[#This Row],[Mes 8]]+Registro[[#This Row],[Mes 9]]</f>
        <v>0</v>
      </c>
      <c r="W654" s="20">
        <f>Registro[[#This Row],[Mes 10]]+Registro[[#This Row],[Mes 11]]+Registro[[#This Row],[Mes 12]]</f>
        <v>0</v>
      </c>
      <c r="X654" s="20">
        <f>SUM(Registro[[#This Row],[Trim I]],Registro[[#This Row],[Trim II]],Registro[[#This Row],[Trim III]],Registro[[#This Row],[Trim IV]])</f>
        <v>0</v>
      </c>
      <c r="Y654" s="22">
        <f>IFERROR((Registro[[#This Row],[Avance Total]]/Registro[[#This Row],[Meta]]),0)</f>
        <v>0</v>
      </c>
      <c r="Z654" s="22">
        <f>IFERROR((Registro[[#This Row],[Avance Total]]-Registro[[#This Row],[Línea Base 2025]])/Registro[[#This Row],[Línea Base 2025]],0)</f>
        <v>-1</v>
      </c>
      <c r="AA654" s="20">
        <v>2026</v>
      </c>
    </row>
    <row r="655" spans="1:27" hidden="1">
      <c r="A655" s="14">
        <v>1051</v>
      </c>
      <c r="B655" s="15" t="s">
        <v>13</v>
      </c>
      <c r="C655" s="16">
        <v>114</v>
      </c>
      <c r="D655" s="16" t="s">
        <v>181</v>
      </c>
      <c r="E655" s="17" t="s">
        <v>180</v>
      </c>
      <c r="F655" s="24">
        <v>0</v>
      </c>
      <c r="G655" s="19">
        <v>0</v>
      </c>
      <c r="H655" s="19">
        <v>0</v>
      </c>
      <c r="I655" s="19">
        <v>0</v>
      </c>
      <c r="T655" s="19">
        <f>Registro[[#This Row],[Mes 1]]+Registro[[#This Row],[Mes 2]]+Registro[[#This Row],[Mes 3]]</f>
        <v>0</v>
      </c>
      <c r="U655" s="19">
        <f>Registro[[#This Row],[Mes 4]]+Registro[[#This Row],[Mes 5]]+Registro[[#This Row],[Mes 6]]</f>
        <v>0</v>
      </c>
      <c r="V655" s="19">
        <f>Registro[[#This Row],[Mes 7]]+Registro[[#This Row],[Mes 8]]+Registro[[#This Row],[Mes 9]]</f>
        <v>0</v>
      </c>
      <c r="W655" s="20">
        <f>Registro[[#This Row],[Mes 10]]+Registro[[#This Row],[Mes 11]]+Registro[[#This Row],[Mes 12]]</f>
        <v>0</v>
      </c>
      <c r="X655" s="20">
        <f>SUM(Registro[[#This Row],[Trim I]],Registro[[#This Row],[Trim II]],Registro[[#This Row],[Trim III]],Registro[[#This Row],[Trim IV]])</f>
        <v>0</v>
      </c>
      <c r="Y655" s="22">
        <f>IFERROR((Registro[[#This Row],[Avance Total]]/Registro[[#This Row],[Meta]]),0)</f>
        <v>0</v>
      </c>
      <c r="Z655" s="22">
        <f>IFERROR((Registro[[#This Row],[Avance Total]]-Registro[[#This Row],[Línea Base 2025]])/Registro[[#This Row],[Línea Base 2025]],0)</f>
        <v>0</v>
      </c>
      <c r="AA655" s="20">
        <v>2026</v>
      </c>
    </row>
    <row r="656" spans="1:27" hidden="1">
      <c r="A656" s="14">
        <v>1051</v>
      </c>
      <c r="B656" s="15" t="s">
        <v>13</v>
      </c>
      <c r="C656" s="16">
        <v>115</v>
      </c>
      <c r="D656" s="16" t="s">
        <v>183</v>
      </c>
      <c r="E656" s="17" t="s">
        <v>182</v>
      </c>
      <c r="F656" s="24">
        <v>0</v>
      </c>
      <c r="G656" s="19">
        <v>0</v>
      </c>
      <c r="H656" s="19">
        <v>0</v>
      </c>
      <c r="I656" s="19">
        <v>0</v>
      </c>
      <c r="T656" s="19">
        <f>Registro[[#This Row],[Mes 1]]+Registro[[#This Row],[Mes 2]]+Registro[[#This Row],[Mes 3]]</f>
        <v>0</v>
      </c>
      <c r="U656" s="19">
        <f>Registro[[#This Row],[Mes 4]]+Registro[[#This Row],[Mes 5]]+Registro[[#This Row],[Mes 6]]</f>
        <v>0</v>
      </c>
      <c r="V656" s="19">
        <f>Registro[[#This Row],[Mes 7]]+Registro[[#This Row],[Mes 8]]+Registro[[#This Row],[Mes 9]]</f>
        <v>0</v>
      </c>
      <c r="W656" s="20">
        <f>Registro[[#This Row],[Mes 10]]+Registro[[#This Row],[Mes 11]]+Registro[[#This Row],[Mes 12]]</f>
        <v>0</v>
      </c>
      <c r="X656" s="20">
        <f>SUM(Registro[[#This Row],[Trim I]],Registro[[#This Row],[Trim II]],Registro[[#This Row],[Trim III]],Registro[[#This Row],[Trim IV]])</f>
        <v>0</v>
      </c>
      <c r="Y656" s="22">
        <f>IFERROR((Registro[[#This Row],[Avance Total]]/Registro[[#This Row],[Meta]]),0)</f>
        <v>0</v>
      </c>
      <c r="Z656" s="22">
        <f>IFERROR((Registro[[#This Row],[Avance Total]]-Registro[[#This Row],[Línea Base 2025]])/Registro[[#This Row],[Línea Base 2025]],0)</f>
        <v>0</v>
      </c>
      <c r="AA656" s="20">
        <v>2026</v>
      </c>
    </row>
    <row r="657" spans="1:27">
      <c r="A657" s="14">
        <v>1051</v>
      </c>
      <c r="B657" s="15" t="s">
        <v>13</v>
      </c>
      <c r="C657" s="16">
        <v>116</v>
      </c>
      <c r="D657" s="16" t="s">
        <v>185</v>
      </c>
      <c r="E657" s="17" t="s">
        <v>184</v>
      </c>
      <c r="F657" s="24">
        <v>0</v>
      </c>
      <c r="G657" s="19">
        <v>1</v>
      </c>
      <c r="H657" s="19">
        <v>0</v>
      </c>
      <c r="I657" s="19">
        <v>0</v>
      </c>
      <c r="T657" s="19">
        <f>Registro[[#This Row],[Mes 1]]+Registro[[#This Row],[Mes 2]]+Registro[[#This Row],[Mes 3]]</f>
        <v>0</v>
      </c>
      <c r="U657" s="19">
        <f>Registro[[#This Row],[Mes 4]]+Registro[[#This Row],[Mes 5]]+Registro[[#This Row],[Mes 6]]</f>
        <v>0</v>
      </c>
      <c r="V657" s="19">
        <f>Registro[[#This Row],[Mes 7]]+Registro[[#This Row],[Mes 8]]+Registro[[#This Row],[Mes 9]]</f>
        <v>0</v>
      </c>
      <c r="W657" s="20">
        <f>Registro[[#This Row],[Mes 10]]+Registro[[#This Row],[Mes 11]]+Registro[[#This Row],[Mes 12]]</f>
        <v>0</v>
      </c>
      <c r="X657" s="20">
        <f>SUM(Registro[[#This Row],[Trim I]],Registro[[#This Row],[Trim II]],Registro[[#This Row],[Trim III]],Registro[[#This Row],[Trim IV]])</f>
        <v>0</v>
      </c>
      <c r="Y657" s="22">
        <f>IFERROR((Registro[[#This Row],[Avance Total]]/Registro[[#This Row],[Meta]]),0)</f>
        <v>0</v>
      </c>
      <c r="Z657" s="22">
        <f>IFERROR((Registro[[#This Row],[Avance Total]]-Registro[[#This Row],[Línea Base 2025]])/Registro[[#This Row],[Línea Base 2025]],0)</f>
        <v>0</v>
      </c>
      <c r="AA657" s="20">
        <v>2026</v>
      </c>
    </row>
    <row r="658" spans="1:27" hidden="1">
      <c r="A658" s="14">
        <v>1051</v>
      </c>
      <c r="B658" s="15" t="s">
        <v>13</v>
      </c>
      <c r="C658" s="16">
        <v>117</v>
      </c>
      <c r="D658" s="16" t="s">
        <v>187</v>
      </c>
      <c r="E658" s="17" t="s">
        <v>186</v>
      </c>
      <c r="F658" s="24">
        <v>0</v>
      </c>
      <c r="G658" s="19">
        <v>0</v>
      </c>
      <c r="H658" s="19">
        <v>0</v>
      </c>
      <c r="I658" s="19">
        <v>0</v>
      </c>
      <c r="T658" s="19">
        <f>Registro[[#This Row],[Mes 1]]+Registro[[#This Row],[Mes 2]]+Registro[[#This Row],[Mes 3]]</f>
        <v>0</v>
      </c>
      <c r="U658" s="19">
        <f>Registro[[#This Row],[Mes 4]]+Registro[[#This Row],[Mes 5]]+Registro[[#This Row],[Mes 6]]</f>
        <v>0</v>
      </c>
      <c r="V658" s="19">
        <f>Registro[[#This Row],[Mes 7]]+Registro[[#This Row],[Mes 8]]+Registro[[#This Row],[Mes 9]]</f>
        <v>0</v>
      </c>
      <c r="W658" s="20">
        <f>Registro[[#This Row],[Mes 10]]+Registro[[#This Row],[Mes 11]]+Registro[[#This Row],[Mes 12]]</f>
        <v>0</v>
      </c>
      <c r="X658" s="20">
        <f>SUM(Registro[[#This Row],[Trim I]],Registro[[#This Row],[Trim II]],Registro[[#This Row],[Trim III]],Registro[[#This Row],[Trim IV]])</f>
        <v>0</v>
      </c>
      <c r="Y658" s="22">
        <f>IFERROR((Registro[[#This Row],[Avance Total]]/Registro[[#This Row],[Meta]]),0)</f>
        <v>0</v>
      </c>
      <c r="Z658" s="22">
        <f>IFERROR((Registro[[#This Row],[Avance Total]]-Registro[[#This Row],[Línea Base 2025]])/Registro[[#This Row],[Línea Base 2025]],0)</f>
        <v>0</v>
      </c>
      <c r="AA658" s="20">
        <v>2026</v>
      </c>
    </row>
    <row r="659" spans="1:27" hidden="1">
      <c r="A659" s="14">
        <v>1051</v>
      </c>
      <c r="B659" s="15" t="s">
        <v>13</v>
      </c>
      <c r="C659" s="16">
        <v>118</v>
      </c>
      <c r="D659" s="16" t="s">
        <v>188</v>
      </c>
      <c r="E659" s="17" t="s">
        <v>9</v>
      </c>
      <c r="F659" s="24">
        <v>0</v>
      </c>
      <c r="G659" s="19">
        <v>0</v>
      </c>
      <c r="H659" s="19">
        <v>0</v>
      </c>
      <c r="I659" s="19">
        <v>0</v>
      </c>
      <c r="T659" s="19">
        <f>Registro[[#This Row],[Mes 1]]+Registro[[#This Row],[Mes 2]]+Registro[[#This Row],[Mes 3]]</f>
        <v>0</v>
      </c>
      <c r="U659" s="19">
        <f>Registro[[#This Row],[Mes 4]]+Registro[[#This Row],[Mes 5]]+Registro[[#This Row],[Mes 6]]</f>
        <v>0</v>
      </c>
      <c r="V659" s="19">
        <f>Registro[[#This Row],[Mes 7]]+Registro[[#This Row],[Mes 8]]+Registro[[#This Row],[Mes 9]]</f>
        <v>0</v>
      </c>
      <c r="W659" s="20">
        <f>Registro[[#This Row],[Mes 10]]+Registro[[#This Row],[Mes 11]]+Registro[[#This Row],[Mes 12]]</f>
        <v>0</v>
      </c>
      <c r="X659" s="20">
        <f>SUM(Registro[[#This Row],[Trim I]],Registro[[#This Row],[Trim II]],Registro[[#This Row],[Trim III]],Registro[[#This Row],[Trim IV]])</f>
        <v>0</v>
      </c>
      <c r="Y659" s="22">
        <f>IFERROR((Registro[[#This Row],[Avance Total]]/Registro[[#This Row],[Meta]]),0)</f>
        <v>0</v>
      </c>
      <c r="Z659" s="22">
        <f>IFERROR((Registro[[#This Row],[Avance Total]]-Registro[[#This Row],[Línea Base 2025]])/Registro[[#This Row],[Línea Base 2025]],0)</f>
        <v>0</v>
      </c>
      <c r="AA659" s="20">
        <v>2026</v>
      </c>
    </row>
    <row r="660" spans="1:27" hidden="1">
      <c r="A660" s="14">
        <v>1051</v>
      </c>
      <c r="B660" s="15" t="s">
        <v>13</v>
      </c>
      <c r="C660" s="16">
        <v>119</v>
      </c>
      <c r="D660" s="16" t="s">
        <v>190</v>
      </c>
      <c r="E660" s="17" t="s">
        <v>189</v>
      </c>
      <c r="F660" s="24">
        <v>0</v>
      </c>
      <c r="G660" s="19">
        <v>1</v>
      </c>
      <c r="H660" s="19">
        <v>0</v>
      </c>
      <c r="I660" s="19">
        <v>0</v>
      </c>
      <c r="T660" s="19">
        <f>Registro[[#This Row],[Mes 1]]+Registro[[#This Row],[Mes 2]]+Registro[[#This Row],[Mes 3]]</f>
        <v>0</v>
      </c>
      <c r="U660" s="19">
        <f>Registro[[#This Row],[Mes 4]]+Registro[[#This Row],[Mes 5]]+Registro[[#This Row],[Mes 6]]</f>
        <v>0</v>
      </c>
      <c r="V660" s="19">
        <f>Registro[[#This Row],[Mes 7]]+Registro[[#This Row],[Mes 8]]+Registro[[#This Row],[Mes 9]]</f>
        <v>0</v>
      </c>
      <c r="W660" s="20">
        <f>Registro[[#This Row],[Mes 10]]+Registro[[#This Row],[Mes 11]]+Registro[[#This Row],[Mes 12]]</f>
        <v>0</v>
      </c>
      <c r="X660" s="20">
        <f>SUM(Registro[[#This Row],[Trim I]],Registro[[#This Row],[Trim II]],Registro[[#This Row],[Trim III]],Registro[[#This Row],[Trim IV]])</f>
        <v>0</v>
      </c>
      <c r="Y660" s="22">
        <f>IFERROR((Registro[[#This Row],[Avance Total]]/Registro[[#This Row],[Meta]]),0)</f>
        <v>0</v>
      </c>
      <c r="Z660" s="22">
        <f>IFERROR((Registro[[#This Row],[Avance Total]]-Registro[[#This Row],[Línea Base 2025]])/Registro[[#This Row],[Línea Base 2025]],0)</f>
        <v>0</v>
      </c>
      <c r="AA660" s="20">
        <v>2026</v>
      </c>
    </row>
    <row r="661" spans="1:27" hidden="1">
      <c r="A661" s="14">
        <v>1051</v>
      </c>
      <c r="B661" s="15" t="s">
        <v>13</v>
      </c>
      <c r="C661" s="16">
        <v>120</v>
      </c>
      <c r="D661" s="16" t="s">
        <v>192</v>
      </c>
      <c r="E661" s="17" t="s">
        <v>191</v>
      </c>
      <c r="F661" s="24">
        <v>0</v>
      </c>
      <c r="G661" s="19">
        <v>0</v>
      </c>
      <c r="H661" s="19">
        <v>0</v>
      </c>
      <c r="I661" s="19">
        <v>0</v>
      </c>
      <c r="T661" s="19">
        <f>Registro[[#This Row],[Mes 1]]+Registro[[#This Row],[Mes 2]]+Registro[[#This Row],[Mes 3]]</f>
        <v>0</v>
      </c>
      <c r="U661" s="19">
        <f>Registro[[#This Row],[Mes 4]]+Registro[[#This Row],[Mes 5]]+Registro[[#This Row],[Mes 6]]</f>
        <v>0</v>
      </c>
      <c r="V661" s="19">
        <f>Registro[[#This Row],[Mes 7]]+Registro[[#This Row],[Mes 8]]+Registro[[#This Row],[Mes 9]]</f>
        <v>0</v>
      </c>
      <c r="W661" s="20">
        <f>Registro[[#This Row],[Mes 10]]+Registro[[#This Row],[Mes 11]]+Registro[[#This Row],[Mes 12]]</f>
        <v>0</v>
      </c>
      <c r="X661" s="20">
        <f>SUM(Registro[[#This Row],[Trim I]],Registro[[#This Row],[Trim II]],Registro[[#This Row],[Trim III]],Registro[[#This Row],[Trim IV]])</f>
        <v>0</v>
      </c>
      <c r="Y661" s="22">
        <f>IFERROR((Registro[[#This Row],[Avance Total]]/Registro[[#This Row],[Meta]]),0)</f>
        <v>0</v>
      </c>
      <c r="Z661" s="22">
        <f>IFERROR((Registro[[#This Row],[Avance Total]]-Registro[[#This Row],[Línea Base 2025]])/Registro[[#This Row],[Línea Base 2025]],0)</f>
        <v>0</v>
      </c>
      <c r="AA661" s="20">
        <v>2026</v>
      </c>
    </row>
    <row r="662" spans="1:27" hidden="1">
      <c r="A662" s="14">
        <v>1051</v>
      </c>
      <c r="B662" s="15" t="s">
        <v>13</v>
      </c>
      <c r="C662" s="16">
        <v>121</v>
      </c>
      <c r="D662" s="16" t="s">
        <v>194</v>
      </c>
      <c r="E662" s="17" t="s">
        <v>193</v>
      </c>
      <c r="F662" s="24">
        <v>0</v>
      </c>
      <c r="G662" s="19">
        <v>0</v>
      </c>
      <c r="H662" s="19">
        <v>0</v>
      </c>
      <c r="I662" s="19">
        <v>0</v>
      </c>
      <c r="T662" s="19">
        <f>Registro[[#This Row],[Mes 1]]+Registro[[#This Row],[Mes 2]]+Registro[[#This Row],[Mes 3]]</f>
        <v>0</v>
      </c>
      <c r="U662" s="19">
        <f>Registro[[#This Row],[Mes 4]]+Registro[[#This Row],[Mes 5]]+Registro[[#This Row],[Mes 6]]</f>
        <v>0</v>
      </c>
      <c r="V662" s="19">
        <f>Registro[[#This Row],[Mes 7]]+Registro[[#This Row],[Mes 8]]+Registro[[#This Row],[Mes 9]]</f>
        <v>0</v>
      </c>
      <c r="W662" s="20">
        <f>Registro[[#This Row],[Mes 10]]+Registro[[#This Row],[Mes 11]]+Registro[[#This Row],[Mes 12]]</f>
        <v>0</v>
      </c>
      <c r="X662" s="20">
        <f>SUM(Registro[[#This Row],[Trim I]],Registro[[#This Row],[Trim II]],Registro[[#This Row],[Trim III]],Registro[[#This Row],[Trim IV]])</f>
        <v>0</v>
      </c>
      <c r="Y662" s="22">
        <f>IFERROR((Registro[[#This Row],[Avance Total]]/Registro[[#This Row],[Meta]]),0)</f>
        <v>0</v>
      </c>
      <c r="Z662" s="22">
        <f>IFERROR((Registro[[#This Row],[Avance Total]]-Registro[[#This Row],[Línea Base 2025]])/Registro[[#This Row],[Línea Base 2025]],0)</f>
        <v>0</v>
      </c>
      <c r="AA662" s="20">
        <v>2026</v>
      </c>
    </row>
    <row r="663" spans="1:27" hidden="1">
      <c r="A663" s="14">
        <v>1051</v>
      </c>
      <c r="B663" s="15" t="s">
        <v>13</v>
      </c>
      <c r="C663" s="16">
        <v>122</v>
      </c>
      <c r="D663" s="16" t="s">
        <v>196</v>
      </c>
      <c r="E663" s="17" t="s">
        <v>195</v>
      </c>
      <c r="F663" s="24">
        <v>0</v>
      </c>
      <c r="G663" s="19">
        <v>0</v>
      </c>
      <c r="H663" s="19">
        <v>0</v>
      </c>
      <c r="I663" s="19">
        <v>0</v>
      </c>
      <c r="T663" s="19">
        <f>Registro[[#This Row],[Mes 1]]+Registro[[#This Row],[Mes 2]]+Registro[[#This Row],[Mes 3]]</f>
        <v>0</v>
      </c>
      <c r="U663" s="19">
        <f>Registro[[#This Row],[Mes 4]]+Registro[[#This Row],[Mes 5]]+Registro[[#This Row],[Mes 6]]</f>
        <v>0</v>
      </c>
      <c r="V663" s="19">
        <f>Registro[[#This Row],[Mes 7]]+Registro[[#This Row],[Mes 8]]+Registro[[#This Row],[Mes 9]]</f>
        <v>0</v>
      </c>
      <c r="W663" s="20">
        <f>Registro[[#This Row],[Mes 10]]+Registro[[#This Row],[Mes 11]]+Registro[[#This Row],[Mes 12]]</f>
        <v>0</v>
      </c>
      <c r="X663" s="20">
        <f>SUM(Registro[[#This Row],[Trim I]],Registro[[#This Row],[Trim II]],Registro[[#This Row],[Trim III]],Registro[[#This Row],[Trim IV]])</f>
        <v>0</v>
      </c>
      <c r="Y663" s="22">
        <f>IFERROR((Registro[[#This Row],[Avance Total]]/Registro[[#This Row],[Meta]]),0)</f>
        <v>0</v>
      </c>
      <c r="Z663" s="22">
        <f>IFERROR((Registro[[#This Row],[Avance Total]]-Registro[[#This Row],[Línea Base 2025]])/Registro[[#This Row],[Línea Base 2025]],0)</f>
        <v>0</v>
      </c>
      <c r="AA663" s="20">
        <v>2026</v>
      </c>
    </row>
    <row r="664" spans="1:27" hidden="1">
      <c r="A664" s="14">
        <v>1051</v>
      </c>
      <c r="B664" s="15" t="s">
        <v>13</v>
      </c>
      <c r="C664" s="16">
        <v>123</v>
      </c>
      <c r="D664" s="16" t="s">
        <v>198</v>
      </c>
      <c r="E664" s="17" t="s">
        <v>197</v>
      </c>
      <c r="F664" s="24">
        <v>0</v>
      </c>
      <c r="G664" s="19">
        <v>0</v>
      </c>
      <c r="H664" s="19">
        <v>0</v>
      </c>
      <c r="I664" s="19">
        <v>0</v>
      </c>
      <c r="T664" s="19">
        <f>Registro[[#This Row],[Mes 1]]+Registro[[#This Row],[Mes 2]]+Registro[[#This Row],[Mes 3]]</f>
        <v>0</v>
      </c>
      <c r="U664" s="19">
        <f>Registro[[#This Row],[Mes 4]]+Registro[[#This Row],[Mes 5]]+Registro[[#This Row],[Mes 6]]</f>
        <v>0</v>
      </c>
      <c r="V664" s="19">
        <f>Registro[[#This Row],[Mes 7]]+Registro[[#This Row],[Mes 8]]+Registro[[#This Row],[Mes 9]]</f>
        <v>0</v>
      </c>
      <c r="W664" s="20">
        <f>Registro[[#This Row],[Mes 10]]+Registro[[#This Row],[Mes 11]]+Registro[[#This Row],[Mes 12]]</f>
        <v>0</v>
      </c>
      <c r="X664" s="20">
        <f>SUM(Registro[[#This Row],[Trim I]],Registro[[#This Row],[Trim II]],Registro[[#This Row],[Trim III]],Registro[[#This Row],[Trim IV]])</f>
        <v>0</v>
      </c>
      <c r="Y664" s="22">
        <f>IFERROR((Registro[[#This Row],[Avance Total]]/Registro[[#This Row],[Meta]]),0)</f>
        <v>0</v>
      </c>
      <c r="Z664" s="22">
        <f>IFERROR((Registro[[#This Row],[Avance Total]]-Registro[[#This Row],[Línea Base 2025]])/Registro[[#This Row],[Línea Base 2025]],0)</f>
        <v>0</v>
      </c>
      <c r="AA664" s="20">
        <v>2026</v>
      </c>
    </row>
    <row r="665" spans="1:27" hidden="1">
      <c r="A665" s="14">
        <v>1052</v>
      </c>
      <c r="B665" s="15" t="s">
        <v>86</v>
      </c>
      <c r="C665" s="16">
        <v>111</v>
      </c>
      <c r="D665" s="16" t="s">
        <v>171</v>
      </c>
      <c r="E665" s="17" t="s">
        <v>172</v>
      </c>
      <c r="F665" s="24">
        <v>58</v>
      </c>
      <c r="G665" s="19">
        <v>306</v>
      </c>
      <c r="H665" s="19">
        <v>20</v>
      </c>
      <c r="I665" s="19">
        <v>15</v>
      </c>
      <c r="T665" s="19">
        <f>Registro[[#This Row],[Mes 1]]+Registro[[#This Row],[Mes 2]]+Registro[[#This Row],[Mes 3]]</f>
        <v>35</v>
      </c>
      <c r="U665" s="19">
        <f>Registro[[#This Row],[Mes 4]]+Registro[[#This Row],[Mes 5]]+Registro[[#This Row],[Mes 6]]</f>
        <v>0</v>
      </c>
      <c r="V665" s="19">
        <f>Registro[[#This Row],[Mes 7]]+Registro[[#This Row],[Mes 8]]+Registro[[#This Row],[Mes 9]]</f>
        <v>0</v>
      </c>
      <c r="W665" s="20">
        <f>Registro[[#This Row],[Mes 10]]+Registro[[#This Row],[Mes 11]]+Registro[[#This Row],[Mes 12]]</f>
        <v>0</v>
      </c>
      <c r="X665" s="20">
        <f>SUM(Registro[[#This Row],[Trim I]],Registro[[#This Row],[Trim II]],Registro[[#This Row],[Trim III]],Registro[[#This Row],[Trim IV]])</f>
        <v>35</v>
      </c>
      <c r="Y665" s="22">
        <f>IFERROR((Registro[[#This Row],[Avance Total]]/Registro[[#This Row],[Meta]]),0)</f>
        <v>0.11437908496732026</v>
      </c>
      <c r="Z665" s="22">
        <f>IFERROR((Registro[[#This Row],[Avance Total]]-Registro[[#This Row],[Línea Base 2025]])/Registro[[#This Row],[Línea Base 2025]],0)</f>
        <v>-0.39655172413793105</v>
      </c>
      <c r="AA665" s="20">
        <v>2026</v>
      </c>
    </row>
    <row r="666" spans="1:27" hidden="1">
      <c r="A666" s="14">
        <v>1052</v>
      </c>
      <c r="B666" s="15" t="s">
        <v>86</v>
      </c>
      <c r="C666" s="16">
        <v>112</v>
      </c>
      <c r="D666" s="16" t="s">
        <v>173</v>
      </c>
      <c r="E666" s="17" t="s">
        <v>7</v>
      </c>
      <c r="F666" s="24">
        <v>9</v>
      </c>
      <c r="G666" s="19">
        <v>104</v>
      </c>
      <c r="H666" s="19">
        <v>0</v>
      </c>
      <c r="I666" s="19">
        <v>0</v>
      </c>
      <c r="T666" s="19">
        <f>Registro[[#This Row],[Mes 1]]+Registro[[#This Row],[Mes 2]]+Registro[[#This Row],[Mes 3]]</f>
        <v>0</v>
      </c>
      <c r="U666" s="19">
        <f>Registro[[#This Row],[Mes 4]]+Registro[[#This Row],[Mes 5]]+Registro[[#This Row],[Mes 6]]</f>
        <v>0</v>
      </c>
      <c r="V666" s="19">
        <f>Registro[[#This Row],[Mes 7]]+Registro[[#This Row],[Mes 8]]+Registro[[#This Row],[Mes 9]]</f>
        <v>0</v>
      </c>
      <c r="W666" s="20">
        <f>Registro[[#This Row],[Mes 10]]+Registro[[#This Row],[Mes 11]]+Registro[[#This Row],[Mes 12]]</f>
        <v>0</v>
      </c>
      <c r="X666" s="20">
        <f>SUM(Registro[[#This Row],[Trim I]],Registro[[#This Row],[Trim II]],Registro[[#This Row],[Trim III]],Registro[[#This Row],[Trim IV]])</f>
        <v>0</v>
      </c>
      <c r="Y666" s="22">
        <f>IFERROR((Registro[[#This Row],[Avance Total]]/Registro[[#This Row],[Meta]]),0)</f>
        <v>0</v>
      </c>
      <c r="Z666" s="22">
        <f>IFERROR((Registro[[#This Row],[Avance Total]]-Registro[[#This Row],[Línea Base 2025]])/Registro[[#This Row],[Línea Base 2025]],0)</f>
        <v>-1</v>
      </c>
      <c r="AA666" s="20">
        <v>2026</v>
      </c>
    </row>
    <row r="667" spans="1:27" hidden="1">
      <c r="A667" s="14">
        <v>1052</v>
      </c>
      <c r="B667" s="15" t="s">
        <v>86</v>
      </c>
      <c r="C667" s="16">
        <v>113</v>
      </c>
      <c r="D667" s="16" t="s">
        <v>179</v>
      </c>
      <c r="E667" s="17" t="s">
        <v>178</v>
      </c>
      <c r="F667" s="24">
        <v>62</v>
      </c>
      <c r="G667" s="19">
        <v>320</v>
      </c>
      <c r="H667" s="19">
        <v>5</v>
      </c>
      <c r="I667" s="19">
        <v>0</v>
      </c>
      <c r="T667" s="19">
        <f>Registro[[#This Row],[Mes 1]]+Registro[[#This Row],[Mes 2]]+Registro[[#This Row],[Mes 3]]</f>
        <v>5</v>
      </c>
      <c r="U667" s="19">
        <f>Registro[[#This Row],[Mes 4]]+Registro[[#This Row],[Mes 5]]+Registro[[#This Row],[Mes 6]]</f>
        <v>0</v>
      </c>
      <c r="V667" s="19">
        <f>Registro[[#This Row],[Mes 7]]+Registro[[#This Row],[Mes 8]]+Registro[[#This Row],[Mes 9]]</f>
        <v>0</v>
      </c>
      <c r="W667" s="20">
        <f>Registro[[#This Row],[Mes 10]]+Registro[[#This Row],[Mes 11]]+Registro[[#This Row],[Mes 12]]</f>
        <v>0</v>
      </c>
      <c r="X667" s="20">
        <f>SUM(Registro[[#This Row],[Trim I]],Registro[[#This Row],[Trim II]],Registro[[#This Row],[Trim III]],Registro[[#This Row],[Trim IV]])</f>
        <v>5</v>
      </c>
      <c r="Y667" s="22">
        <f>IFERROR((Registro[[#This Row],[Avance Total]]/Registro[[#This Row],[Meta]]),0)</f>
        <v>1.5625E-2</v>
      </c>
      <c r="Z667" s="22">
        <f>IFERROR((Registro[[#This Row],[Avance Total]]-Registro[[#This Row],[Línea Base 2025]])/Registro[[#This Row],[Línea Base 2025]],0)</f>
        <v>-0.91935483870967738</v>
      </c>
      <c r="AA667" s="20">
        <v>2026</v>
      </c>
    </row>
    <row r="668" spans="1:27" hidden="1">
      <c r="A668" s="14">
        <v>1052</v>
      </c>
      <c r="B668" s="15" t="s">
        <v>86</v>
      </c>
      <c r="C668" s="16">
        <v>114</v>
      </c>
      <c r="D668" s="16" t="s">
        <v>181</v>
      </c>
      <c r="E668" s="17" t="s">
        <v>180</v>
      </c>
      <c r="F668" s="24">
        <v>46</v>
      </c>
      <c r="G668" s="19">
        <v>67</v>
      </c>
      <c r="H668" s="19">
        <v>48</v>
      </c>
      <c r="I668" s="19">
        <v>0</v>
      </c>
      <c r="T668" s="19">
        <f>Registro[[#This Row],[Mes 1]]+Registro[[#This Row],[Mes 2]]+Registro[[#This Row],[Mes 3]]</f>
        <v>48</v>
      </c>
      <c r="U668" s="19">
        <f>Registro[[#This Row],[Mes 4]]+Registro[[#This Row],[Mes 5]]+Registro[[#This Row],[Mes 6]]</f>
        <v>0</v>
      </c>
      <c r="V668" s="19">
        <f>Registro[[#This Row],[Mes 7]]+Registro[[#This Row],[Mes 8]]+Registro[[#This Row],[Mes 9]]</f>
        <v>0</v>
      </c>
      <c r="W668" s="20">
        <f>Registro[[#This Row],[Mes 10]]+Registro[[#This Row],[Mes 11]]+Registro[[#This Row],[Mes 12]]</f>
        <v>0</v>
      </c>
      <c r="X668" s="20">
        <f>SUM(Registro[[#This Row],[Trim I]],Registro[[#This Row],[Trim II]],Registro[[#This Row],[Trim III]],Registro[[#This Row],[Trim IV]])</f>
        <v>48</v>
      </c>
      <c r="Y668" s="22">
        <f>IFERROR((Registro[[#This Row],[Avance Total]]/Registro[[#This Row],[Meta]]),0)</f>
        <v>0.71641791044776115</v>
      </c>
      <c r="Z668" s="22">
        <f>IFERROR((Registro[[#This Row],[Avance Total]]-Registro[[#This Row],[Línea Base 2025]])/Registro[[#This Row],[Línea Base 2025]],0)</f>
        <v>4.3478260869565216E-2</v>
      </c>
      <c r="AA668" s="20">
        <v>2026</v>
      </c>
    </row>
    <row r="669" spans="1:27" hidden="1">
      <c r="A669" s="14">
        <v>1052</v>
      </c>
      <c r="B669" s="15" t="s">
        <v>86</v>
      </c>
      <c r="C669" s="16">
        <v>115</v>
      </c>
      <c r="D669" s="16" t="s">
        <v>183</v>
      </c>
      <c r="E669" s="17" t="s">
        <v>182</v>
      </c>
      <c r="F669" s="24">
        <v>2</v>
      </c>
      <c r="G669" s="19">
        <v>13</v>
      </c>
      <c r="H669" s="19">
        <v>0</v>
      </c>
      <c r="I669" s="19">
        <v>1</v>
      </c>
      <c r="T669" s="19">
        <f>Registro[[#This Row],[Mes 1]]+Registro[[#This Row],[Mes 2]]+Registro[[#This Row],[Mes 3]]</f>
        <v>1</v>
      </c>
      <c r="U669" s="19">
        <f>Registro[[#This Row],[Mes 4]]+Registro[[#This Row],[Mes 5]]+Registro[[#This Row],[Mes 6]]</f>
        <v>0</v>
      </c>
      <c r="V669" s="19">
        <f>Registro[[#This Row],[Mes 7]]+Registro[[#This Row],[Mes 8]]+Registro[[#This Row],[Mes 9]]</f>
        <v>0</v>
      </c>
      <c r="W669" s="20">
        <f>Registro[[#This Row],[Mes 10]]+Registro[[#This Row],[Mes 11]]+Registro[[#This Row],[Mes 12]]</f>
        <v>0</v>
      </c>
      <c r="X669" s="20">
        <f>SUM(Registro[[#This Row],[Trim I]],Registro[[#This Row],[Trim II]],Registro[[#This Row],[Trim III]],Registro[[#This Row],[Trim IV]])</f>
        <v>1</v>
      </c>
      <c r="Y669" s="22">
        <f>IFERROR((Registro[[#This Row],[Avance Total]]/Registro[[#This Row],[Meta]]),0)</f>
        <v>7.6923076923076927E-2</v>
      </c>
      <c r="Z669" s="22">
        <f>IFERROR((Registro[[#This Row],[Avance Total]]-Registro[[#This Row],[Línea Base 2025]])/Registro[[#This Row],[Línea Base 2025]],0)</f>
        <v>-0.5</v>
      </c>
      <c r="AA669" s="20">
        <v>2026</v>
      </c>
    </row>
    <row r="670" spans="1:27">
      <c r="A670" s="14">
        <v>1052</v>
      </c>
      <c r="B670" s="15" t="s">
        <v>86</v>
      </c>
      <c r="C670" s="16">
        <v>116</v>
      </c>
      <c r="D670" s="16" t="s">
        <v>185</v>
      </c>
      <c r="E670" s="17" t="s">
        <v>184</v>
      </c>
      <c r="F670" s="24">
        <v>9</v>
      </c>
      <c r="G670" s="19">
        <v>18</v>
      </c>
      <c r="H670" s="19">
        <v>0</v>
      </c>
      <c r="I670" s="19">
        <v>1</v>
      </c>
      <c r="T670" s="19">
        <f>Registro[[#This Row],[Mes 1]]+Registro[[#This Row],[Mes 2]]+Registro[[#This Row],[Mes 3]]</f>
        <v>1</v>
      </c>
      <c r="U670" s="19">
        <f>Registro[[#This Row],[Mes 4]]+Registro[[#This Row],[Mes 5]]+Registro[[#This Row],[Mes 6]]</f>
        <v>0</v>
      </c>
      <c r="V670" s="19">
        <f>Registro[[#This Row],[Mes 7]]+Registro[[#This Row],[Mes 8]]+Registro[[#This Row],[Mes 9]]</f>
        <v>0</v>
      </c>
      <c r="W670" s="20">
        <f>Registro[[#This Row],[Mes 10]]+Registro[[#This Row],[Mes 11]]+Registro[[#This Row],[Mes 12]]</f>
        <v>0</v>
      </c>
      <c r="X670" s="20">
        <f>SUM(Registro[[#This Row],[Trim I]],Registro[[#This Row],[Trim II]],Registro[[#This Row],[Trim III]],Registro[[#This Row],[Trim IV]])</f>
        <v>1</v>
      </c>
      <c r="Y670" s="22">
        <f>IFERROR((Registro[[#This Row],[Avance Total]]/Registro[[#This Row],[Meta]]),0)</f>
        <v>5.5555555555555552E-2</v>
      </c>
      <c r="Z670" s="22">
        <f>IFERROR((Registro[[#This Row],[Avance Total]]-Registro[[#This Row],[Línea Base 2025]])/Registro[[#This Row],[Línea Base 2025]],0)</f>
        <v>-0.88888888888888884</v>
      </c>
      <c r="AA670" s="20">
        <v>2026</v>
      </c>
    </row>
    <row r="671" spans="1:27" hidden="1">
      <c r="A671" s="14">
        <v>1052</v>
      </c>
      <c r="B671" s="15" t="s">
        <v>86</v>
      </c>
      <c r="C671" s="16">
        <v>117</v>
      </c>
      <c r="D671" s="16" t="s">
        <v>187</v>
      </c>
      <c r="E671" s="17" t="s">
        <v>186</v>
      </c>
      <c r="F671" s="24">
        <v>0</v>
      </c>
      <c r="G671" s="19">
        <v>15</v>
      </c>
      <c r="H671" s="19">
        <v>0</v>
      </c>
      <c r="I671" s="19">
        <v>0</v>
      </c>
      <c r="T671" s="19">
        <f>Registro[[#This Row],[Mes 1]]+Registro[[#This Row],[Mes 2]]+Registro[[#This Row],[Mes 3]]</f>
        <v>0</v>
      </c>
      <c r="U671" s="19">
        <f>Registro[[#This Row],[Mes 4]]+Registro[[#This Row],[Mes 5]]+Registro[[#This Row],[Mes 6]]</f>
        <v>0</v>
      </c>
      <c r="V671" s="19">
        <f>Registro[[#This Row],[Mes 7]]+Registro[[#This Row],[Mes 8]]+Registro[[#This Row],[Mes 9]]</f>
        <v>0</v>
      </c>
      <c r="W671" s="20">
        <f>Registro[[#This Row],[Mes 10]]+Registro[[#This Row],[Mes 11]]+Registro[[#This Row],[Mes 12]]</f>
        <v>0</v>
      </c>
      <c r="X671" s="20">
        <f>SUM(Registro[[#This Row],[Trim I]],Registro[[#This Row],[Trim II]],Registro[[#This Row],[Trim III]],Registro[[#This Row],[Trim IV]])</f>
        <v>0</v>
      </c>
      <c r="Y671" s="22">
        <f>IFERROR((Registro[[#This Row],[Avance Total]]/Registro[[#This Row],[Meta]]),0)</f>
        <v>0</v>
      </c>
      <c r="Z671" s="22">
        <f>IFERROR((Registro[[#This Row],[Avance Total]]-Registro[[#This Row],[Línea Base 2025]])/Registro[[#This Row],[Línea Base 2025]],0)</f>
        <v>0</v>
      </c>
      <c r="AA671" s="20">
        <v>2026</v>
      </c>
    </row>
    <row r="672" spans="1:27" hidden="1">
      <c r="A672" s="14">
        <v>1052</v>
      </c>
      <c r="B672" s="15" t="s">
        <v>86</v>
      </c>
      <c r="C672" s="16">
        <v>118</v>
      </c>
      <c r="D672" s="16" t="s">
        <v>188</v>
      </c>
      <c r="E672" s="17" t="s">
        <v>9</v>
      </c>
      <c r="F672" s="24">
        <v>0</v>
      </c>
      <c r="G672" s="19">
        <v>84</v>
      </c>
      <c r="H672" s="19">
        <v>0</v>
      </c>
      <c r="I672" s="19">
        <v>0</v>
      </c>
      <c r="T672" s="19">
        <f>Registro[[#This Row],[Mes 1]]+Registro[[#This Row],[Mes 2]]+Registro[[#This Row],[Mes 3]]</f>
        <v>0</v>
      </c>
      <c r="U672" s="19">
        <f>Registro[[#This Row],[Mes 4]]+Registro[[#This Row],[Mes 5]]+Registro[[#This Row],[Mes 6]]</f>
        <v>0</v>
      </c>
      <c r="V672" s="19">
        <f>Registro[[#This Row],[Mes 7]]+Registro[[#This Row],[Mes 8]]+Registro[[#This Row],[Mes 9]]</f>
        <v>0</v>
      </c>
      <c r="W672" s="20">
        <f>Registro[[#This Row],[Mes 10]]+Registro[[#This Row],[Mes 11]]+Registro[[#This Row],[Mes 12]]</f>
        <v>0</v>
      </c>
      <c r="X672" s="20">
        <f>SUM(Registro[[#This Row],[Trim I]],Registro[[#This Row],[Trim II]],Registro[[#This Row],[Trim III]],Registro[[#This Row],[Trim IV]])</f>
        <v>0</v>
      </c>
      <c r="Y672" s="22">
        <f>IFERROR((Registro[[#This Row],[Avance Total]]/Registro[[#This Row],[Meta]]),0)</f>
        <v>0</v>
      </c>
      <c r="Z672" s="22">
        <f>IFERROR((Registro[[#This Row],[Avance Total]]-Registro[[#This Row],[Línea Base 2025]])/Registro[[#This Row],[Línea Base 2025]],0)</f>
        <v>0</v>
      </c>
      <c r="AA672" s="20">
        <v>2026</v>
      </c>
    </row>
    <row r="673" spans="1:27" hidden="1">
      <c r="A673" s="14">
        <v>1052</v>
      </c>
      <c r="B673" s="15" t="s">
        <v>86</v>
      </c>
      <c r="C673" s="16">
        <v>119</v>
      </c>
      <c r="D673" s="16" t="s">
        <v>190</v>
      </c>
      <c r="E673" s="17" t="s">
        <v>189</v>
      </c>
      <c r="F673" s="24">
        <v>0</v>
      </c>
      <c r="G673" s="19">
        <v>14</v>
      </c>
      <c r="H673" s="19">
        <v>0</v>
      </c>
      <c r="I673" s="19">
        <v>0</v>
      </c>
      <c r="T673" s="19">
        <f>Registro[[#This Row],[Mes 1]]+Registro[[#This Row],[Mes 2]]+Registro[[#This Row],[Mes 3]]</f>
        <v>0</v>
      </c>
      <c r="U673" s="19">
        <f>Registro[[#This Row],[Mes 4]]+Registro[[#This Row],[Mes 5]]+Registro[[#This Row],[Mes 6]]</f>
        <v>0</v>
      </c>
      <c r="V673" s="19">
        <f>Registro[[#This Row],[Mes 7]]+Registro[[#This Row],[Mes 8]]+Registro[[#This Row],[Mes 9]]</f>
        <v>0</v>
      </c>
      <c r="W673" s="20">
        <f>Registro[[#This Row],[Mes 10]]+Registro[[#This Row],[Mes 11]]+Registro[[#This Row],[Mes 12]]</f>
        <v>0</v>
      </c>
      <c r="X673" s="20">
        <f>SUM(Registro[[#This Row],[Trim I]],Registro[[#This Row],[Trim II]],Registro[[#This Row],[Trim III]],Registro[[#This Row],[Trim IV]])</f>
        <v>0</v>
      </c>
      <c r="Y673" s="22">
        <f>IFERROR((Registro[[#This Row],[Avance Total]]/Registro[[#This Row],[Meta]]),0)</f>
        <v>0</v>
      </c>
      <c r="Z673" s="22">
        <f>IFERROR((Registro[[#This Row],[Avance Total]]-Registro[[#This Row],[Línea Base 2025]])/Registro[[#This Row],[Línea Base 2025]],0)</f>
        <v>0</v>
      </c>
      <c r="AA673" s="20">
        <v>2026</v>
      </c>
    </row>
    <row r="674" spans="1:27" hidden="1">
      <c r="A674" s="14">
        <v>1052</v>
      </c>
      <c r="B674" s="15" t="s">
        <v>86</v>
      </c>
      <c r="C674" s="16">
        <v>120</v>
      </c>
      <c r="D674" s="16" t="s">
        <v>192</v>
      </c>
      <c r="E674" s="17" t="s">
        <v>191</v>
      </c>
      <c r="F674" s="24">
        <v>64</v>
      </c>
      <c r="G674" s="19">
        <v>103</v>
      </c>
      <c r="H674" s="19">
        <v>0</v>
      </c>
      <c r="I674" s="19">
        <v>6</v>
      </c>
      <c r="T674" s="19">
        <f>Registro[[#This Row],[Mes 1]]+Registro[[#This Row],[Mes 2]]+Registro[[#This Row],[Mes 3]]</f>
        <v>6</v>
      </c>
      <c r="U674" s="19">
        <f>Registro[[#This Row],[Mes 4]]+Registro[[#This Row],[Mes 5]]+Registro[[#This Row],[Mes 6]]</f>
        <v>0</v>
      </c>
      <c r="V674" s="19">
        <f>Registro[[#This Row],[Mes 7]]+Registro[[#This Row],[Mes 8]]+Registro[[#This Row],[Mes 9]]</f>
        <v>0</v>
      </c>
      <c r="W674" s="20">
        <f>Registro[[#This Row],[Mes 10]]+Registro[[#This Row],[Mes 11]]+Registro[[#This Row],[Mes 12]]</f>
        <v>0</v>
      </c>
      <c r="X674" s="20">
        <f>SUM(Registro[[#This Row],[Trim I]],Registro[[#This Row],[Trim II]],Registro[[#This Row],[Trim III]],Registro[[#This Row],[Trim IV]])</f>
        <v>6</v>
      </c>
      <c r="Y674" s="22">
        <f>IFERROR((Registro[[#This Row],[Avance Total]]/Registro[[#This Row],[Meta]]),0)</f>
        <v>5.8252427184466021E-2</v>
      </c>
      <c r="Z674" s="22">
        <f>IFERROR((Registro[[#This Row],[Avance Total]]-Registro[[#This Row],[Línea Base 2025]])/Registro[[#This Row],[Línea Base 2025]],0)</f>
        <v>-0.90625</v>
      </c>
      <c r="AA674" s="20">
        <v>2026</v>
      </c>
    </row>
    <row r="675" spans="1:27" hidden="1">
      <c r="A675" s="14">
        <v>1052</v>
      </c>
      <c r="B675" s="15" t="s">
        <v>86</v>
      </c>
      <c r="C675" s="16">
        <v>121</v>
      </c>
      <c r="D675" s="16" t="s">
        <v>194</v>
      </c>
      <c r="E675" s="17" t="s">
        <v>193</v>
      </c>
      <c r="F675" s="24">
        <v>2</v>
      </c>
      <c r="G675" s="19">
        <v>4</v>
      </c>
      <c r="H675" s="19">
        <v>0</v>
      </c>
      <c r="I675" s="19">
        <v>1</v>
      </c>
      <c r="T675" s="19">
        <f>Registro[[#This Row],[Mes 1]]+Registro[[#This Row],[Mes 2]]+Registro[[#This Row],[Mes 3]]</f>
        <v>1</v>
      </c>
      <c r="U675" s="19">
        <f>Registro[[#This Row],[Mes 4]]+Registro[[#This Row],[Mes 5]]+Registro[[#This Row],[Mes 6]]</f>
        <v>0</v>
      </c>
      <c r="V675" s="19">
        <f>Registro[[#This Row],[Mes 7]]+Registro[[#This Row],[Mes 8]]+Registro[[#This Row],[Mes 9]]</f>
        <v>0</v>
      </c>
      <c r="W675" s="20">
        <f>Registro[[#This Row],[Mes 10]]+Registro[[#This Row],[Mes 11]]+Registro[[#This Row],[Mes 12]]</f>
        <v>0</v>
      </c>
      <c r="X675" s="20">
        <f>SUM(Registro[[#This Row],[Trim I]],Registro[[#This Row],[Trim II]],Registro[[#This Row],[Trim III]],Registro[[#This Row],[Trim IV]])</f>
        <v>1</v>
      </c>
      <c r="Y675" s="22">
        <f>IFERROR((Registro[[#This Row],[Avance Total]]/Registro[[#This Row],[Meta]]),0)</f>
        <v>0.25</v>
      </c>
      <c r="Z675" s="22">
        <f>IFERROR((Registro[[#This Row],[Avance Total]]-Registro[[#This Row],[Línea Base 2025]])/Registro[[#This Row],[Línea Base 2025]],0)</f>
        <v>-0.5</v>
      </c>
      <c r="AA675" s="20">
        <v>2026</v>
      </c>
    </row>
    <row r="676" spans="1:27" hidden="1">
      <c r="A676" s="14">
        <v>1052</v>
      </c>
      <c r="B676" s="15" t="s">
        <v>86</v>
      </c>
      <c r="C676" s="16">
        <v>122</v>
      </c>
      <c r="D676" s="16" t="s">
        <v>196</v>
      </c>
      <c r="E676" s="17" t="s">
        <v>195</v>
      </c>
      <c r="F676" s="24">
        <v>5</v>
      </c>
      <c r="G676" s="19">
        <v>7</v>
      </c>
      <c r="H676" s="19">
        <v>0</v>
      </c>
      <c r="I676" s="19">
        <v>0</v>
      </c>
      <c r="T676" s="19">
        <f>Registro[[#This Row],[Mes 1]]+Registro[[#This Row],[Mes 2]]+Registro[[#This Row],[Mes 3]]</f>
        <v>0</v>
      </c>
      <c r="U676" s="19">
        <f>Registro[[#This Row],[Mes 4]]+Registro[[#This Row],[Mes 5]]+Registro[[#This Row],[Mes 6]]</f>
        <v>0</v>
      </c>
      <c r="V676" s="19">
        <f>Registro[[#This Row],[Mes 7]]+Registro[[#This Row],[Mes 8]]+Registro[[#This Row],[Mes 9]]</f>
        <v>0</v>
      </c>
      <c r="W676" s="20">
        <f>Registro[[#This Row],[Mes 10]]+Registro[[#This Row],[Mes 11]]+Registro[[#This Row],[Mes 12]]</f>
        <v>0</v>
      </c>
      <c r="X676" s="20">
        <f>SUM(Registro[[#This Row],[Trim I]],Registro[[#This Row],[Trim II]],Registro[[#This Row],[Trim III]],Registro[[#This Row],[Trim IV]])</f>
        <v>0</v>
      </c>
      <c r="Y676" s="22">
        <f>IFERROR((Registro[[#This Row],[Avance Total]]/Registro[[#This Row],[Meta]]),0)</f>
        <v>0</v>
      </c>
      <c r="Z676" s="22">
        <f>IFERROR((Registro[[#This Row],[Avance Total]]-Registro[[#This Row],[Línea Base 2025]])/Registro[[#This Row],[Línea Base 2025]],0)</f>
        <v>-1</v>
      </c>
      <c r="AA676" s="20">
        <v>2026</v>
      </c>
    </row>
    <row r="677" spans="1:27" hidden="1">
      <c r="A677" s="14">
        <v>1052</v>
      </c>
      <c r="B677" s="15" t="s">
        <v>86</v>
      </c>
      <c r="C677" s="16">
        <v>123</v>
      </c>
      <c r="D677" s="16" t="s">
        <v>198</v>
      </c>
      <c r="E677" s="17" t="s">
        <v>197</v>
      </c>
      <c r="F677" s="24">
        <v>0</v>
      </c>
      <c r="G677" s="19">
        <v>7</v>
      </c>
      <c r="H677" s="19">
        <v>0</v>
      </c>
      <c r="I677" s="19">
        <v>0</v>
      </c>
      <c r="T677" s="19">
        <f>Registro[[#This Row],[Mes 1]]+Registro[[#This Row],[Mes 2]]+Registro[[#This Row],[Mes 3]]</f>
        <v>0</v>
      </c>
      <c r="U677" s="19">
        <f>Registro[[#This Row],[Mes 4]]+Registro[[#This Row],[Mes 5]]+Registro[[#This Row],[Mes 6]]</f>
        <v>0</v>
      </c>
      <c r="V677" s="19">
        <f>Registro[[#This Row],[Mes 7]]+Registro[[#This Row],[Mes 8]]+Registro[[#This Row],[Mes 9]]</f>
        <v>0</v>
      </c>
      <c r="W677" s="20">
        <f>Registro[[#This Row],[Mes 10]]+Registro[[#This Row],[Mes 11]]+Registro[[#This Row],[Mes 12]]</f>
        <v>0</v>
      </c>
      <c r="X677" s="20">
        <f>SUM(Registro[[#This Row],[Trim I]],Registro[[#This Row],[Trim II]],Registro[[#This Row],[Trim III]],Registro[[#This Row],[Trim IV]])</f>
        <v>0</v>
      </c>
      <c r="Y677" s="22">
        <f>IFERROR((Registro[[#This Row],[Avance Total]]/Registro[[#This Row],[Meta]]),0)</f>
        <v>0</v>
      </c>
      <c r="Z677" s="22">
        <f>IFERROR((Registro[[#This Row],[Avance Total]]-Registro[[#This Row],[Línea Base 2025]])/Registro[[#This Row],[Línea Base 2025]],0)</f>
        <v>0</v>
      </c>
      <c r="AA677" s="20">
        <v>2026</v>
      </c>
    </row>
    <row r="678" spans="1:27" hidden="1">
      <c r="A678" s="14">
        <v>1053</v>
      </c>
      <c r="B678" s="15" t="s">
        <v>87</v>
      </c>
      <c r="C678" s="16">
        <v>111</v>
      </c>
      <c r="D678" s="16" t="s">
        <v>171</v>
      </c>
      <c r="E678" s="17" t="s">
        <v>172</v>
      </c>
      <c r="F678" s="24">
        <v>94</v>
      </c>
      <c r="G678" s="19">
        <v>593</v>
      </c>
      <c r="H678" s="19">
        <v>7</v>
      </c>
      <c r="I678" s="19">
        <v>2</v>
      </c>
      <c r="T678" s="19">
        <f>Registro[[#This Row],[Mes 1]]+Registro[[#This Row],[Mes 2]]+Registro[[#This Row],[Mes 3]]</f>
        <v>9</v>
      </c>
      <c r="U678" s="19">
        <f>Registro[[#This Row],[Mes 4]]+Registro[[#This Row],[Mes 5]]+Registro[[#This Row],[Mes 6]]</f>
        <v>0</v>
      </c>
      <c r="V678" s="19">
        <f>Registro[[#This Row],[Mes 7]]+Registro[[#This Row],[Mes 8]]+Registro[[#This Row],[Mes 9]]</f>
        <v>0</v>
      </c>
      <c r="W678" s="20">
        <f>Registro[[#This Row],[Mes 10]]+Registro[[#This Row],[Mes 11]]+Registro[[#This Row],[Mes 12]]</f>
        <v>0</v>
      </c>
      <c r="X678" s="20">
        <f>SUM(Registro[[#This Row],[Trim I]],Registro[[#This Row],[Trim II]],Registro[[#This Row],[Trim III]],Registro[[#This Row],[Trim IV]])</f>
        <v>9</v>
      </c>
      <c r="Y678" s="22">
        <f>IFERROR((Registro[[#This Row],[Avance Total]]/Registro[[#This Row],[Meta]]),0)</f>
        <v>1.5177065767284991E-2</v>
      </c>
      <c r="Z678" s="22">
        <f>IFERROR((Registro[[#This Row],[Avance Total]]-Registro[[#This Row],[Línea Base 2025]])/Registro[[#This Row],[Línea Base 2025]],0)</f>
        <v>-0.9042553191489362</v>
      </c>
      <c r="AA678" s="20">
        <v>2026</v>
      </c>
    </row>
    <row r="679" spans="1:27" hidden="1">
      <c r="A679" s="14">
        <v>1053</v>
      </c>
      <c r="B679" s="15" t="s">
        <v>87</v>
      </c>
      <c r="C679" s="16">
        <v>112</v>
      </c>
      <c r="D679" s="16" t="s">
        <v>173</v>
      </c>
      <c r="E679" s="17" t="s">
        <v>7</v>
      </c>
      <c r="F679" s="24">
        <v>55</v>
      </c>
      <c r="G679" s="19">
        <v>194</v>
      </c>
      <c r="H679" s="19">
        <v>0</v>
      </c>
      <c r="I679" s="19">
        <v>0</v>
      </c>
      <c r="T679" s="19">
        <f>Registro[[#This Row],[Mes 1]]+Registro[[#This Row],[Mes 2]]+Registro[[#This Row],[Mes 3]]</f>
        <v>0</v>
      </c>
      <c r="U679" s="19">
        <f>Registro[[#This Row],[Mes 4]]+Registro[[#This Row],[Mes 5]]+Registro[[#This Row],[Mes 6]]</f>
        <v>0</v>
      </c>
      <c r="V679" s="19">
        <f>Registro[[#This Row],[Mes 7]]+Registro[[#This Row],[Mes 8]]+Registro[[#This Row],[Mes 9]]</f>
        <v>0</v>
      </c>
      <c r="W679" s="20">
        <f>Registro[[#This Row],[Mes 10]]+Registro[[#This Row],[Mes 11]]+Registro[[#This Row],[Mes 12]]</f>
        <v>0</v>
      </c>
      <c r="X679" s="20">
        <f>SUM(Registro[[#This Row],[Trim I]],Registro[[#This Row],[Trim II]],Registro[[#This Row],[Trim III]],Registro[[#This Row],[Trim IV]])</f>
        <v>0</v>
      </c>
      <c r="Y679" s="22">
        <f>IFERROR((Registro[[#This Row],[Avance Total]]/Registro[[#This Row],[Meta]]),0)</f>
        <v>0</v>
      </c>
      <c r="Z679" s="22">
        <f>IFERROR((Registro[[#This Row],[Avance Total]]-Registro[[#This Row],[Línea Base 2025]])/Registro[[#This Row],[Línea Base 2025]],0)</f>
        <v>-1</v>
      </c>
      <c r="AA679" s="20">
        <v>2026</v>
      </c>
    </row>
    <row r="680" spans="1:27" hidden="1">
      <c r="A680" s="14">
        <v>1053</v>
      </c>
      <c r="B680" s="15" t="s">
        <v>87</v>
      </c>
      <c r="C680" s="16">
        <v>113</v>
      </c>
      <c r="D680" s="16" t="s">
        <v>179</v>
      </c>
      <c r="E680" s="17" t="s">
        <v>178</v>
      </c>
      <c r="F680" s="24">
        <v>66</v>
      </c>
      <c r="G680" s="19">
        <v>728</v>
      </c>
      <c r="H680" s="19">
        <v>4</v>
      </c>
      <c r="I680" s="19">
        <v>0</v>
      </c>
      <c r="T680" s="19">
        <f>Registro[[#This Row],[Mes 1]]+Registro[[#This Row],[Mes 2]]+Registro[[#This Row],[Mes 3]]</f>
        <v>4</v>
      </c>
      <c r="U680" s="19">
        <f>Registro[[#This Row],[Mes 4]]+Registro[[#This Row],[Mes 5]]+Registro[[#This Row],[Mes 6]]</f>
        <v>0</v>
      </c>
      <c r="V680" s="19">
        <f>Registro[[#This Row],[Mes 7]]+Registro[[#This Row],[Mes 8]]+Registro[[#This Row],[Mes 9]]</f>
        <v>0</v>
      </c>
      <c r="W680" s="20">
        <f>Registro[[#This Row],[Mes 10]]+Registro[[#This Row],[Mes 11]]+Registro[[#This Row],[Mes 12]]</f>
        <v>0</v>
      </c>
      <c r="X680" s="20">
        <f>SUM(Registro[[#This Row],[Trim I]],Registro[[#This Row],[Trim II]],Registro[[#This Row],[Trim III]],Registro[[#This Row],[Trim IV]])</f>
        <v>4</v>
      </c>
      <c r="Y680" s="22">
        <f>IFERROR((Registro[[#This Row],[Avance Total]]/Registro[[#This Row],[Meta]]),0)</f>
        <v>5.4945054945054949E-3</v>
      </c>
      <c r="Z680" s="22">
        <f>IFERROR((Registro[[#This Row],[Avance Total]]-Registro[[#This Row],[Línea Base 2025]])/Registro[[#This Row],[Línea Base 2025]],0)</f>
        <v>-0.93939393939393945</v>
      </c>
      <c r="AA680" s="20">
        <v>2026</v>
      </c>
    </row>
    <row r="681" spans="1:27" hidden="1">
      <c r="A681" s="14">
        <v>1053</v>
      </c>
      <c r="B681" s="15" t="s">
        <v>87</v>
      </c>
      <c r="C681" s="16">
        <v>114</v>
      </c>
      <c r="D681" s="16" t="s">
        <v>181</v>
      </c>
      <c r="E681" s="17" t="s">
        <v>180</v>
      </c>
      <c r="F681" s="24">
        <v>14</v>
      </c>
      <c r="G681" s="19">
        <v>35</v>
      </c>
      <c r="H681" s="19">
        <v>7</v>
      </c>
      <c r="I681" s="19">
        <v>0</v>
      </c>
      <c r="T681" s="19">
        <f>Registro[[#This Row],[Mes 1]]+Registro[[#This Row],[Mes 2]]+Registro[[#This Row],[Mes 3]]</f>
        <v>7</v>
      </c>
      <c r="U681" s="19">
        <f>Registro[[#This Row],[Mes 4]]+Registro[[#This Row],[Mes 5]]+Registro[[#This Row],[Mes 6]]</f>
        <v>0</v>
      </c>
      <c r="V681" s="19">
        <f>Registro[[#This Row],[Mes 7]]+Registro[[#This Row],[Mes 8]]+Registro[[#This Row],[Mes 9]]</f>
        <v>0</v>
      </c>
      <c r="W681" s="20">
        <f>Registro[[#This Row],[Mes 10]]+Registro[[#This Row],[Mes 11]]+Registro[[#This Row],[Mes 12]]</f>
        <v>0</v>
      </c>
      <c r="X681" s="20">
        <f>SUM(Registro[[#This Row],[Trim I]],Registro[[#This Row],[Trim II]],Registro[[#This Row],[Trim III]],Registro[[#This Row],[Trim IV]])</f>
        <v>7</v>
      </c>
      <c r="Y681" s="22">
        <f>IFERROR((Registro[[#This Row],[Avance Total]]/Registro[[#This Row],[Meta]]),0)</f>
        <v>0.2</v>
      </c>
      <c r="Z681" s="22">
        <f>IFERROR((Registro[[#This Row],[Avance Total]]-Registro[[#This Row],[Línea Base 2025]])/Registro[[#This Row],[Línea Base 2025]],0)</f>
        <v>-0.5</v>
      </c>
      <c r="AA681" s="20">
        <v>2026</v>
      </c>
    </row>
    <row r="682" spans="1:27" hidden="1">
      <c r="A682" s="14">
        <v>1053</v>
      </c>
      <c r="B682" s="15" t="s">
        <v>87</v>
      </c>
      <c r="C682" s="16">
        <v>115</v>
      </c>
      <c r="D682" s="16" t="s">
        <v>183</v>
      </c>
      <c r="E682" s="17" t="s">
        <v>182</v>
      </c>
      <c r="F682" s="24">
        <v>6</v>
      </c>
      <c r="G682" s="19">
        <v>31</v>
      </c>
      <c r="H682" s="19">
        <v>0</v>
      </c>
      <c r="I682" s="19">
        <v>1</v>
      </c>
      <c r="T682" s="19">
        <f>Registro[[#This Row],[Mes 1]]+Registro[[#This Row],[Mes 2]]+Registro[[#This Row],[Mes 3]]</f>
        <v>1</v>
      </c>
      <c r="U682" s="19">
        <f>Registro[[#This Row],[Mes 4]]+Registro[[#This Row],[Mes 5]]+Registro[[#This Row],[Mes 6]]</f>
        <v>0</v>
      </c>
      <c r="V682" s="19">
        <f>Registro[[#This Row],[Mes 7]]+Registro[[#This Row],[Mes 8]]+Registro[[#This Row],[Mes 9]]</f>
        <v>0</v>
      </c>
      <c r="W682" s="20">
        <f>Registro[[#This Row],[Mes 10]]+Registro[[#This Row],[Mes 11]]+Registro[[#This Row],[Mes 12]]</f>
        <v>0</v>
      </c>
      <c r="X682" s="20">
        <f>SUM(Registro[[#This Row],[Trim I]],Registro[[#This Row],[Trim II]],Registro[[#This Row],[Trim III]],Registro[[#This Row],[Trim IV]])</f>
        <v>1</v>
      </c>
      <c r="Y682" s="22">
        <f>IFERROR((Registro[[#This Row],[Avance Total]]/Registro[[#This Row],[Meta]]),0)</f>
        <v>3.2258064516129031E-2</v>
      </c>
      <c r="Z682" s="22">
        <f>IFERROR((Registro[[#This Row],[Avance Total]]-Registro[[#This Row],[Línea Base 2025]])/Registro[[#This Row],[Línea Base 2025]],0)</f>
        <v>-0.83333333333333337</v>
      </c>
      <c r="AA682" s="20">
        <v>2026</v>
      </c>
    </row>
    <row r="683" spans="1:27">
      <c r="A683" s="14">
        <v>1053</v>
      </c>
      <c r="B683" s="15" t="s">
        <v>87</v>
      </c>
      <c r="C683" s="16">
        <v>116</v>
      </c>
      <c r="D683" s="16" t="s">
        <v>185</v>
      </c>
      <c r="E683" s="17" t="s">
        <v>184</v>
      </c>
      <c r="F683" s="24">
        <v>3</v>
      </c>
      <c r="G683" s="19">
        <v>10</v>
      </c>
      <c r="H683" s="19">
        <v>0</v>
      </c>
      <c r="I683" s="19">
        <v>1</v>
      </c>
      <c r="T683" s="19">
        <f>Registro[[#This Row],[Mes 1]]+Registro[[#This Row],[Mes 2]]+Registro[[#This Row],[Mes 3]]</f>
        <v>1</v>
      </c>
      <c r="U683" s="19">
        <f>Registro[[#This Row],[Mes 4]]+Registro[[#This Row],[Mes 5]]+Registro[[#This Row],[Mes 6]]</f>
        <v>0</v>
      </c>
      <c r="V683" s="19">
        <f>Registro[[#This Row],[Mes 7]]+Registro[[#This Row],[Mes 8]]+Registro[[#This Row],[Mes 9]]</f>
        <v>0</v>
      </c>
      <c r="W683" s="20">
        <f>Registro[[#This Row],[Mes 10]]+Registro[[#This Row],[Mes 11]]+Registro[[#This Row],[Mes 12]]</f>
        <v>0</v>
      </c>
      <c r="X683" s="20">
        <f>SUM(Registro[[#This Row],[Trim I]],Registro[[#This Row],[Trim II]],Registro[[#This Row],[Trim III]],Registro[[#This Row],[Trim IV]])</f>
        <v>1</v>
      </c>
      <c r="Y683" s="22">
        <f>IFERROR((Registro[[#This Row],[Avance Total]]/Registro[[#This Row],[Meta]]),0)</f>
        <v>0.1</v>
      </c>
      <c r="Z683" s="22">
        <f>IFERROR((Registro[[#This Row],[Avance Total]]-Registro[[#This Row],[Línea Base 2025]])/Registro[[#This Row],[Línea Base 2025]],0)</f>
        <v>-0.66666666666666663</v>
      </c>
      <c r="AA683" s="20">
        <v>2026</v>
      </c>
    </row>
    <row r="684" spans="1:27" hidden="1">
      <c r="A684" s="14">
        <v>1053</v>
      </c>
      <c r="B684" s="15" t="s">
        <v>87</v>
      </c>
      <c r="C684" s="16">
        <v>117</v>
      </c>
      <c r="D684" s="16" t="s">
        <v>187</v>
      </c>
      <c r="E684" s="17" t="s">
        <v>186</v>
      </c>
      <c r="F684" s="24">
        <v>4</v>
      </c>
      <c r="G684" s="19">
        <v>15</v>
      </c>
      <c r="H684" s="19">
        <v>0</v>
      </c>
      <c r="I684" s="19">
        <v>0</v>
      </c>
      <c r="T684" s="19">
        <f>Registro[[#This Row],[Mes 1]]+Registro[[#This Row],[Mes 2]]+Registro[[#This Row],[Mes 3]]</f>
        <v>0</v>
      </c>
      <c r="U684" s="19">
        <f>Registro[[#This Row],[Mes 4]]+Registro[[#This Row],[Mes 5]]+Registro[[#This Row],[Mes 6]]</f>
        <v>0</v>
      </c>
      <c r="V684" s="19">
        <f>Registro[[#This Row],[Mes 7]]+Registro[[#This Row],[Mes 8]]+Registro[[#This Row],[Mes 9]]</f>
        <v>0</v>
      </c>
      <c r="W684" s="20">
        <f>Registro[[#This Row],[Mes 10]]+Registro[[#This Row],[Mes 11]]+Registro[[#This Row],[Mes 12]]</f>
        <v>0</v>
      </c>
      <c r="X684" s="20">
        <f>SUM(Registro[[#This Row],[Trim I]],Registro[[#This Row],[Trim II]],Registro[[#This Row],[Trim III]],Registro[[#This Row],[Trim IV]])</f>
        <v>0</v>
      </c>
      <c r="Y684" s="22">
        <f>IFERROR((Registro[[#This Row],[Avance Total]]/Registro[[#This Row],[Meta]]),0)</f>
        <v>0</v>
      </c>
      <c r="Z684" s="22">
        <f>IFERROR((Registro[[#This Row],[Avance Total]]-Registro[[#This Row],[Línea Base 2025]])/Registro[[#This Row],[Línea Base 2025]],0)</f>
        <v>-1</v>
      </c>
      <c r="AA684" s="20">
        <v>2026</v>
      </c>
    </row>
    <row r="685" spans="1:27" hidden="1">
      <c r="A685" s="14">
        <v>1053</v>
      </c>
      <c r="B685" s="15" t="s">
        <v>87</v>
      </c>
      <c r="C685" s="16">
        <v>118</v>
      </c>
      <c r="D685" s="16" t="s">
        <v>188</v>
      </c>
      <c r="E685" s="17" t="s">
        <v>9</v>
      </c>
      <c r="F685" s="24">
        <v>0</v>
      </c>
      <c r="G685" s="19">
        <v>6</v>
      </c>
      <c r="H685" s="19">
        <v>0</v>
      </c>
      <c r="I685" s="19">
        <v>0</v>
      </c>
      <c r="T685" s="19">
        <f>Registro[[#This Row],[Mes 1]]+Registro[[#This Row],[Mes 2]]+Registro[[#This Row],[Mes 3]]</f>
        <v>0</v>
      </c>
      <c r="U685" s="19">
        <f>Registro[[#This Row],[Mes 4]]+Registro[[#This Row],[Mes 5]]+Registro[[#This Row],[Mes 6]]</f>
        <v>0</v>
      </c>
      <c r="V685" s="19">
        <f>Registro[[#This Row],[Mes 7]]+Registro[[#This Row],[Mes 8]]+Registro[[#This Row],[Mes 9]]</f>
        <v>0</v>
      </c>
      <c r="W685" s="20">
        <f>Registro[[#This Row],[Mes 10]]+Registro[[#This Row],[Mes 11]]+Registro[[#This Row],[Mes 12]]</f>
        <v>0</v>
      </c>
      <c r="X685" s="20">
        <f>SUM(Registro[[#This Row],[Trim I]],Registro[[#This Row],[Trim II]],Registro[[#This Row],[Trim III]],Registro[[#This Row],[Trim IV]])</f>
        <v>0</v>
      </c>
      <c r="Y685" s="22">
        <f>IFERROR((Registro[[#This Row],[Avance Total]]/Registro[[#This Row],[Meta]]),0)</f>
        <v>0</v>
      </c>
      <c r="Z685" s="22">
        <f>IFERROR((Registro[[#This Row],[Avance Total]]-Registro[[#This Row],[Línea Base 2025]])/Registro[[#This Row],[Línea Base 2025]],0)</f>
        <v>0</v>
      </c>
      <c r="AA685" s="20">
        <v>2026</v>
      </c>
    </row>
    <row r="686" spans="1:27" hidden="1">
      <c r="A686" s="14">
        <v>1053</v>
      </c>
      <c r="B686" s="15" t="s">
        <v>87</v>
      </c>
      <c r="C686" s="16">
        <v>119</v>
      </c>
      <c r="D686" s="16" t="s">
        <v>190</v>
      </c>
      <c r="E686" s="17" t="s">
        <v>189</v>
      </c>
      <c r="F686" s="24">
        <v>0</v>
      </c>
      <c r="G686" s="19">
        <v>8</v>
      </c>
      <c r="H686" s="19">
        <v>0</v>
      </c>
      <c r="I686" s="19">
        <v>0</v>
      </c>
      <c r="T686" s="19">
        <f>Registro[[#This Row],[Mes 1]]+Registro[[#This Row],[Mes 2]]+Registro[[#This Row],[Mes 3]]</f>
        <v>0</v>
      </c>
      <c r="U686" s="19">
        <f>Registro[[#This Row],[Mes 4]]+Registro[[#This Row],[Mes 5]]+Registro[[#This Row],[Mes 6]]</f>
        <v>0</v>
      </c>
      <c r="V686" s="19">
        <f>Registro[[#This Row],[Mes 7]]+Registro[[#This Row],[Mes 8]]+Registro[[#This Row],[Mes 9]]</f>
        <v>0</v>
      </c>
      <c r="W686" s="20">
        <f>Registro[[#This Row],[Mes 10]]+Registro[[#This Row],[Mes 11]]+Registro[[#This Row],[Mes 12]]</f>
        <v>0</v>
      </c>
      <c r="X686" s="20">
        <f>SUM(Registro[[#This Row],[Trim I]],Registro[[#This Row],[Trim II]],Registro[[#This Row],[Trim III]],Registro[[#This Row],[Trim IV]])</f>
        <v>0</v>
      </c>
      <c r="Y686" s="22">
        <f>IFERROR((Registro[[#This Row],[Avance Total]]/Registro[[#This Row],[Meta]]),0)</f>
        <v>0</v>
      </c>
      <c r="Z686" s="22">
        <f>IFERROR((Registro[[#This Row],[Avance Total]]-Registro[[#This Row],[Línea Base 2025]])/Registro[[#This Row],[Línea Base 2025]],0)</f>
        <v>0</v>
      </c>
      <c r="AA686" s="20">
        <v>2026</v>
      </c>
    </row>
    <row r="687" spans="1:27" hidden="1">
      <c r="A687" s="14">
        <v>1053</v>
      </c>
      <c r="B687" s="15" t="s">
        <v>87</v>
      </c>
      <c r="C687" s="16">
        <v>120</v>
      </c>
      <c r="D687" s="16" t="s">
        <v>192</v>
      </c>
      <c r="E687" s="17" t="s">
        <v>191</v>
      </c>
      <c r="F687" s="24">
        <v>24</v>
      </c>
      <c r="G687" s="19">
        <v>118</v>
      </c>
      <c r="H687" s="19">
        <v>0</v>
      </c>
      <c r="I687" s="19">
        <v>0</v>
      </c>
      <c r="T687" s="19">
        <f>Registro[[#This Row],[Mes 1]]+Registro[[#This Row],[Mes 2]]+Registro[[#This Row],[Mes 3]]</f>
        <v>0</v>
      </c>
      <c r="U687" s="19">
        <f>Registro[[#This Row],[Mes 4]]+Registro[[#This Row],[Mes 5]]+Registro[[#This Row],[Mes 6]]</f>
        <v>0</v>
      </c>
      <c r="V687" s="19">
        <f>Registro[[#This Row],[Mes 7]]+Registro[[#This Row],[Mes 8]]+Registro[[#This Row],[Mes 9]]</f>
        <v>0</v>
      </c>
      <c r="W687" s="20">
        <f>Registro[[#This Row],[Mes 10]]+Registro[[#This Row],[Mes 11]]+Registro[[#This Row],[Mes 12]]</f>
        <v>0</v>
      </c>
      <c r="X687" s="20">
        <f>SUM(Registro[[#This Row],[Trim I]],Registro[[#This Row],[Trim II]],Registro[[#This Row],[Trim III]],Registro[[#This Row],[Trim IV]])</f>
        <v>0</v>
      </c>
      <c r="Y687" s="22">
        <f>IFERROR((Registro[[#This Row],[Avance Total]]/Registro[[#This Row],[Meta]]),0)</f>
        <v>0</v>
      </c>
      <c r="Z687" s="22">
        <f>IFERROR((Registro[[#This Row],[Avance Total]]-Registro[[#This Row],[Línea Base 2025]])/Registro[[#This Row],[Línea Base 2025]],0)</f>
        <v>-1</v>
      </c>
      <c r="AA687" s="20">
        <v>2026</v>
      </c>
    </row>
    <row r="688" spans="1:27" hidden="1">
      <c r="A688" s="14">
        <v>1053</v>
      </c>
      <c r="B688" s="15" t="s">
        <v>87</v>
      </c>
      <c r="C688" s="16">
        <v>121</v>
      </c>
      <c r="D688" s="16" t="s">
        <v>194</v>
      </c>
      <c r="E688" s="17" t="s">
        <v>193</v>
      </c>
      <c r="F688" s="24">
        <v>7</v>
      </c>
      <c r="G688" s="19">
        <v>25</v>
      </c>
      <c r="H688" s="19">
        <v>0</v>
      </c>
      <c r="I688" s="19">
        <v>0</v>
      </c>
      <c r="T688" s="19">
        <f>Registro[[#This Row],[Mes 1]]+Registro[[#This Row],[Mes 2]]+Registro[[#This Row],[Mes 3]]</f>
        <v>0</v>
      </c>
      <c r="U688" s="19">
        <f>Registro[[#This Row],[Mes 4]]+Registro[[#This Row],[Mes 5]]+Registro[[#This Row],[Mes 6]]</f>
        <v>0</v>
      </c>
      <c r="V688" s="19">
        <f>Registro[[#This Row],[Mes 7]]+Registro[[#This Row],[Mes 8]]+Registro[[#This Row],[Mes 9]]</f>
        <v>0</v>
      </c>
      <c r="W688" s="20">
        <f>Registro[[#This Row],[Mes 10]]+Registro[[#This Row],[Mes 11]]+Registro[[#This Row],[Mes 12]]</f>
        <v>0</v>
      </c>
      <c r="X688" s="20">
        <f>SUM(Registro[[#This Row],[Trim I]],Registro[[#This Row],[Trim II]],Registro[[#This Row],[Trim III]],Registro[[#This Row],[Trim IV]])</f>
        <v>0</v>
      </c>
      <c r="Y688" s="22">
        <f>IFERROR((Registro[[#This Row],[Avance Total]]/Registro[[#This Row],[Meta]]),0)</f>
        <v>0</v>
      </c>
      <c r="Z688" s="22">
        <f>IFERROR((Registro[[#This Row],[Avance Total]]-Registro[[#This Row],[Línea Base 2025]])/Registro[[#This Row],[Línea Base 2025]],0)</f>
        <v>-1</v>
      </c>
      <c r="AA688" s="20">
        <v>2026</v>
      </c>
    </row>
    <row r="689" spans="1:27" hidden="1">
      <c r="A689" s="14">
        <v>1053</v>
      </c>
      <c r="B689" s="15" t="s">
        <v>87</v>
      </c>
      <c r="C689" s="16">
        <v>122</v>
      </c>
      <c r="D689" s="16" t="s">
        <v>196</v>
      </c>
      <c r="E689" s="17" t="s">
        <v>195</v>
      </c>
      <c r="F689" s="24">
        <v>6</v>
      </c>
      <c r="G689" s="19">
        <v>19</v>
      </c>
      <c r="H689" s="19">
        <v>0</v>
      </c>
      <c r="I689" s="19">
        <v>0</v>
      </c>
      <c r="T689" s="19">
        <f>Registro[[#This Row],[Mes 1]]+Registro[[#This Row],[Mes 2]]+Registro[[#This Row],[Mes 3]]</f>
        <v>0</v>
      </c>
      <c r="U689" s="19">
        <f>Registro[[#This Row],[Mes 4]]+Registro[[#This Row],[Mes 5]]+Registro[[#This Row],[Mes 6]]</f>
        <v>0</v>
      </c>
      <c r="V689" s="19">
        <f>Registro[[#This Row],[Mes 7]]+Registro[[#This Row],[Mes 8]]+Registro[[#This Row],[Mes 9]]</f>
        <v>0</v>
      </c>
      <c r="W689" s="20">
        <f>Registro[[#This Row],[Mes 10]]+Registro[[#This Row],[Mes 11]]+Registro[[#This Row],[Mes 12]]</f>
        <v>0</v>
      </c>
      <c r="X689" s="20">
        <f>SUM(Registro[[#This Row],[Trim I]],Registro[[#This Row],[Trim II]],Registro[[#This Row],[Trim III]],Registro[[#This Row],[Trim IV]])</f>
        <v>0</v>
      </c>
      <c r="Y689" s="22">
        <f>IFERROR((Registro[[#This Row],[Avance Total]]/Registro[[#This Row],[Meta]]),0)</f>
        <v>0</v>
      </c>
      <c r="Z689" s="22">
        <f>IFERROR((Registro[[#This Row],[Avance Total]]-Registro[[#This Row],[Línea Base 2025]])/Registro[[#This Row],[Línea Base 2025]],0)</f>
        <v>-1</v>
      </c>
      <c r="AA689" s="20">
        <v>2026</v>
      </c>
    </row>
    <row r="690" spans="1:27" hidden="1">
      <c r="A690" s="14">
        <v>1053</v>
      </c>
      <c r="B690" s="15" t="s">
        <v>87</v>
      </c>
      <c r="C690" s="16">
        <v>123</v>
      </c>
      <c r="D690" s="16" t="s">
        <v>198</v>
      </c>
      <c r="E690" s="17" t="s">
        <v>197</v>
      </c>
      <c r="F690" s="24">
        <v>0</v>
      </c>
      <c r="G690" s="19">
        <v>8</v>
      </c>
      <c r="H690" s="19">
        <v>0</v>
      </c>
      <c r="I690" s="19">
        <v>0</v>
      </c>
      <c r="T690" s="19">
        <f>Registro[[#This Row],[Mes 1]]+Registro[[#This Row],[Mes 2]]+Registro[[#This Row],[Mes 3]]</f>
        <v>0</v>
      </c>
      <c r="U690" s="19">
        <f>Registro[[#This Row],[Mes 4]]+Registro[[#This Row],[Mes 5]]+Registro[[#This Row],[Mes 6]]</f>
        <v>0</v>
      </c>
      <c r="V690" s="19">
        <f>Registro[[#This Row],[Mes 7]]+Registro[[#This Row],[Mes 8]]+Registro[[#This Row],[Mes 9]]</f>
        <v>0</v>
      </c>
      <c r="W690" s="20">
        <f>Registro[[#This Row],[Mes 10]]+Registro[[#This Row],[Mes 11]]+Registro[[#This Row],[Mes 12]]</f>
        <v>0</v>
      </c>
      <c r="X690" s="20">
        <f>SUM(Registro[[#This Row],[Trim I]],Registro[[#This Row],[Trim II]],Registro[[#This Row],[Trim III]],Registro[[#This Row],[Trim IV]])</f>
        <v>0</v>
      </c>
      <c r="Y690" s="22">
        <f>IFERROR((Registro[[#This Row],[Avance Total]]/Registro[[#This Row],[Meta]]),0)</f>
        <v>0</v>
      </c>
      <c r="Z690" s="22">
        <f>IFERROR((Registro[[#This Row],[Avance Total]]-Registro[[#This Row],[Línea Base 2025]])/Registro[[#This Row],[Línea Base 2025]],0)</f>
        <v>0</v>
      </c>
      <c r="AA690" s="20">
        <v>2026</v>
      </c>
    </row>
    <row r="691" spans="1:27" hidden="1">
      <c r="A691" s="14">
        <v>1054</v>
      </c>
      <c r="B691" s="15" t="s">
        <v>88</v>
      </c>
      <c r="C691" s="16">
        <v>111</v>
      </c>
      <c r="D691" s="16" t="s">
        <v>171</v>
      </c>
      <c r="E691" s="17" t="s">
        <v>172</v>
      </c>
      <c r="F691" s="24">
        <v>10</v>
      </c>
      <c r="G691" s="19">
        <v>35</v>
      </c>
      <c r="H691" s="19">
        <v>13</v>
      </c>
      <c r="I691" s="19">
        <v>13</v>
      </c>
      <c r="T691" s="19">
        <f>Registro[[#This Row],[Mes 1]]+Registro[[#This Row],[Mes 2]]+Registro[[#This Row],[Mes 3]]</f>
        <v>26</v>
      </c>
      <c r="U691" s="19">
        <f>Registro[[#This Row],[Mes 4]]+Registro[[#This Row],[Mes 5]]+Registro[[#This Row],[Mes 6]]</f>
        <v>0</v>
      </c>
      <c r="V691" s="19">
        <f>Registro[[#This Row],[Mes 7]]+Registro[[#This Row],[Mes 8]]+Registro[[#This Row],[Mes 9]]</f>
        <v>0</v>
      </c>
      <c r="W691" s="20">
        <f>Registro[[#This Row],[Mes 10]]+Registro[[#This Row],[Mes 11]]+Registro[[#This Row],[Mes 12]]</f>
        <v>0</v>
      </c>
      <c r="X691" s="20">
        <f>SUM(Registro[[#This Row],[Trim I]],Registro[[#This Row],[Trim II]],Registro[[#This Row],[Trim III]],Registro[[#This Row],[Trim IV]])</f>
        <v>26</v>
      </c>
      <c r="Y691" s="22">
        <f>IFERROR((Registro[[#This Row],[Avance Total]]/Registro[[#This Row],[Meta]]),0)</f>
        <v>0.74285714285714288</v>
      </c>
      <c r="Z691" s="22">
        <f>IFERROR((Registro[[#This Row],[Avance Total]]-Registro[[#This Row],[Línea Base 2025]])/Registro[[#This Row],[Línea Base 2025]],0)</f>
        <v>1.6</v>
      </c>
      <c r="AA691" s="20">
        <v>2026</v>
      </c>
    </row>
    <row r="692" spans="1:27" hidden="1">
      <c r="A692" s="14">
        <v>1054</v>
      </c>
      <c r="B692" s="15" t="s">
        <v>88</v>
      </c>
      <c r="C692" s="16">
        <v>112</v>
      </c>
      <c r="D692" s="16" t="s">
        <v>173</v>
      </c>
      <c r="E692" s="17" t="s">
        <v>7</v>
      </c>
      <c r="F692" s="24">
        <v>4</v>
      </c>
      <c r="G692" s="19">
        <v>9</v>
      </c>
      <c r="H692" s="19">
        <v>0</v>
      </c>
      <c r="I692" s="19">
        <v>0</v>
      </c>
      <c r="T692" s="19">
        <f>Registro[[#This Row],[Mes 1]]+Registro[[#This Row],[Mes 2]]+Registro[[#This Row],[Mes 3]]</f>
        <v>0</v>
      </c>
      <c r="U692" s="19">
        <f>Registro[[#This Row],[Mes 4]]+Registro[[#This Row],[Mes 5]]+Registro[[#This Row],[Mes 6]]</f>
        <v>0</v>
      </c>
      <c r="V692" s="19">
        <f>Registro[[#This Row],[Mes 7]]+Registro[[#This Row],[Mes 8]]+Registro[[#This Row],[Mes 9]]</f>
        <v>0</v>
      </c>
      <c r="W692" s="20">
        <f>Registro[[#This Row],[Mes 10]]+Registro[[#This Row],[Mes 11]]+Registro[[#This Row],[Mes 12]]</f>
        <v>0</v>
      </c>
      <c r="X692" s="20">
        <f>SUM(Registro[[#This Row],[Trim I]],Registro[[#This Row],[Trim II]],Registro[[#This Row],[Trim III]],Registro[[#This Row],[Trim IV]])</f>
        <v>0</v>
      </c>
      <c r="Y692" s="22">
        <f>IFERROR((Registro[[#This Row],[Avance Total]]/Registro[[#This Row],[Meta]]),0)</f>
        <v>0</v>
      </c>
      <c r="Z692" s="22">
        <f>IFERROR((Registro[[#This Row],[Avance Total]]-Registro[[#This Row],[Línea Base 2025]])/Registro[[#This Row],[Línea Base 2025]],0)</f>
        <v>-1</v>
      </c>
      <c r="AA692" s="20">
        <v>2026</v>
      </c>
    </row>
    <row r="693" spans="1:27" hidden="1">
      <c r="A693" s="14">
        <v>1054</v>
      </c>
      <c r="B693" s="15" t="s">
        <v>88</v>
      </c>
      <c r="C693" s="16">
        <v>113</v>
      </c>
      <c r="D693" s="16" t="s">
        <v>179</v>
      </c>
      <c r="E693" s="17" t="s">
        <v>178</v>
      </c>
      <c r="F693" s="24">
        <v>3</v>
      </c>
      <c r="G693" s="19">
        <v>37</v>
      </c>
      <c r="H693" s="19">
        <v>1</v>
      </c>
      <c r="I693" s="19">
        <v>0</v>
      </c>
      <c r="T693" s="19">
        <f>Registro[[#This Row],[Mes 1]]+Registro[[#This Row],[Mes 2]]+Registro[[#This Row],[Mes 3]]</f>
        <v>1</v>
      </c>
      <c r="U693" s="19">
        <f>Registro[[#This Row],[Mes 4]]+Registro[[#This Row],[Mes 5]]+Registro[[#This Row],[Mes 6]]</f>
        <v>0</v>
      </c>
      <c r="V693" s="19">
        <f>Registro[[#This Row],[Mes 7]]+Registro[[#This Row],[Mes 8]]+Registro[[#This Row],[Mes 9]]</f>
        <v>0</v>
      </c>
      <c r="W693" s="20">
        <f>Registro[[#This Row],[Mes 10]]+Registro[[#This Row],[Mes 11]]+Registro[[#This Row],[Mes 12]]</f>
        <v>0</v>
      </c>
      <c r="X693" s="20">
        <f>SUM(Registro[[#This Row],[Trim I]],Registro[[#This Row],[Trim II]],Registro[[#This Row],[Trim III]],Registro[[#This Row],[Trim IV]])</f>
        <v>1</v>
      </c>
      <c r="Y693" s="22">
        <f>IFERROR((Registro[[#This Row],[Avance Total]]/Registro[[#This Row],[Meta]]),0)</f>
        <v>2.7027027027027029E-2</v>
      </c>
      <c r="Z693" s="22">
        <f>IFERROR((Registro[[#This Row],[Avance Total]]-Registro[[#This Row],[Línea Base 2025]])/Registro[[#This Row],[Línea Base 2025]],0)</f>
        <v>-0.66666666666666663</v>
      </c>
      <c r="AA693" s="20">
        <v>2026</v>
      </c>
    </row>
    <row r="694" spans="1:27" hidden="1">
      <c r="A694" s="14">
        <v>1054</v>
      </c>
      <c r="B694" s="15" t="s">
        <v>88</v>
      </c>
      <c r="C694" s="16">
        <v>114</v>
      </c>
      <c r="D694" s="16" t="s">
        <v>181</v>
      </c>
      <c r="E694" s="17" t="s">
        <v>180</v>
      </c>
      <c r="F694" s="24">
        <v>1</v>
      </c>
      <c r="G694" s="19">
        <v>79</v>
      </c>
      <c r="H694" s="19">
        <v>41</v>
      </c>
      <c r="I694" s="19">
        <v>0</v>
      </c>
      <c r="T694" s="19">
        <f>Registro[[#This Row],[Mes 1]]+Registro[[#This Row],[Mes 2]]+Registro[[#This Row],[Mes 3]]</f>
        <v>41</v>
      </c>
      <c r="U694" s="19">
        <f>Registro[[#This Row],[Mes 4]]+Registro[[#This Row],[Mes 5]]+Registro[[#This Row],[Mes 6]]</f>
        <v>0</v>
      </c>
      <c r="V694" s="19">
        <f>Registro[[#This Row],[Mes 7]]+Registro[[#This Row],[Mes 8]]+Registro[[#This Row],[Mes 9]]</f>
        <v>0</v>
      </c>
      <c r="W694" s="20">
        <f>Registro[[#This Row],[Mes 10]]+Registro[[#This Row],[Mes 11]]+Registro[[#This Row],[Mes 12]]</f>
        <v>0</v>
      </c>
      <c r="X694" s="20">
        <f>SUM(Registro[[#This Row],[Trim I]],Registro[[#This Row],[Trim II]],Registro[[#This Row],[Trim III]],Registro[[#This Row],[Trim IV]])</f>
        <v>41</v>
      </c>
      <c r="Y694" s="22">
        <f>IFERROR((Registro[[#This Row],[Avance Total]]/Registro[[#This Row],[Meta]]),0)</f>
        <v>0.51898734177215189</v>
      </c>
      <c r="Z694" s="22">
        <f>IFERROR((Registro[[#This Row],[Avance Total]]-Registro[[#This Row],[Línea Base 2025]])/Registro[[#This Row],[Línea Base 2025]],0)</f>
        <v>40</v>
      </c>
      <c r="AA694" s="20">
        <v>2026</v>
      </c>
    </row>
    <row r="695" spans="1:27" hidden="1">
      <c r="A695" s="14">
        <v>1054</v>
      </c>
      <c r="B695" s="15" t="s">
        <v>88</v>
      </c>
      <c r="C695" s="16">
        <v>115</v>
      </c>
      <c r="D695" s="16" t="s">
        <v>183</v>
      </c>
      <c r="E695" s="17" t="s">
        <v>182</v>
      </c>
      <c r="F695" s="24">
        <v>4</v>
      </c>
      <c r="G695" s="19">
        <v>1</v>
      </c>
      <c r="H695" s="19">
        <v>0</v>
      </c>
      <c r="I695" s="19">
        <v>0</v>
      </c>
      <c r="T695" s="19">
        <f>Registro[[#This Row],[Mes 1]]+Registro[[#This Row],[Mes 2]]+Registro[[#This Row],[Mes 3]]</f>
        <v>0</v>
      </c>
      <c r="U695" s="19">
        <f>Registro[[#This Row],[Mes 4]]+Registro[[#This Row],[Mes 5]]+Registro[[#This Row],[Mes 6]]</f>
        <v>0</v>
      </c>
      <c r="V695" s="19">
        <f>Registro[[#This Row],[Mes 7]]+Registro[[#This Row],[Mes 8]]+Registro[[#This Row],[Mes 9]]</f>
        <v>0</v>
      </c>
      <c r="W695" s="20">
        <f>Registro[[#This Row],[Mes 10]]+Registro[[#This Row],[Mes 11]]+Registro[[#This Row],[Mes 12]]</f>
        <v>0</v>
      </c>
      <c r="X695" s="20">
        <f>SUM(Registro[[#This Row],[Trim I]],Registro[[#This Row],[Trim II]],Registro[[#This Row],[Trim III]],Registro[[#This Row],[Trim IV]])</f>
        <v>0</v>
      </c>
      <c r="Y695" s="22">
        <f>IFERROR((Registro[[#This Row],[Avance Total]]/Registro[[#This Row],[Meta]]),0)</f>
        <v>0</v>
      </c>
      <c r="Z695" s="22">
        <f>IFERROR((Registro[[#This Row],[Avance Total]]-Registro[[#This Row],[Línea Base 2025]])/Registro[[#This Row],[Línea Base 2025]],0)</f>
        <v>-1</v>
      </c>
      <c r="AA695" s="20">
        <v>2026</v>
      </c>
    </row>
    <row r="696" spans="1:27">
      <c r="A696" s="14">
        <v>1054</v>
      </c>
      <c r="B696" s="15" t="s">
        <v>88</v>
      </c>
      <c r="C696" s="16">
        <v>116</v>
      </c>
      <c r="D696" s="16" t="s">
        <v>185</v>
      </c>
      <c r="E696" s="17" t="s">
        <v>184</v>
      </c>
      <c r="F696" s="24">
        <v>0</v>
      </c>
      <c r="G696" s="19">
        <v>1</v>
      </c>
      <c r="H696" s="19">
        <v>0</v>
      </c>
      <c r="I696" s="19">
        <v>0</v>
      </c>
      <c r="T696" s="19">
        <f>Registro[[#This Row],[Mes 1]]+Registro[[#This Row],[Mes 2]]+Registro[[#This Row],[Mes 3]]</f>
        <v>0</v>
      </c>
      <c r="U696" s="19">
        <f>Registro[[#This Row],[Mes 4]]+Registro[[#This Row],[Mes 5]]+Registro[[#This Row],[Mes 6]]</f>
        <v>0</v>
      </c>
      <c r="V696" s="19">
        <f>Registro[[#This Row],[Mes 7]]+Registro[[#This Row],[Mes 8]]+Registro[[#This Row],[Mes 9]]</f>
        <v>0</v>
      </c>
      <c r="W696" s="20">
        <f>Registro[[#This Row],[Mes 10]]+Registro[[#This Row],[Mes 11]]+Registro[[#This Row],[Mes 12]]</f>
        <v>0</v>
      </c>
      <c r="X696" s="20">
        <f>SUM(Registro[[#This Row],[Trim I]],Registro[[#This Row],[Trim II]],Registro[[#This Row],[Trim III]],Registro[[#This Row],[Trim IV]])</f>
        <v>0</v>
      </c>
      <c r="Y696" s="22">
        <f>IFERROR((Registro[[#This Row],[Avance Total]]/Registro[[#This Row],[Meta]]),0)</f>
        <v>0</v>
      </c>
      <c r="Z696" s="22">
        <f>IFERROR((Registro[[#This Row],[Avance Total]]-Registro[[#This Row],[Línea Base 2025]])/Registro[[#This Row],[Línea Base 2025]],0)</f>
        <v>0</v>
      </c>
      <c r="AA696" s="20">
        <v>2026</v>
      </c>
    </row>
    <row r="697" spans="1:27" hidden="1">
      <c r="A697" s="14">
        <v>1054</v>
      </c>
      <c r="B697" s="15" t="s">
        <v>88</v>
      </c>
      <c r="C697" s="16">
        <v>117</v>
      </c>
      <c r="D697" s="16" t="s">
        <v>187</v>
      </c>
      <c r="E697" s="17" t="s">
        <v>186</v>
      </c>
      <c r="F697" s="24">
        <v>0</v>
      </c>
      <c r="G697" s="19">
        <v>1</v>
      </c>
      <c r="H697" s="19">
        <v>0</v>
      </c>
      <c r="I697" s="19">
        <v>0</v>
      </c>
      <c r="T697" s="19">
        <f>Registro[[#This Row],[Mes 1]]+Registro[[#This Row],[Mes 2]]+Registro[[#This Row],[Mes 3]]</f>
        <v>0</v>
      </c>
      <c r="U697" s="19">
        <f>Registro[[#This Row],[Mes 4]]+Registro[[#This Row],[Mes 5]]+Registro[[#This Row],[Mes 6]]</f>
        <v>0</v>
      </c>
      <c r="V697" s="19">
        <f>Registro[[#This Row],[Mes 7]]+Registro[[#This Row],[Mes 8]]+Registro[[#This Row],[Mes 9]]</f>
        <v>0</v>
      </c>
      <c r="W697" s="20">
        <f>Registro[[#This Row],[Mes 10]]+Registro[[#This Row],[Mes 11]]+Registro[[#This Row],[Mes 12]]</f>
        <v>0</v>
      </c>
      <c r="X697" s="20">
        <f>SUM(Registro[[#This Row],[Trim I]],Registro[[#This Row],[Trim II]],Registro[[#This Row],[Trim III]],Registro[[#This Row],[Trim IV]])</f>
        <v>0</v>
      </c>
      <c r="Y697" s="22">
        <f>IFERROR((Registro[[#This Row],[Avance Total]]/Registro[[#This Row],[Meta]]),0)</f>
        <v>0</v>
      </c>
      <c r="Z697" s="22">
        <f>IFERROR((Registro[[#This Row],[Avance Total]]-Registro[[#This Row],[Línea Base 2025]])/Registro[[#This Row],[Línea Base 2025]],0)</f>
        <v>0</v>
      </c>
      <c r="AA697" s="20">
        <v>2026</v>
      </c>
    </row>
    <row r="698" spans="1:27" hidden="1">
      <c r="A698" s="14">
        <v>1054</v>
      </c>
      <c r="B698" s="15" t="s">
        <v>88</v>
      </c>
      <c r="C698" s="16">
        <v>118</v>
      </c>
      <c r="D698" s="16" t="s">
        <v>188</v>
      </c>
      <c r="E698" s="17" t="s">
        <v>9</v>
      </c>
      <c r="F698" s="24">
        <v>0</v>
      </c>
      <c r="G698" s="19">
        <v>2</v>
      </c>
      <c r="H698" s="19">
        <v>0</v>
      </c>
      <c r="I698" s="19">
        <v>0</v>
      </c>
      <c r="T698" s="19">
        <f>Registro[[#This Row],[Mes 1]]+Registro[[#This Row],[Mes 2]]+Registro[[#This Row],[Mes 3]]</f>
        <v>0</v>
      </c>
      <c r="U698" s="19">
        <f>Registro[[#This Row],[Mes 4]]+Registro[[#This Row],[Mes 5]]+Registro[[#This Row],[Mes 6]]</f>
        <v>0</v>
      </c>
      <c r="V698" s="19">
        <f>Registro[[#This Row],[Mes 7]]+Registro[[#This Row],[Mes 8]]+Registro[[#This Row],[Mes 9]]</f>
        <v>0</v>
      </c>
      <c r="W698" s="20">
        <f>Registro[[#This Row],[Mes 10]]+Registro[[#This Row],[Mes 11]]+Registro[[#This Row],[Mes 12]]</f>
        <v>0</v>
      </c>
      <c r="X698" s="20">
        <f>SUM(Registro[[#This Row],[Trim I]],Registro[[#This Row],[Trim II]],Registro[[#This Row],[Trim III]],Registro[[#This Row],[Trim IV]])</f>
        <v>0</v>
      </c>
      <c r="Y698" s="22">
        <f>IFERROR((Registro[[#This Row],[Avance Total]]/Registro[[#This Row],[Meta]]),0)</f>
        <v>0</v>
      </c>
      <c r="Z698" s="22">
        <f>IFERROR((Registro[[#This Row],[Avance Total]]-Registro[[#This Row],[Línea Base 2025]])/Registro[[#This Row],[Línea Base 2025]],0)</f>
        <v>0</v>
      </c>
      <c r="AA698" s="20">
        <v>2026</v>
      </c>
    </row>
    <row r="699" spans="1:27" hidden="1">
      <c r="A699" s="14">
        <v>1054</v>
      </c>
      <c r="B699" s="15" t="s">
        <v>88</v>
      </c>
      <c r="C699" s="16">
        <v>119</v>
      </c>
      <c r="D699" s="16" t="s">
        <v>190</v>
      </c>
      <c r="E699" s="17" t="s">
        <v>189</v>
      </c>
      <c r="F699" s="24">
        <v>0</v>
      </c>
      <c r="G699" s="19">
        <v>1</v>
      </c>
      <c r="H699" s="19">
        <v>0</v>
      </c>
      <c r="I699" s="19">
        <v>0</v>
      </c>
      <c r="T699" s="19">
        <f>Registro[[#This Row],[Mes 1]]+Registro[[#This Row],[Mes 2]]+Registro[[#This Row],[Mes 3]]</f>
        <v>0</v>
      </c>
      <c r="U699" s="19">
        <f>Registro[[#This Row],[Mes 4]]+Registro[[#This Row],[Mes 5]]+Registro[[#This Row],[Mes 6]]</f>
        <v>0</v>
      </c>
      <c r="V699" s="19">
        <f>Registro[[#This Row],[Mes 7]]+Registro[[#This Row],[Mes 8]]+Registro[[#This Row],[Mes 9]]</f>
        <v>0</v>
      </c>
      <c r="W699" s="20">
        <f>Registro[[#This Row],[Mes 10]]+Registro[[#This Row],[Mes 11]]+Registro[[#This Row],[Mes 12]]</f>
        <v>0</v>
      </c>
      <c r="X699" s="20">
        <f>SUM(Registro[[#This Row],[Trim I]],Registro[[#This Row],[Trim II]],Registro[[#This Row],[Trim III]],Registro[[#This Row],[Trim IV]])</f>
        <v>0</v>
      </c>
      <c r="Y699" s="22">
        <f>IFERROR((Registro[[#This Row],[Avance Total]]/Registro[[#This Row],[Meta]]),0)</f>
        <v>0</v>
      </c>
      <c r="Z699" s="22">
        <f>IFERROR((Registro[[#This Row],[Avance Total]]-Registro[[#This Row],[Línea Base 2025]])/Registro[[#This Row],[Línea Base 2025]],0)</f>
        <v>0</v>
      </c>
      <c r="AA699" s="20">
        <v>2026</v>
      </c>
    </row>
    <row r="700" spans="1:27" hidden="1">
      <c r="A700" s="14">
        <v>1054</v>
      </c>
      <c r="B700" s="15" t="s">
        <v>88</v>
      </c>
      <c r="C700" s="16">
        <v>120</v>
      </c>
      <c r="D700" s="16" t="s">
        <v>192</v>
      </c>
      <c r="E700" s="17" t="s">
        <v>191</v>
      </c>
      <c r="F700" s="24">
        <v>0</v>
      </c>
      <c r="G700" s="19">
        <v>8</v>
      </c>
      <c r="H700" s="19">
        <v>0</v>
      </c>
      <c r="I700" s="19">
        <v>0</v>
      </c>
      <c r="T700" s="19">
        <f>Registro[[#This Row],[Mes 1]]+Registro[[#This Row],[Mes 2]]+Registro[[#This Row],[Mes 3]]</f>
        <v>0</v>
      </c>
      <c r="U700" s="19">
        <f>Registro[[#This Row],[Mes 4]]+Registro[[#This Row],[Mes 5]]+Registro[[#This Row],[Mes 6]]</f>
        <v>0</v>
      </c>
      <c r="V700" s="19">
        <f>Registro[[#This Row],[Mes 7]]+Registro[[#This Row],[Mes 8]]+Registro[[#This Row],[Mes 9]]</f>
        <v>0</v>
      </c>
      <c r="W700" s="20">
        <f>Registro[[#This Row],[Mes 10]]+Registro[[#This Row],[Mes 11]]+Registro[[#This Row],[Mes 12]]</f>
        <v>0</v>
      </c>
      <c r="X700" s="20">
        <f>SUM(Registro[[#This Row],[Trim I]],Registro[[#This Row],[Trim II]],Registro[[#This Row],[Trim III]],Registro[[#This Row],[Trim IV]])</f>
        <v>0</v>
      </c>
      <c r="Y700" s="22">
        <f>IFERROR((Registro[[#This Row],[Avance Total]]/Registro[[#This Row],[Meta]]),0)</f>
        <v>0</v>
      </c>
      <c r="Z700" s="22">
        <f>IFERROR((Registro[[#This Row],[Avance Total]]-Registro[[#This Row],[Línea Base 2025]])/Registro[[#This Row],[Línea Base 2025]],0)</f>
        <v>0</v>
      </c>
      <c r="AA700" s="20">
        <v>2026</v>
      </c>
    </row>
    <row r="701" spans="1:27" hidden="1">
      <c r="A701" s="14">
        <v>1054</v>
      </c>
      <c r="B701" s="15" t="s">
        <v>88</v>
      </c>
      <c r="C701" s="16">
        <v>121</v>
      </c>
      <c r="D701" s="16" t="s">
        <v>194</v>
      </c>
      <c r="E701" s="17" t="s">
        <v>193</v>
      </c>
      <c r="F701" s="24">
        <v>0</v>
      </c>
      <c r="G701" s="19">
        <v>1</v>
      </c>
      <c r="H701" s="19">
        <v>0</v>
      </c>
      <c r="I701" s="19">
        <v>0</v>
      </c>
      <c r="T701" s="19">
        <f>Registro[[#This Row],[Mes 1]]+Registro[[#This Row],[Mes 2]]+Registro[[#This Row],[Mes 3]]</f>
        <v>0</v>
      </c>
      <c r="U701" s="19">
        <f>Registro[[#This Row],[Mes 4]]+Registro[[#This Row],[Mes 5]]+Registro[[#This Row],[Mes 6]]</f>
        <v>0</v>
      </c>
      <c r="V701" s="19">
        <f>Registro[[#This Row],[Mes 7]]+Registro[[#This Row],[Mes 8]]+Registro[[#This Row],[Mes 9]]</f>
        <v>0</v>
      </c>
      <c r="W701" s="20">
        <f>Registro[[#This Row],[Mes 10]]+Registro[[#This Row],[Mes 11]]+Registro[[#This Row],[Mes 12]]</f>
        <v>0</v>
      </c>
      <c r="X701" s="20">
        <f>SUM(Registro[[#This Row],[Trim I]],Registro[[#This Row],[Trim II]],Registro[[#This Row],[Trim III]],Registro[[#This Row],[Trim IV]])</f>
        <v>0</v>
      </c>
      <c r="Y701" s="22">
        <f>IFERROR((Registro[[#This Row],[Avance Total]]/Registro[[#This Row],[Meta]]),0)</f>
        <v>0</v>
      </c>
      <c r="Z701" s="22">
        <f>IFERROR((Registro[[#This Row],[Avance Total]]-Registro[[#This Row],[Línea Base 2025]])/Registro[[#This Row],[Línea Base 2025]],0)</f>
        <v>0</v>
      </c>
      <c r="AA701" s="20">
        <v>2026</v>
      </c>
    </row>
    <row r="702" spans="1:27" hidden="1">
      <c r="A702" s="14">
        <v>1054</v>
      </c>
      <c r="B702" s="15" t="s">
        <v>88</v>
      </c>
      <c r="C702" s="16">
        <v>122</v>
      </c>
      <c r="D702" s="16" t="s">
        <v>196</v>
      </c>
      <c r="E702" s="17" t="s">
        <v>195</v>
      </c>
      <c r="F702" s="24">
        <v>0</v>
      </c>
      <c r="G702" s="19">
        <v>4</v>
      </c>
      <c r="H702" s="19">
        <v>0</v>
      </c>
      <c r="I702" s="19">
        <v>0</v>
      </c>
      <c r="T702" s="19">
        <f>Registro[[#This Row],[Mes 1]]+Registro[[#This Row],[Mes 2]]+Registro[[#This Row],[Mes 3]]</f>
        <v>0</v>
      </c>
      <c r="U702" s="19">
        <f>Registro[[#This Row],[Mes 4]]+Registro[[#This Row],[Mes 5]]+Registro[[#This Row],[Mes 6]]</f>
        <v>0</v>
      </c>
      <c r="V702" s="19">
        <f>Registro[[#This Row],[Mes 7]]+Registro[[#This Row],[Mes 8]]+Registro[[#This Row],[Mes 9]]</f>
        <v>0</v>
      </c>
      <c r="W702" s="20">
        <f>Registro[[#This Row],[Mes 10]]+Registro[[#This Row],[Mes 11]]+Registro[[#This Row],[Mes 12]]</f>
        <v>0</v>
      </c>
      <c r="X702" s="20">
        <f>SUM(Registro[[#This Row],[Trim I]],Registro[[#This Row],[Trim II]],Registro[[#This Row],[Trim III]],Registro[[#This Row],[Trim IV]])</f>
        <v>0</v>
      </c>
      <c r="Y702" s="22">
        <f>IFERROR((Registro[[#This Row],[Avance Total]]/Registro[[#This Row],[Meta]]),0)</f>
        <v>0</v>
      </c>
      <c r="Z702" s="22">
        <f>IFERROR((Registro[[#This Row],[Avance Total]]-Registro[[#This Row],[Línea Base 2025]])/Registro[[#This Row],[Línea Base 2025]],0)</f>
        <v>0</v>
      </c>
      <c r="AA702" s="20">
        <v>2026</v>
      </c>
    </row>
    <row r="703" spans="1:27" hidden="1">
      <c r="A703" s="14">
        <v>1054</v>
      </c>
      <c r="B703" s="15" t="s">
        <v>88</v>
      </c>
      <c r="C703" s="16">
        <v>123</v>
      </c>
      <c r="D703" s="16" t="s">
        <v>198</v>
      </c>
      <c r="E703" s="17" t="s">
        <v>197</v>
      </c>
      <c r="F703" s="24">
        <v>0</v>
      </c>
      <c r="G703" s="19">
        <v>1</v>
      </c>
      <c r="H703" s="19">
        <v>0</v>
      </c>
      <c r="I703" s="19">
        <v>0</v>
      </c>
      <c r="T703" s="19">
        <f>Registro[[#This Row],[Mes 1]]+Registro[[#This Row],[Mes 2]]+Registro[[#This Row],[Mes 3]]</f>
        <v>0</v>
      </c>
      <c r="U703" s="19">
        <f>Registro[[#This Row],[Mes 4]]+Registro[[#This Row],[Mes 5]]+Registro[[#This Row],[Mes 6]]</f>
        <v>0</v>
      </c>
      <c r="V703" s="19">
        <f>Registro[[#This Row],[Mes 7]]+Registro[[#This Row],[Mes 8]]+Registro[[#This Row],[Mes 9]]</f>
        <v>0</v>
      </c>
      <c r="W703" s="20">
        <f>Registro[[#This Row],[Mes 10]]+Registro[[#This Row],[Mes 11]]+Registro[[#This Row],[Mes 12]]</f>
        <v>0</v>
      </c>
      <c r="X703" s="20">
        <f>SUM(Registro[[#This Row],[Trim I]],Registro[[#This Row],[Trim II]],Registro[[#This Row],[Trim III]],Registro[[#This Row],[Trim IV]])</f>
        <v>0</v>
      </c>
      <c r="Y703" s="22">
        <f>IFERROR((Registro[[#This Row],[Avance Total]]/Registro[[#This Row],[Meta]]),0)</f>
        <v>0</v>
      </c>
      <c r="Z703" s="22">
        <f>IFERROR((Registro[[#This Row],[Avance Total]]-Registro[[#This Row],[Línea Base 2025]])/Registro[[#This Row],[Línea Base 2025]],0)</f>
        <v>0</v>
      </c>
      <c r="AA703" s="20">
        <v>2026</v>
      </c>
    </row>
    <row r="704" spans="1:27" hidden="1">
      <c r="A704" s="14">
        <v>1055</v>
      </c>
      <c r="B704" s="15" t="s">
        <v>13</v>
      </c>
      <c r="C704" s="16">
        <v>111</v>
      </c>
      <c r="D704" s="16" t="s">
        <v>171</v>
      </c>
      <c r="E704" s="17" t="s">
        <v>172</v>
      </c>
      <c r="F704" s="24">
        <v>2</v>
      </c>
      <c r="G704" s="19">
        <v>266</v>
      </c>
      <c r="H704" s="19">
        <v>2</v>
      </c>
      <c r="I704" s="19">
        <v>6</v>
      </c>
      <c r="T704" s="19">
        <f>Registro[[#This Row],[Mes 1]]+Registro[[#This Row],[Mes 2]]+Registro[[#This Row],[Mes 3]]</f>
        <v>8</v>
      </c>
      <c r="U704" s="19">
        <f>Registro[[#This Row],[Mes 4]]+Registro[[#This Row],[Mes 5]]+Registro[[#This Row],[Mes 6]]</f>
        <v>0</v>
      </c>
      <c r="V704" s="19">
        <f>Registro[[#This Row],[Mes 7]]+Registro[[#This Row],[Mes 8]]+Registro[[#This Row],[Mes 9]]</f>
        <v>0</v>
      </c>
      <c r="W704" s="20">
        <f>Registro[[#This Row],[Mes 10]]+Registro[[#This Row],[Mes 11]]+Registro[[#This Row],[Mes 12]]</f>
        <v>0</v>
      </c>
      <c r="X704" s="20">
        <f>SUM(Registro[[#This Row],[Trim I]],Registro[[#This Row],[Trim II]],Registro[[#This Row],[Trim III]],Registro[[#This Row],[Trim IV]])</f>
        <v>8</v>
      </c>
      <c r="Y704" s="22">
        <f>IFERROR((Registro[[#This Row],[Avance Total]]/Registro[[#This Row],[Meta]]),0)</f>
        <v>3.007518796992481E-2</v>
      </c>
      <c r="Z704" s="22">
        <f>IFERROR((Registro[[#This Row],[Avance Total]]-Registro[[#This Row],[Línea Base 2025]])/Registro[[#This Row],[Línea Base 2025]],0)</f>
        <v>3</v>
      </c>
      <c r="AA704" s="20">
        <v>2026</v>
      </c>
    </row>
    <row r="705" spans="1:27" hidden="1">
      <c r="A705" s="14">
        <v>1055</v>
      </c>
      <c r="B705" s="15" t="s">
        <v>13</v>
      </c>
      <c r="C705" s="16">
        <v>112</v>
      </c>
      <c r="D705" s="16" t="s">
        <v>173</v>
      </c>
      <c r="E705" s="17" t="s">
        <v>7</v>
      </c>
      <c r="F705" s="24">
        <v>1</v>
      </c>
      <c r="G705" s="19">
        <v>3</v>
      </c>
      <c r="H705" s="19">
        <v>0</v>
      </c>
      <c r="I705" s="19">
        <v>0</v>
      </c>
      <c r="T705" s="19">
        <f>Registro[[#This Row],[Mes 1]]+Registro[[#This Row],[Mes 2]]+Registro[[#This Row],[Mes 3]]</f>
        <v>0</v>
      </c>
      <c r="U705" s="19">
        <f>Registro[[#This Row],[Mes 4]]+Registro[[#This Row],[Mes 5]]+Registro[[#This Row],[Mes 6]]</f>
        <v>0</v>
      </c>
      <c r="V705" s="19">
        <f>Registro[[#This Row],[Mes 7]]+Registro[[#This Row],[Mes 8]]+Registro[[#This Row],[Mes 9]]</f>
        <v>0</v>
      </c>
      <c r="W705" s="20">
        <f>Registro[[#This Row],[Mes 10]]+Registro[[#This Row],[Mes 11]]+Registro[[#This Row],[Mes 12]]</f>
        <v>0</v>
      </c>
      <c r="X705" s="20">
        <f>SUM(Registro[[#This Row],[Trim I]],Registro[[#This Row],[Trim II]],Registro[[#This Row],[Trim III]],Registro[[#This Row],[Trim IV]])</f>
        <v>0</v>
      </c>
      <c r="Y705" s="22">
        <f>IFERROR((Registro[[#This Row],[Avance Total]]/Registro[[#This Row],[Meta]]),0)</f>
        <v>0</v>
      </c>
      <c r="Z705" s="22">
        <f>IFERROR((Registro[[#This Row],[Avance Total]]-Registro[[#This Row],[Línea Base 2025]])/Registro[[#This Row],[Línea Base 2025]],0)</f>
        <v>-1</v>
      </c>
      <c r="AA705" s="20">
        <v>2026</v>
      </c>
    </row>
    <row r="706" spans="1:27" hidden="1">
      <c r="A706" s="14">
        <v>1055</v>
      </c>
      <c r="B706" s="15" t="s">
        <v>13</v>
      </c>
      <c r="C706" s="16">
        <v>113</v>
      </c>
      <c r="D706" s="16" t="s">
        <v>179</v>
      </c>
      <c r="E706" s="17" t="s">
        <v>178</v>
      </c>
      <c r="F706" s="24">
        <v>11</v>
      </c>
      <c r="G706" s="19">
        <v>118</v>
      </c>
      <c r="H706" s="19">
        <v>0</v>
      </c>
      <c r="I706" s="19">
        <v>1</v>
      </c>
      <c r="T706" s="19">
        <f>Registro[[#This Row],[Mes 1]]+Registro[[#This Row],[Mes 2]]+Registro[[#This Row],[Mes 3]]</f>
        <v>1</v>
      </c>
      <c r="U706" s="19">
        <f>Registro[[#This Row],[Mes 4]]+Registro[[#This Row],[Mes 5]]+Registro[[#This Row],[Mes 6]]</f>
        <v>0</v>
      </c>
      <c r="V706" s="19">
        <f>Registro[[#This Row],[Mes 7]]+Registro[[#This Row],[Mes 8]]+Registro[[#This Row],[Mes 9]]</f>
        <v>0</v>
      </c>
      <c r="W706" s="20">
        <f>Registro[[#This Row],[Mes 10]]+Registro[[#This Row],[Mes 11]]+Registro[[#This Row],[Mes 12]]</f>
        <v>0</v>
      </c>
      <c r="X706" s="20">
        <f>SUM(Registro[[#This Row],[Trim I]],Registro[[#This Row],[Trim II]],Registro[[#This Row],[Trim III]],Registro[[#This Row],[Trim IV]])</f>
        <v>1</v>
      </c>
      <c r="Y706" s="22">
        <f>IFERROR((Registro[[#This Row],[Avance Total]]/Registro[[#This Row],[Meta]]),0)</f>
        <v>8.4745762711864406E-3</v>
      </c>
      <c r="Z706" s="22">
        <f>IFERROR((Registro[[#This Row],[Avance Total]]-Registro[[#This Row],[Línea Base 2025]])/Registro[[#This Row],[Línea Base 2025]],0)</f>
        <v>-0.90909090909090906</v>
      </c>
      <c r="AA706" s="20">
        <v>2026</v>
      </c>
    </row>
    <row r="707" spans="1:27" hidden="1">
      <c r="A707" s="14">
        <v>1055</v>
      </c>
      <c r="B707" s="15" t="s">
        <v>13</v>
      </c>
      <c r="C707" s="16">
        <v>114</v>
      </c>
      <c r="D707" s="16" t="s">
        <v>181</v>
      </c>
      <c r="E707" s="17" t="s">
        <v>180</v>
      </c>
      <c r="F707" s="24">
        <v>0</v>
      </c>
      <c r="G707" s="19">
        <v>0</v>
      </c>
      <c r="H707" s="19">
        <v>5</v>
      </c>
      <c r="I707" s="19">
        <v>0</v>
      </c>
      <c r="T707" s="19">
        <f>Registro[[#This Row],[Mes 1]]+Registro[[#This Row],[Mes 2]]+Registro[[#This Row],[Mes 3]]</f>
        <v>5</v>
      </c>
      <c r="U707" s="19">
        <f>Registro[[#This Row],[Mes 4]]+Registro[[#This Row],[Mes 5]]+Registro[[#This Row],[Mes 6]]</f>
        <v>0</v>
      </c>
      <c r="V707" s="19">
        <f>Registro[[#This Row],[Mes 7]]+Registro[[#This Row],[Mes 8]]+Registro[[#This Row],[Mes 9]]</f>
        <v>0</v>
      </c>
      <c r="W707" s="20">
        <f>Registro[[#This Row],[Mes 10]]+Registro[[#This Row],[Mes 11]]+Registro[[#This Row],[Mes 12]]</f>
        <v>0</v>
      </c>
      <c r="X707" s="20">
        <f>SUM(Registro[[#This Row],[Trim I]],Registro[[#This Row],[Trim II]],Registro[[#This Row],[Trim III]],Registro[[#This Row],[Trim IV]])</f>
        <v>5</v>
      </c>
      <c r="Y707" s="22">
        <f>IFERROR((Registro[[#This Row],[Avance Total]]/Registro[[#This Row],[Meta]]),0)</f>
        <v>0</v>
      </c>
      <c r="Z707" s="22">
        <f>IFERROR((Registro[[#This Row],[Avance Total]]-Registro[[#This Row],[Línea Base 2025]])/Registro[[#This Row],[Línea Base 2025]],0)</f>
        <v>0</v>
      </c>
      <c r="AA707" s="20">
        <v>2026</v>
      </c>
    </row>
    <row r="708" spans="1:27" hidden="1">
      <c r="A708" s="14">
        <v>1055</v>
      </c>
      <c r="B708" s="15" t="s">
        <v>13</v>
      </c>
      <c r="C708" s="16">
        <v>115</v>
      </c>
      <c r="D708" s="16" t="s">
        <v>183</v>
      </c>
      <c r="E708" s="17" t="s">
        <v>182</v>
      </c>
      <c r="F708" s="24">
        <v>0</v>
      </c>
      <c r="G708" s="19">
        <v>0</v>
      </c>
      <c r="H708" s="19">
        <v>0</v>
      </c>
      <c r="I708" s="19">
        <v>0</v>
      </c>
      <c r="T708" s="19">
        <f>Registro[[#This Row],[Mes 1]]+Registro[[#This Row],[Mes 2]]+Registro[[#This Row],[Mes 3]]</f>
        <v>0</v>
      </c>
      <c r="U708" s="19">
        <f>Registro[[#This Row],[Mes 4]]+Registro[[#This Row],[Mes 5]]+Registro[[#This Row],[Mes 6]]</f>
        <v>0</v>
      </c>
      <c r="V708" s="19">
        <f>Registro[[#This Row],[Mes 7]]+Registro[[#This Row],[Mes 8]]+Registro[[#This Row],[Mes 9]]</f>
        <v>0</v>
      </c>
      <c r="W708" s="20">
        <f>Registro[[#This Row],[Mes 10]]+Registro[[#This Row],[Mes 11]]+Registro[[#This Row],[Mes 12]]</f>
        <v>0</v>
      </c>
      <c r="X708" s="20">
        <f>SUM(Registro[[#This Row],[Trim I]],Registro[[#This Row],[Trim II]],Registro[[#This Row],[Trim III]],Registro[[#This Row],[Trim IV]])</f>
        <v>0</v>
      </c>
      <c r="Y708" s="22">
        <f>IFERROR((Registro[[#This Row],[Avance Total]]/Registro[[#This Row],[Meta]]),0)</f>
        <v>0</v>
      </c>
      <c r="Z708" s="22">
        <f>IFERROR((Registro[[#This Row],[Avance Total]]-Registro[[#This Row],[Línea Base 2025]])/Registro[[#This Row],[Línea Base 2025]],0)</f>
        <v>0</v>
      </c>
      <c r="AA708" s="20">
        <v>2026</v>
      </c>
    </row>
    <row r="709" spans="1:27">
      <c r="A709" s="14">
        <v>1055</v>
      </c>
      <c r="B709" s="15" t="s">
        <v>13</v>
      </c>
      <c r="C709" s="16">
        <v>116</v>
      </c>
      <c r="D709" s="16" t="s">
        <v>185</v>
      </c>
      <c r="E709" s="17" t="s">
        <v>184</v>
      </c>
      <c r="F709" s="24">
        <v>0</v>
      </c>
      <c r="G709" s="19">
        <v>1</v>
      </c>
      <c r="H709" s="19">
        <v>0</v>
      </c>
      <c r="I709" s="19">
        <v>0</v>
      </c>
      <c r="T709" s="19">
        <f>Registro[[#This Row],[Mes 1]]+Registro[[#This Row],[Mes 2]]+Registro[[#This Row],[Mes 3]]</f>
        <v>0</v>
      </c>
      <c r="U709" s="19">
        <f>Registro[[#This Row],[Mes 4]]+Registro[[#This Row],[Mes 5]]+Registro[[#This Row],[Mes 6]]</f>
        <v>0</v>
      </c>
      <c r="V709" s="19">
        <f>Registro[[#This Row],[Mes 7]]+Registro[[#This Row],[Mes 8]]+Registro[[#This Row],[Mes 9]]</f>
        <v>0</v>
      </c>
      <c r="W709" s="20">
        <f>Registro[[#This Row],[Mes 10]]+Registro[[#This Row],[Mes 11]]+Registro[[#This Row],[Mes 12]]</f>
        <v>0</v>
      </c>
      <c r="X709" s="20">
        <f>SUM(Registro[[#This Row],[Trim I]],Registro[[#This Row],[Trim II]],Registro[[#This Row],[Trim III]],Registro[[#This Row],[Trim IV]])</f>
        <v>0</v>
      </c>
      <c r="Y709" s="22">
        <f>IFERROR((Registro[[#This Row],[Avance Total]]/Registro[[#This Row],[Meta]]),0)</f>
        <v>0</v>
      </c>
      <c r="Z709" s="22">
        <f>IFERROR((Registro[[#This Row],[Avance Total]]-Registro[[#This Row],[Línea Base 2025]])/Registro[[#This Row],[Línea Base 2025]],0)</f>
        <v>0</v>
      </c>
      <c r="AA709" s="20">
        <v>2026</v>
      </c>
    </row>
    <row r="710" spans="1:27" hidden="1">
      <c r="A710" s="14">
        <v>1055</v>
      </c>
      <c r="B710" s="15" t="s">
        <v>13</v>
      </c>
      <c r="C710" s="16">
        <v>117</v>
      </c>
      <c r="D710" s="16" t="s">
        <v>187</v>
      </c>
      <c r="E710" s="17" t="s">
        <v>186</v>
      </c>
      <c r="F710" s="24">
        <v>1</v>
      </c>
      <c r="G710" s="19">
        <v>0</v>
      </c>
      <c r="H710" s="19">
        <v>0</v>
      </c>
      <c r="I710" s="19">
        <v>0</v>
      </c>
      <c r="T710" s="19">
        <f>Registro[[#This Row],[Mes 1]]+Registro[[#This Row],[Mes 2]]+Registro[[#This Row],[Mes 3]]</f>
        <v>0</v>
      </c>
      <c r="U710" s="19">
        <f>Registro[[#This Row],[Mes 4]]+Registro[[#This Row],[Mes 5]]+Registro[[#This Row],[Mes 6]]</f>
        <v>0</v>
      </c>
      <c r="V710" s="19">
        <f>Registro[[#This Row],[Mes 7]]+Registro[[#This Row],[Mes 8]]+Registro[[#This Row],[Mes 9]]</f>
        <v>0</v>
      </c>
      <c r="W710" s="20">
        <f>Registro[[#This Row],[Mes 10]]+Registro[[#This Row],[Mes 11]]+Registro[[#This Row],[Mes 12]]</f>
        <v>0</v>
      </c>
      <c r="X710" s="20">
        <f>SUM(Registro[[#This Row],[Trim I]],Registro[[#This Row],[Trim II]],Registro[[#This Row],[Trim III]],Registro[[#This Row],[Trim IV]])</f>
        <v>0</v>
      </c>
      <c r="Y710" s="22">
        <f>IFERROR((Registro[[#This Row],[Avance Total]]/Registro[[#This Row],[Meta]]),0)</f>
        <v>0</v>
      </c>
      <c r="Z710" s="22">
        <f>IFERROR((Registro[[#This Row],[Avance Total]]-Registro[[#This Row],[Línea Base 2025]])/Registro[[#This Row],[Línea Base 2025]],0)</f>
        <v>-1</v>
      </c>
      <c r="AA710" s="20">
        <v>2026</v>
      </c>
    </row>
    <row r="711" spans="1:27" hidden="1">
      <c r="A711" s="14">
        <v>1055</v>
      </c>
      <c r="B711" s="15" t="s">
        <v>13</v>
      </c>
      <c r="C711" s="16">
        <v>118</v>
      </c>
      <c r="D711" s="16" t="s">
        <v>188</v>
      </c>
      <c r="E711" s="17" t="s">
        <v>9</v>
      </c>
      <c r="F711" s="24">
        <v>0</v>
      </c>
      <c r="G711" s="19">
        <v>0</v>
      </c>
      <c r="H711" s="19">
        <v>0</v>
      </c>
      <c r="I711" s="19">
        <v>0</v>
      </c>
      <c r="T711" s="19">
        <f>Registro[[#This Row],[Mes 1]]+Registro[[#This Row],[Mes 2]]+Registro[[#This Row],[Mes 3]]</f>
        <v>0</v>
      </c>
      <c r="U711" s="19">
        <f>Registro[[#This Row],[Mes 4]]+Registro[[#This Row],[Mes 5]]+Registro[[#This Row],[Mes 6]]</f>
        <v>0</v>
      </c>
      <c r="V711" s="19">
        <f>Registro[[#This Row],[Mes 7]]+Registro[[#This Row],[Mes 8]]+Registro[[#This Row],[Mes 9]]</f>
        <v>0</v>
      </c>
      <c r="W711" s="20">
        <f>Registro[[#This Row],[Mes 10]]+Registro[[#This Row],[Mes 11]]+Registro[[#This Row],[Mes 12]]</f>
        <v>0</v>
      </c>
      <c r="X711" s="20">
        <f>SUM(Registro[[#This Row],[Trim I]],Registro[[#This Row],[Trim II]],Registro[[#This Row],[Trim III]],Registro[[#This Row],[Trim IV]])</f>
        <v>0</v>
      </c>
      <c r="Y711" s="22">
        <f>IFERROR((Registro[[#This Row],[Avance Total]]/Registro[[#This Row],[Meta]]),0)</f>
        <v>0</v>
      </c>
      <c r="Z711" s="22">
        <f>IFERROR((Registro[[#This Row],[Avance Total]]-Registro[[#This Row],[Línea Base 2025]])/Registro[[#This Row],[Línea Base 2025]],0)</f>
        <v>0</v>
      </c>
      <c r="AA711" s="20">
        <v>2026</v>
      </c>
    </row>
    <row r="712" spans="1:27" hidden="1">
      <c r="A712" s="14">
        <v>1055</v>
      </c>
      <c r="B712" s="15" t="s">
        <v>13</v>
      </c>
      <c r="C712" s="16">
        <v>119</v>
      </c>
      <c r="D712" s="16" t="s">
        <v>190</v>
      </c>
      <c r="E712" s="17" t="s">
        <v>189</v>
      </c>
      <c r="F712" s="24">
        <v>0</v>
      </c>
      <c r="G712" s="19">
        <v>1</v>
      </c>
      <c r="H712" s="19">
        <v>0</v>
      </c>
      <c r="I712" s="19">
        <v>0</v>
      </c>
      <c r="T712" s="19">
        <f>Registro[[#This Row],[Mes 1]]+Registro[[#This Row],[Mes 2]]+Registro[[#This Row],[Mes 3]]</f>
        <v>0</v>
      </c>
      <c r="U712" s="19">
        <f>Registro[[#This Row],[Mes 4]]+Registro[[#This Row],[Mes 5]]+Registro[[#This Row],[Mes 6]]</f>
        <v>0</v>
      </c>
      <c r="V712" s="19">
        <f>Registro[[#This Row],[Mes 7]]+Registro[[#This Row],[Mes 8]]+Registro[[#This Row],[Mes 9]]</f>
        <v>0</v>
      </c>
      <c r="W712" s="20">
        <f>Registro[[#This Row],[Mes 10]]+Registro[[#This Row],[Mes 11]]+Registro[[#This Row],[Mes 12]]</f>
        <v>0</v>
      </c>
      <c r="X712" s="20">
        <f>SUM(Registro[[#This Row],[Trim I]],Registro[[#This Row],[Trim II]],Registro[[#This Row],[Trim III]],Registro[[#This Row],[Trim IV]])</f>
        <v>0</v>
      </c>
      <c r="Y712" s="22">
        <f>IFERROR((Registro[[#This Row],[Avance Total]]/Registro[[#This Row],[Meta]]),0)</f>
        <v>0</v>
      </c>
      <c r="Z712" s="22">
        <f>IFERROR((Registro[[#This Row],[Avance Total]]-Registro[[#This Row],[Línea Base 2025]])/Registro[[#This Row],[Línea Base 2025]],0)</f>
        <v>0</v>
      </c>
      <c r="AA712" s="20">
        <v>2026</v>
      </c>
    </row>
    <row r="713" spans="1:27" hidden="1">
      <c r="A713" s="14">
        <v>1055</v>
      </c>
      <c r="B713" s="15" t="s">
        <v>13</v>
      </c>
      <c r="C713" s="16">
        <v>120</v>
      </c>
      <c r="D713" s="16" t="s">
        <v>192</v>
      </c>
      <c r="E713" s="17" t="s">
        <v>191</v>
      </c>
      <c r="F713" s="24">
        <v>0</v>
      </c>
      <c r="G713" s="19">
        <v>0</v>
      </c>
      <c r="H713" s="19">
        <v>0</v>
      </c>
      <c r="I713" s="19">
        <v>0</v>
      </c>
      <c r="T713" s="19">
        <f>Registro[[#This Row],[Mes 1]]+Registro[[#This Row],[Mes 2]]+Registro[[#This Row],[Mes 3]]</f>
        <v>0</v>
      </c>
      <c r="U713" s="19">
        <f>Registro[[#This Row],[Mes 4]]+Registro[[#This Row],[Mes 5]]+Registro[[#This Row],[Mes 6]]</f>
        <v>0</v>
      </c>
      <c r="V713" s="19">
        <f>Registro[[#This Row],[Mes 7]]+Registro[[#This Row],[Mes 8]]+Registro[[#This Row],[Mes 9]]</f>
        <v>0</v>
      </c>
      <c r="W713" s="20">
        <f>Registro[[#This Row],[Mes 10]]+Registro[[#This Row],[Mes 11]]+Registro[[#This Row],[Mes 12]]</f>
        <v>0</v>
      </c>
      <c r="X713" s="20">
        <f>SUM(Registro[[#This Row],[Trim I]],Registro[[#This Row],[Trim II]],Registro[[#This Row],[Trim III]],Registro[[#This Row],[Trim IV]])</f>
        <v>0</v>
      </c>
      <c r="Y713" s="22">
        <f>IFERROR((Registro[[#This Row],[Avance Total]]/Registro[[#This Row],[Meta]]),0)</f>
        <v>0</v>
      </c>
      <c r="Z713" s="22">
        <f>IFERROR((Registro[[#This Row],[Avance Total]]-Registro[[#This Row],[Línea Base 2025]])/Registro[[#This Row],[Línea Base 2025]],0)</f>
        <v>0</v>
      </c>
      <c r="AA713" s="20">
        <v>2026</v>
      </c>
    </row>
    <row r="714" spans="1:27" hidden="1">
      <c r="A714" s="14">
        <v>1055</v>
      </c>
      <c r="B714" s="15" t="s">
        <v>13</v>
      </c>
      <c r="C714" s="16">
        <v>121</v>
      </c>
      <c r="D714" s="16" t="s">
        <v>194</v>
      </c>
      <c r="E714" s="17" t="s">
        <v>193</v>
      </c>
      <c r="F714" s="24">
        <v>0</v>
      </c>
      <c r="G714" s="19">
        <v>0</v>
      </c>
      <c r="H714" s="19">
        <v>0</v>
      </c>
      <c r="I714" s="19">
        <v>0</v>
      </c>
      <c r="T714" s="19">
        <f>Registro[[#This Row],[Mes 1]]+Registro[[#This Row],[Mes 2]]+Registro[[#This Row],[Mes 3]]</f>
        <v>0</v>
      </c>
      <c r="U714" s="19">
        <f>Registro[[#This Row],[Mes 4]]+Registro[[#This Row],[Mes 5]]+Registro[[#This Row],[Mes 6]]</f>
        <v>0</v>
      </c>
      <c r="V714" s="19">
        <f>Registro[[#This Row],[Mes 7]]+Registro[[#This Row],[Mes 8]]+Registro[[#This Row],[Mes 9]]</f>
        <v>0</v>
      </c>
      <c r="W714" s="20">
        <f>Registro[[#This Row],[Mes 10]]+Registro[[#This Row],[Mes 11]]+Registro[[#This Row],[Mes 12]]</f>
        <v>0</v>
      </c>
      <c r="X714" s="20">
        <f>SUM(Registro[[#This Row],[Trim I]],Registro[[#This Row],[Trim II]],Registro[[#This Row],[Trim III]],Registro[[#This Row],[Trim IV]])</f>
        <v>0</v>
      </c>
      <c r="Y714" s="22">
        <f>IFERROR((Registro[[#This Row],[Avance Total]]/Registro[[#This Row],[Meta]]),0)</f>
        <v>0</v>
      </c>
      <c r="Z714" s="22">
        <f>IFERROR((Registro[[#This Row],[Avance Total]]-Registro[[#This Row],[Línea Base 2025]])/Registro[[#This Row],[Línea Base 2025]],0)</f>
        <v>0</v>
      </c>
      <c r="AA714" s="20">
        <v>2026</v>
      </c>
    </row>
    <row r="715" spans="1:27" hidden="1">
      <c r="A715" s="14">
        <v>1055</v>
      </c>
      <c r="B715" s="15" t="s">
        <v>13</v>
      </c>
      <c r="C715" s="16">
        <v>122</v>
      </c>
      <c r="D715" s="16" t="s">
        <v>196</v>
      </c>
      <c r="E715" s="17" t="s">
        <v>195</v>
      </c>
      <c r="F715" s="24">
        <v>0</v>
      </c>
      <c r="G715" s="19">
        <v>0</v>
      </c>
      <c r="H715" s="19">
        <v>0</v>
      </c>
      <c r="I715" s="19">
        <v>0</v>
      </c>
      <c r="T715" s="19">
        <f>Registro[[#This Row],[Mes 1]]+Registro[[#This Row],[Mes 2]]+Registro[[#This Row],[Mes 3]]</f>
        <v>0</v>
      </c>
      <c r="U715" s="19">
        <f>Registro[[#This Row],[Mes 4]]+Registro[[#This Row],[Mes 5]]+Registro[[#This Row],[Mes 6]]</f>
        <v>0</v>
      </c>
      <c r="V715" s="19">
        <f>Registro[[#This Row],[Mes 7]]+Registro[[#This Row],[Mes 8]]+Registro[[#This Row],[Mes 9]]</f>
        <v>0</v>
      </c>
      <c r="W715" s="20">
        <f>Registro[[#This Row],[Mes 10]]+Registro[[#This Row],[Mes 11]]+Registro[[#This Row],[Mes 12]]</f>
        <v>0</v>
      </c>
      <c r="X715" s="20">
        <f>SUM(Registro[[#This Row],[Trim I]],Registro[[#This Row],[Trim II]],Registro[[#This Row],[Trim III]],Registro[[#This Row],[Trim IV]])</f>
        <v>0</v>
      </c>
      <c r="Y715" s="22">
        <f>IFERROR((Registro[[#This Row],[Avance Total]]/Registro[[#This Row],[Meta]]),0)</f>
        <v>0</v>
      </c>
      <c r="Z715" s="22">
        <f>IFERROR((Registro[[#This Row],[Avance Total]]-Registro[[#This Row],[Línea Base 2025]])/Registro[[#This Row],[Línea Base 2025]],0)</f>
        <v>0</v>
      </c>
      <c r="AA715" s="20">
        <v>2026</v>
      </c>
    </row>
    <row r="716" spans="1:27" hidden="1">
      <c r="A716" s="14">
        <v>1055</v>
      </c>
      <c r="B716" s="15" t="s">
        <v>13</v>
      </c>
      <c r="C716" s="16">
        <v>123</v>
      </c>
      <c r="D716" s="16" t="s">
        <v>198</v>
      </c>
      <c r="E716" s="17" t="s">
        <v>197</v>
      </c>
      <c r="F716" s="24">
        <v>0</v>
      </c>
      <c r="G716" s="19">
        <v>0</v>
      </c>
      <c r="H716" s="19">
        <v>0</v>
      </c>
      <c r="I716" s="19">
        <v>0</v>
      </c>
      <c r="T716" s="19">
        <f>Registro[[#This Row],[Mes 1]]+Registro[[#This Row],[Mes 2]]+Registro[[#This Row],[Mes 3]]</f>
        <v>0</v>
      </c>
      <c r="U716" s="19">
        <f>Registro[[#This Row],[Mes 4]]+Registro[[#This Row],[Mes 5]]+Registro[[#This Row],[Mes 6]]</f>
        <v>0</v>
      </c>
      <c r="V716" s="19">
        <f>Registro[[#This Row],[Mes 7]]+Registro[[#This Row],[Mes 8]]+Registro[[#This Row],[Mes 9]]</f>
        <v>0</v>
      </c>
      <c r="W716" s="20">
        <f>Registro[[#This Row],[Mes 10]]+Registro[[#This Row],[Mes 11]]+Registro[[#This Row],[Mes 12]]</f>
        <v>0</v>
      </c>
      <c r="X716" s="20">
        <f>SUM(Registro[[#This Row],[Trim I]],Registro[[#This Row],[Trim II]],Registro[[#This Row],[Trim III]],Registro[[#This Row],[Trim IV]])</f>
        <v>0</v>
      </c>
      <c r="Y716" s="22">
        <f>IFERROR((Registro[[#This Row],[Avance Total]]/Registro[[#This Row],[Meta]]),0)</f>
        <v>0</v>
      </c>
      <c r="Z716" s="22">
        <f>IFERROR((Registro[[#This Row],[Avance Total]]-Registro[[#This Row],[Línea Base 2025]])/Registro[[#This Row],[Línea Base 2025]],0)</f>
        <v>0</v>
      </c>
      <c r="AA716" s="20">
        <v>2026</v>
      </c>
    </row>
    <row r="717" spans="1:27" hidden="1">
      <c r="A717" s="14">
        <v>1056</v>
      </c>
      <c r="B717" s="15" t="s">
        <v>89</v>
      </c>
      <c r="C717" s="16">
        <v>111</v>
      </c>
      <c r="D717" s="16" t="s">
        <v>171</v>
      </c>
      <c r="E717" s="17" t="s">
        <v>172</v>
      </c>
      <c r="F717" s="24">
        <v>39</v>
      </c>
      <c r="G717" s="19">
        <v>264</v>
      </c>
      <c r="H717" s="19">
        <v>12</v>
      </c>
      <c r="I717" s="19">
        <v>34</v>
      </c>
      <c r="T717" s="19">
        <f>Registro[[#This Row],[Mes 1]]+Registro[[#This Row],[Mes 2]]+Registro[[#This Row],[Mes 3]]</f>
        <v>46</v>
      </c>
      <c r="U717" s="19">
        <f>Registro[[#This Row],[Mes 4]]+Registro[[#This Row],[Mes 5]]+Registro[[#This Row],[Mes 6]]</f>
        <v>0</v>
      </c>
      <c r="V717" s="19">
        <f>Registro[[#This Row],[Mes 7]]+Registro[[#This Row],[Mes 8]]+Registro[[#This Row],[Mes 9]]</f>
        <v>0</v>
      </c>
      <c r="W717" s="20">
        <f>Registro[[#This Row],[Mes 10]]+Registro[[#This Row],[Mes 11]]+Registro[[#This Row],[Mes 12]]</f>
        <v>0</v>
      </c>
      <c r="X717" s="20">
        <f>SUM(Registro[[#This Row],[Trim I]],Registro[[#This Row],[Trim II]],Registro[[#This Row],[Trim III]],Registro[[#This Row],[Trim IV]])</f>
        <v>46</v>
      </c>
      <c r="Y717" s="22">
        <f>IFERROR((Registro[[#This Row],[Avance Total]]/Registro[[#This Row],[Meta]]),0)</f>
        <v>0.17424242424242425</v>
      </c>
      <c r="Z717" s="22">
        <f>IFERROR((Registro[[#This Row],[Avance Total]]-Registro[[#This Row],[Línea Base 2025]])/Registro[[#This Row],[Línea Base 2025]],0)</f>
        <v>0.17948717948717949</v>
      </c>
      <c r="AA717" s="20">
        <v>2026</v>
      </c>
    </row>
    <row r="718" spans="1:27" hidden="1">
      <c r="A718" s="14">
        <v>1056</v>
      </c>
      <c r="B718" s="15" t="s">
        <v>89</v>
      </c>
      <c r="C718" s="16">
        <v>112</v>
      </c>
      <c r="D718" s="16" t="s">
        <v>173</v>
      </c>
      <c r="E718" s="17" t="s">
        <v>7</v>
      </c>
      <c r="F718" s="24">
        <v>29</v>
      </c>
      <c r="G718" s="19">
        <v>73</v>
      </c>
      <c r="H718" s="19">
        <v>0</v>
      </c>
      <c r="I718" s="19">
        <v>0</v>
      </c>
      <c r="T718" s="19">
        <f>Registro[[#This Row],[Mes 1]]+Registro[[#This Row],[Mes 2]]+Registro[[#This Row],[Mes 3]]</f>
        <v>0</v>
      </c>
      <c r="U718" s="19">
        <f>Registro[[#This Row],[Mes 4]]+Registro[[#This Row],[Mes 5]]+Registro[[#This Row],[Mes 6]]</f>
        <v>0</v>
      </c>
      <c r="V718" s="19">
        <f>Registro[[#This Row],[Mes 7]]+Registro[[#This Row],[Mes 8]]+Registro[[#This Row],[Mes 9]]</f>
        <v>0</v>
      </c>
      <c r="W718" s="20">
        <f>Registro[[#This Row],[Mes 10]]+Registro[[#This Row],[Mes 11]]+Registro[[#This Row],[Mes 12]]</f>
        <v>0</v>
      </c>
      <c r="X718" s="20">
        <f>SUM(Registro[[#This Row],[Trim I]],Registro[[#This Row],[Trim II]],Registro[[#This Row],[Trim III]],Registro[[#This Row],[Trim IV]])</f>
        <v>0</v>
      </c>
      <c r="Y718" s="22">
        <f>IFERROR((Registro[[#This Row],[Avance Total]]/Registro[[#This Row],[Meta]]),0)</f>
        <v>0</v>
      </c>
      <c r="Z718" s="22">
        <f>IFERROR((Registro[[#This Row],[Avance Total]]-Registro[[#This Row],[Línea Base 2025]])/Registro[[#This Row],[Línea Base 2025]],0)</f>
        <v>-1</v>
      </c>
      <c r="AA718" s="20">
        <v>2026</v>
      </c>
    </row>
    <row r="719" spans="1:27" hidden="1">
      <c r="A719" s="14">
        <v>1056</v>
      </c>
      <c r="B719" s="15" t="s">
        <v>89</v>
      </c>
      <c r="C719" s="16">
        <v>113</v>
      </c>
      <c r="D719" s="16" t="s">
        <v>179</v>
      </c>
      <c r="E719" s="17" t="s">
        <v>178</v>
      </c>
      <c r="F719" s="24">
        <v>23</v>
      </c>
      <c r="G719" s="19">
        <v>327</v>
      </c>
      <c r="H719" s="19">
        <v>0</v>
      </c>
      <c r="I719" s="19">
        <v>3</v>
      </c>
      <c r="T719" s="19">
        <f>Registro[[#This Row],[Mes 1]]+Registro[[#This Row],[Mes 2]]+Registro[[#This Row],[Mes 3]]</f>
        <v>3</v>
      </c>
      <c r="U719" s="19">
        <f>Registro[[#This Row],[Mes 4]]+Registro[[#This Row],[Mes 5]]+Registro[[#This Row],[Mes 6]]</f>
        <v>0</v>
      </c>
      <c r="V719" s="19">
        <f>Registro[[#This Row],[Mes 7]]+Registro[[#This Row],[Mes 8]]+Registro[[#This Row],[Mes 9]]</f>
        <v>0</v>
      </c>
      <c r="W719" s="20">
        <f>Registro[[#This Row],[Mes 10]]+Registro[[#This Row],[Mes 11]]+Registro[[#This Row],[Mes 12]]</f>
        <v>0</v>
      </c>
      <c r="X719" s="20">
        <f>SUM(Registro[[#This Row],[Trim I]],Registro[[#This Row],[Trim II]],Registro[[#This Row],[Trim III]],Registro[[#This Row],[Trim IV]])</f>
        <v>3</v>
      </c>
      <c r="Y719" s="22">
        <f>IFERROR((Registro[[#This Row],[Avance Total]]/Registro[[#This Row],[Meta]]),0)</f>
        <v>9.1743119266055051E-3</v>
      </c>
      <c r="Z719" s="22">
        <f>IFERROR((Registro[[#This Row],[Avance Total]]-Registro[[#This Row],[Línea Base 2025]])/Registro[[#This Row],[Línea Base 2025]],0)</f>
        <v>-0.86956521739130432</v>
      </c>
      <c r="AA719" s="20">
        <v>2026</v>
      </c>
    </row>
    <row r="720" spans="1:27" hidden="1">
      <c r="A720" s="14">
        <v>1056</v>
      </c>
      <c r="B720" s="15" t="s">
        <v>89</v>
      </c>
      <c r="C720" s="16">
        <v>114</v>
      </c>
      <c r="D720" s="16" t="s">
        <v>181</v>
      </c>
      <c r="E720" s="17" t="s">
        <v>180</v>
      </c>
      <c r="F720" s="24">
        <v>0</v>
      </c>
      <c r="G720" s="19">
        <v>40</v>
      </c>
      <c r="H720" s="19">
        <v>18</v>
      </c>
      <c r="I720" s="19">
        <v>0</v>
      </c>
      <c r="T720" s="19">
        <f>Registro[[#This Row],[Mes 1]]+Registro[[#This Row],[Mes 2]]+Registro[[#This Row],[Mes 3]]</f>
        <v>18</v>
      </c>
      <c r="U720" s="19">
        <f>Registro[[#This Row],[Mes 4]]+Registro[[#This Row],[Mes 5]]+Registro[[#This Row],[Mes 6]]</f>
        <v>0</v>
      </c>
      <c r="V720" s="19">
        <f>Registro[[#This Row],[Mes 7]]+Registro[[#This Row],[Mes 8]]+Registro[[#This Row],[Mes 9]]</f>
        <v>0</v>
      </c>
      <c r="W720" s="20">
        <f>Registro[[#This Row],[Mes 10]]+Registro[[#This Row],[Mes 11]]+Registro[[#This Row],[Mes 12]]</f>
        <v>0</v>
      </c>
      <c r="X720" s="20">
        <f>SUM(Registro[[#This Row],[Trim I]],Registro[[#This Row],[Trim II]],Registro[[#This Row],[Trim III]],Registro[[#This Row],[Trim IV]])</f>
        <v>18</v>
      </c>
      <c r="Y720" s="22">
        <f>IFERROR((Registro[[#This Row],[Avance Total]]/Registro[[#This Row],[Meta]]),0)</f>
        <v>0.45</v>
      </c>
      <c r="Z720" s="22">
        <f>IFERROR((Registro[[#This Row],[Avance Total]]-Registro[[#This Row],[Línea Base 2025]])/Registro[[#This Row],[Línea Base 2025]],0)</f>
        <v>0</v>
      </c>
      <c r="AA720" s="20">
        <v>2026</v>
      </c>
    </row>
    <row r="721" spans="1:27" hidden="1">
      <c r="A721" s="14">
        <v>1056</v>
      </c>
      <c r="B721" s="15" t="s">
        <v>89</v>
      </c>
      <c r="C721" s="16">
        <v>115</v>
      </c>
      <c r="D721" s="16" t="s">
        <v>183</v>
      </c>
      <c r="E721" s="17" t="s">
        <v>182</v>
      </c>
      <c r="F721" s="24">
        <v>0</v>
      </c>
      <c r="G721" s="19">
        <v>36</v>
      </c>
      <c r="H721" s="19">
        <v>0</v>
      </c>
      <c r="I721" s="19">
        <v>0</v>
      </c>
      <c r="T721" s="19">
        <f>Registro[[#This Row],[Mes 1]]+Registro[[#This Row],[Mes 2]]+Registro[[#This Row],[Mes 3]]</f>
        <v>0</v>
      </c>
      <c r="U721" s="19">
        <f>Registro[[#This Row],[Mes 4]]+Registro[[#This Row],[Mes 5]]+Registro[[#This Row],[Mes 6]]</f>
        <v>0</v>
      </c>
      <c r="V721" s="19">
        <f>Registro[[#This Row],[Mes 7]]+Registro[[#This Row],[Mes 8]]+Registro[[#This Row],[Mes 9]]</f>
        <v>0</v>
      </c>
      <c r="W721" s="20">
        <f>Registro[[#This Row],[Mes 10]]+Registro[[#This Row],[Mes 11]]+Registro[[#This Row],[Mes 12]]</f>
        <v>0</v>
      </c>
      <c r="X721" s="20">
        <f>SUM(Registro[[#This Row],[Trim I]],Registro[[#This Row],[Trim II]],Registro[[#This Row],[Trim III]],Registro[[#This Row],[Trim IV]])</f>
        <v>0</v>
      </c>
      <c r="Y721" s="22">
        <f>IFERROR((Registro[[#This Row],[Avance Total]]/Registro[[#This Row],[Meta]]),0)</f>
        <v>0</v>
      </c>
      <c r="Z721" s="22">
        <f>IFERROR((Registro[[#This Row],[Avance Total]]-Registro[[#This Row],[Línea Base 2025]])/Registro[[#This Row],[Línea Base 2025]],0)</f>
        <v>0</v>
      </c>
      <c r="AA721" s="20">
        <v>2026</v>
      </c>
    </row>
    <row r="722" spans="1:27">
      <c r="A722" s="14">
        <v>1056</v>
      </c>
      <c r="B722" s="15" t="s">
        <v>89</v>
      </c>
      <c r="C722" s="16">
        <v>116</v>
      </c>
      <c r="D722" s="16" t="s">
        <v>185</v>
      </c>
      <c r="E722" s="17" t="s">
        <v>184</v>
      </c>
      <c r="F722" s="24">
        <v>0</v>
      </c>
      <c r="G722" s="19">
        <v>6</v>
      </c>
      <c r="H722" s="19">
        <v>0</v>
      </c>
      <c r="I722" s="19">
        <v>0</v>
      </c>
      <c r="T722" s="19">
        <f>Registro[[#This Row],[Mes 1]]+Registro[[#This Row],[Mes 2]]+Registro[[#This Row],[Mes 3]]</f>
        <v>0</v>
      </c>
      <c r="U722" s="19">
        <f>Registro[[#This Row],[Mes 4]]+Registro[[#This Row],[Mes 5]]+Registro[[#This Row],[Mes 6]]</f>
        <v>0</v>
      </c>
      <c r="V722" s="19">
        <f>Registro[[#This Row],[Mes 7]]+Registro[[#This Row],[Mes 8]]+Registro[[#This Row],[Mes 9]]</f>
        <v>0</v>
      </c>
      <c r="W722" s="20">
        <f>Registro[[#This Row],[Mes 10]]+Registro[[#This Row],[Mes 11]]+Registro[[#This Row],[Mes 12]]</f>
        <v>0</v>
      </c>
      <c r="X722" s="20">
        <f>SUM(Registro[[#This Row],[Trim I]],Registro[[#This Row],[Trim II]],Registro[[#This Row],[Trim III]],Registro[[#This Row],[Trim IV]])</f>
        <v>0</v>
      </c>
      <c r="Y722" s="22">
        <f>IFERROR((Registro[[#This Row],[Avance Total]]/Registro[[#This Row],[Meta]]),0)</f>
        <v>0</v>
      </c>
      <c r="Z722" s="22">
        <f>IFERROR((Registro[[#This Row],[Avance Total]]-Registro[[#This Row],[Línea Base 2025]])/Registro[[#This Row],[Línea Base 2025]],0)</f>
        <v>0</v>
      </c>
      <c r="AA722" s="20">
        <v>2026</v>
      </c>
    </row>
    <row r="723" spans="1:27" hidden="1">
      <c r="A723" s="14">
        <v>1056</v>
      </c>
      <c r="B723" s="15" t="s">
        <v>89</v>
      </c>
      <c r="C723" s="16">
        <v>117</v>
      </c>
      <c r="D723" s="16" t="s">
        <v>187</v>
      </c>
      <c r="E723" s="17" t="s">
        <v>186</v>
      </c>
      <c r="F723" s="24">
        <v>1</v>
      </c>
      <c r="G723" s="19">
        <v>4</v>
      </c>
      <c r="H723" s="19">
        <v>0</v>
      </c>
      <c r="I723" s="19">
        <v>0</v>
      </c>
      <c r="T723" s="19">
        <f>Registro[[#This Row],[Mes 1]]+Registro[[#This Row],[Mes 2]]+Registro[[#This Row],[Mes 3]]</f>
        <v>0</v>
      </c>
      <c r="U723" s="19">
        <f>Registro[[#This Row],[Mes 4]]+Registro[[#This Row],[Mes 5]]+Registro[[#This Row],[Mes 6]]</f>
        <v>0</v>
      </c>
      <c r="V723" s="19">
        <f>Registro[[#This Row],[Mes 7]]+Registro[[#This Row],[Mes 8]]+Registro[[#This Row],[Mes 9]]</f>
        <v>0</v>
      </c>
      <c r="W723" s="20">
        <f>Registro[[#This Row],[Mes 10]]+Registro[[#This Row],[Mes 11]]+Registro[[#This Row],[Mes 12]]</f>
        <v>0</v>
      </c>
      <c r="X723" s="20">
        <f>SUM(Registro[[#This Row],[Trim I]],Registro[[#This Row],[Trim II]],Registro[[#This Row],[Trim III]],Registro[[#This Row],[Trim IV]])</f>
        <v>0</v>
      </c>
      <c r="Y723" s="22">
        <f>IFERROR((Registro[[#This Row],[Avance Total]]/Registro[[#This Row],[Meta]]),0)</f>
        <v>0</v>
      </c>
      <c r="Z723" s="22">
        <f>IFERROR((Registro[[#This Row],[Avance Total]]-Registro[[#This Row],[Línea Base 2025]])/Registro[[#This Row],[Línea Base 2025]],0)</f>
        <v>-1</v>
      </c>
      <c r="AA723" s="20">
        <v>2026</v>
      </c>
    </row>
    <row r="724" spans="1:27" hidden="1">
      <c r="A724" s="14">
        <v>1056</v>
      </c>
      <c r="B724" s="15" t="s">
        <v>89</v>
      </c>
      <c r="C724" s="16">
        <v>118</v>
      </c>
      <c r="D724" s="16" t="s">
        <v>188</v>
      </c>
      <c r="E724" s="17" t="s">
        <v>9</v>
      </c>
      <c r="F724" s="24">
        <v>0</v>
      </c>
      <c r="G724" s="19">
        <v>8</v>
      </c>
      <c r="H724" s="19">
        <v>0</v>
      </c>
      <c r="I724" s="19">
        <v>0</v>
      </c>
      <c r="T724" s="19">
        <f>Registro[[#This Row],[Mes 1]]+Registro[[#This Row],[Mes 2]]+Registro[[#This Row],[Mes 3]]</f>
        <v>0</v>
      </c>
      <c r="U724" s="19">
        <f>Registro[[#This Row],[Mes 4]]+Registro[[#This Row],[Mes 5]]+Registro[[#This Row],[Mes 6]]</f>
        <v>0</v>
      </c>
      <c r="V724" s="19">
        <f>Registro[[#This Row],[Mes 7]]+Registro[[#This Row],[Mes 8]]+Registro[[#This Row],[Mes 9]]</f>
        <v>0</v>
      </c>
      <c r="W724" s="20">
        <f>Registro[[#This Row],[Mes 10]]+Registro[[#This Row],[Mes 11]]+Registro[[#This Row],[Mes 12]]</f>
        <v>0</v>
      </c>
      <c r="X724" s="20">
        <f>SUM(Registro[[#This Row],[Trim I]],Registro[[#This Row],[Trim II]],Registro[[#This Row],[Trim III]],Registro[[#This Row],[Trim IV]])</f>
        <v>0</v>
      </c>
      <c r="Y724" s="22">
        <f>IFERROR((Registro[[#This Row],[Avance Total]]/Registro[[#This Row],[Meta]]),0)</f>
        <v>0</v>
      </c>
      <c r="Z724" s="22">
        <f>IFERROR((Registro[[#This Row],[Avance Total]]-Registro[[#This Row],[Línea Base 2025]])/Registro[[#This Row],[Línea Base 2025]],0)</f>
        <v>0</v>
      </c>
      <c r="AA724" s="20">
        <v>2026</v>
      </c>
    </row>
    <row r="725" spans="1:27" hidden="1">
      <c r="A725" s="14">
        <v>1056</v>
      </c>
      <c r="B725" s="15" t="s">
        <v>89</v>
      </c>
      <c r="C725" s="16">
        <v>119</v>
      </c>
      <c r="D725" s="16" t="s">
        <v>190</v>
      </c>
      <c r="E725" s="17" t="s">
        <v>189</v>
      </c>
      <c r="F725" s="24">
        <v>0</v>
      </c>
      <c r="G725" s="19">
        <v>5</v>
      </c>
      <c r="H725" s="19">
        <v>0</v>
      </c>
      <c r="I725" s="19">
        <v>0</v>
      </c>
      <c r="T725" s="19">
        <f>Registro[[#This Row],[Mes 1]]+Registro[[#This Row],[Mes 2]]+Registro[[#This Row],[Mes 3]]</f>
        <v>0</v>
      </c>
      <c r="U725" s="19">
        <f>Registro[[#This Row],[Mes 4]]+Registro[[#This Row],[Mes 5]]+Registro[[#This Row],[Mes 6]]</f>
        <v>0</v>
      </c>
      <c r="V725" s="19">
        <f>Registro[[#This Row],[Mes 7]]+Registro[[#This Row],[Mes 8]]+Registro[[#This Row],[Mes 9]]</f>
        <v>0</v>
      </c>
      <c r="W725" s="20">
        <f>Registro[[#This Row],[Mes 10]]+Registro[[#This Row],[Mes 11]]+Registro[[#This Row],[Mes 12]]</f>
        <v>0</v>
      </c>
      <c r="X725" s="20">
        <f>SUM(Registro[[#This Row],[Trim I]],Registro[[#This Row],[Trim II]],Registro[[#This Row],[Trim III]],Registro[[#This Row],[Trim IV]])</f>
        <v>0</v>
      </c>
      <c r="Y725" s="22">
        <f>IFERROR((Registro[[#This Row],[Avance Total]]/Registro[[#This Row],[Meta]]),0)</f>
        <v>0</v>
      </c>
      <c r="Z725" s="22">
        <f>IFERROR((Registro[[#This Row],[Avance Total]]-Registro[[#This Row],[Línea Base 2025]])/Registro[[#This Row],[Línea Base 2025]],0)</f>
        <v>0</v>
      </c>
      <c r="AA725" s="20">
        <v>2026</v>
      </c>
    </row>
    <row r="726" spans="1:27" hidden="1">
      <c r="A726" s="14">
        <v>1056</v>
      </c>
      <c r="B726" s="15" t="s">
        <v>89</v>
      </c>
      <c r="C726" s="16">
        <v>120</v>
      </c>
      <c r="D726" s="16" t="s">
        <v>192</v>
      </c>
      <c r="E726" s="17" t="s">
        <v>191</v>
      </c>
      <c r="F726" s="24">
        <v>26</v>
      </c>
      <c r="G726" s="19">
        <v>30</v>
      </c>
      <c r="H726" s="19">
        <v>0</v>
      </c>
      <c r="I726" s="19">
        <v>7</v>
      </c>
      <c r="T726" s="19">
        <f>Registro[[#This Row],[Mes 1]]+Registro[[#This Row],[Mes 2]]+Registro[[#This Row],[Mes 3]]</f>
        <v>7</v>
      </c>
      <c r="U726" s="19">
        <f>Registro[[#This Row],[Mes 4]]+Registro[[#This Row],[Mes 5]]+Registro[[#This Row],[Mes 6]]</f>
        <v>0</v>
      </c>
      <c r="V726" s="19">
        <f>Registro[[#This Row],[Mes 7]]+Registro[[#This Row],[Mes 8]]+Registro[[#This Row],[Mes 9]]</f>
        <v>0</v>
      </c>
      <c r="W726" s="20">
        <f>Registro[[#This Row],[Mes 10]]+Registro[[#This Row],[Mes 11]]+Registro[[#This Row],[Mes 12]]</f>
        <v>0</v>
      </c>
      <c r="X726" s="20">
        <f>SUM(Registro[[#This Row],[Trim I]],Registro[[#This Row],[Trim II]],Registro[[#This Row],[Trim III]],Registro[[#This Row],[Trim IV]])</f>
        <v>7</v>
      </c>
      <c r="Y726" s="22">
        <f>IFERROR((Registro[[#This Row],[Avance Total]]/Registro[[#This Row],[Meta]]),0)</f>
        <v>0.23333333333333334</v>
      </c>
      <c r="Z726" s="22">
        <f>IFERROR((Registro[[#This Row],[Avance Total]]-Registro[[#This Row],[Línea Base 2025]])/Registro[[#This Row],[Línea Base 2025]],0)</f>
        <v>-0.73076923076923073</v>
      </c>
      <c r="AA726" s="20">
        <v>2026</v>
      </c>
    </row>
    <row r="727" spans="1:27" hidden="1">
      <c r="A727" s="14">
        <v>1056</v>
      </c>
      <c r="B727" s="15" t="s">
        <v>89</v>
      </c>
      <c r="C727" s="16">
        <v>121</v>
      </c>
      <c r="D727" s="16" t="s">
        <v>194</v>
      </c>
      <c r="E727" s="17" t="s">
        <v>193</v>
      </c>
      <c r="F727" s="24">
        <v>1</v>
      </c>
      <c r="G727" s="19">
        <v>15</v>
      </c>
      <c r="H727" s="19">
        <v>0</v>
      </c>
      <c r="I727" s="19">
        <v>0</v>
      </c>
      <c r="T727" s="19">
        <f>Registro[[#This Row],[Mes 1]]+Registro[[#This Row],[Mes 2]]+Registro[[#This Row],[Mes 3]]</f>
        <v>0</v>
      </c>
      <c r="U727" s="19">
        <f>Registro[[#This Row],[Mes 4]]+Registro[[#This Row],[Mes 5]]+Registro[[#This Row],[Mes 6]]</f>
        <v>0</v>
      </c>
      <c r="V727" s="19">
        <f>Registro[[#This Row],[Mes 7]]+Registro[[#This Row],[Mes 8]]+Registro[[#This Row],[Mes 9]]</f>
        <v>0</v>
      </c>
      <c r="W727" s="20">
        <f>Registro[[#This Row],[Mes 10]]+Registro[[#This Row],[Mes 11]]+Registro[[#This Row],[Mes 12]]</f>
        <v>0</v>
      </c>
      <c r="X727" s="20">
        <f>SUM(Registro[[#This Row],[Trim I]],Registro[[#This Row],[Trim II]],Registro[[#This Row],[Trim III]],Registro[[#This Row],[Trim IV]])</f>
        <v>0</v>
      </c>
      <c r="Y727" s="22">
        <f>IFERROR((Registro[[#This Row],[Avance Total]]/Registro[[#This Row],[Meta]]),0)</f>
        <v>0</v>
      </c>
      <c r="Z727" s="22">
        <f>IFERROR((Registro[[#This Row],[Avance Total]]-Registro[[#This Row],[Línea Base 2025]])/Registro[[#This Row],[Línea Base 2025]],0)</f>
        <v>-1</v>
      </c>
      <c r="AA727" s="20">
        <v>2026</v>
      </c>
    </row>
    <row r="728" spans="1:27" hidden="1">
      <c r="A728" s="14">
        <v>1056</v>
      </c>
      <c r="B728" s="15" t="s">
        <v>89</v>
      </c>
      <c r="C728" s="16">
        <v>122</v>
      </c>
      <c r="D728" s="16" t="s">
        <v>196</v>
      </c>
      <c r="E728" s="17" t="s">
        <v>195</v>
      </c>
      <c r="F728" s="24">
        <v>7</v>
      </c>
      <c r="G728" s="19">
        <v>8</v>
      </c>
      <c r="H728" s="19">
        <v>0</v>
      </c>
      <c r="I728" s="19">
        <v>0</v>
      </c>
      <c r="T728" s="19">
        <f>Registro[[#This Row],[Mes 1]]+Registro[[#This Row],[Mes 2]]+Registro[[#This Row],[Mes 3]]</f>
        <v>0</v>
      </c>
      <c r="U728" s="19">
        <f>Registro[[#This Row],[Mes 4]]+Registro[[#This Row],[Mes 5]]+Registro[[#This Row],[Mes 6]]</f>
        <v>0</v>
      </c>
      <c r="V728" s="19">
        <f>Registro[[#This Row],[Mes 7]]+Registro[[#This Row],[Mes 8]]+Registro[[#This Row],[Mes 9]]</f>
        <v>0</v>
      </c>
      <c r="W728" s="20">
        <f>Registro[[#This Row],[Mes 10]]+Registro[[#This Row],[Mes 11]]+Registro[[#This Row],[Mes 12]]</f>
        <v>0</v>
      </c>
      <c r="X728" s="20">
        <f>SUM(Registro[[#This Row],[Trim I]],Registro[[#This Row],[Trim II]],Registro[[#This Row],[Trim III]],Registro[[#This Row],[Trim IV]])</f>
        <v>0</v>
      </c>
      <c r="Y728" s="22">
        <f>IFERROR((Registro[[#This Row],[Avance Total]]/Registro[[#This Row],[Meta]]),0)</f>
        <v>0</v>
      </c>
      <c r="Z728" s="22">
        <f>IFERROR((Registro[[#This Row],[Avance Total]]-Registro[[#This Row],[Línea Base 2025]])/Registro[[#This Row],[Línea Base 2025]],0)</f>
        <v>-1</v>
      </c>
      <c r="AA728" s="20">
        <v>2026</v>
      </c>
    </row>
    <row r="729" spans="1:27" hidden="1">
      <c r="A729" s="14">
        <v>1056</v>
      </c>
      <c r="B729" s="15" t="s">
        <v>89</v>
      </c>
      <c r="C729" s="16">
        <v>123</v>
      </c>
      <c r="D729" s="16" t="s">
        <v>198</v>
      </c>
      <c r="E729" s="17" t="s">
        <v>197</v>
      </c>
      <c r="F729" s="24">
        <v>0</v>
      </c>
      <c r="G729" s="19">
        <v>7</v>
      </c>
      <c r="H729" s="19">
        <v>0</v>
      </c>
      <c r="I729" s="19">
        <v>0</v>
      </c>
      <c r="T729" s="19">
        <f>Registro[[#This Row],[Mes 1]]+Registro[[#This Row],[Mes 2]]+Registro[[#This Row],[Mes 3]]</f>
        <v>0</v>
      </c>
      <c r="U729" s="19">
        <f>Registro[[#This Row],[Mes 4]]+Registro[[#This Row],[Mes 5]]+Registro[[#This Row],[Mes 6]]</f>
        <v>0</v>
      </c>
      <c r="V729" s="19">
        <f>Registro[[#This Row],[Mes 7]]+Registro[[#This Row],[Mes 8]]+Registro[[#This Row],[Mes 9]]</f>
        <v>0</v>
      </c>
      <c r="W729" s="20">
        <f>Registro[[#This Row],[Mes 10]]+Registro[[#This Row],[Mes 11]]+Registro[[#This Row],[Mes 12]]</f>
        <v>0</v>
      </c>
      <c r="X729" s="20">
        <f>SUM(Registro[[#This Row],[Trim I]],Registro[[#This Row],[Trim II]],Registro[[#This Row],[Trim III]],Registro[[#This Row],[Trim IV]])</f>
        <v>0</v>
      </c>
      <c r="Y729" s="22">
        <f>IFERROR((Registro[[#This Row],[Avance Total]]/Registro[[#This Row],[Meta]]),0)</f>
        <v>0</v>
      </c>
      <c r="Z729" s="22">
        <f>IFERROR((Registro[[#This Row],[Avance Total]]-Registro[[#This Row],[Línea Base 2025]])/Registro[[#This Row],[Línea Base 2025]],0)</f>
        <v>0</v>
      </c>
      <c r="AA729" s="20">
        <v>2026</v>
      </c>
    </row>
    <row r="730" spans="1:27" hidden="1">
      <c r="A730" s="14">
        <v>1057</v>
      </c>
      <c r="B730" s="15" t="s">
        <v>90</v>
      </c>
      <c r="C730" s="16">
        <v>111</v>
      </c>
      <c r="D730" s="16" t="s">
        <v>171</v>
      </c>
      <c r="E730" s="17" t="s">
        <v>172</v>
      </c>
      <c r="F730" s="24">
        <v>9</v>
      </c>
      <c r="G730" s="19">
        <v>29</v>
      </c>
      <c r="H730" s="19">
        <v>6</v>
      </c>
      <c r="I730" s="19">
        <v>10</v>
      </c>
      <c r="T730" s="19">
        <f>Registro[[#This Row],[Mes 1]]+Registro[[#This Row],[Mes 2]]+Registro[[#This Row],[Mes 3]]</f>
        <v>16</v>
      </c>
      <c r="U730" s="19">
        <f>Registro[[#This Row],[Mes 4]]+Registro[[#This Row],[Mes 5]]+Registro[[#This Row],[Mes 6]]</f>
        <v>0</v>
      </c>
      <c r="V730" s="19">
        <f>Registro[[#This Row],[Mes 7]]+Registro[[#This Row],[Mes 8]]+Registro[[#This Row],[Mes 9]]</f>
        <v>0</v>
      </c>
      <c r="W730" s="20">
        <f>Registro[[#This Row],[Mes 10]]+Registro[[#This Row],[Mes 11]]+Registro[[#This Row],[Mes 12]]</f>
        <v>0</v>
      </c>
      <c r="X730" s="20">
        <f>SUM(Registro[[#This Row],[Trim I]],Registro[[#This Row],[Trim II]],Registro[[#This Row],[Trim III]],Registro[[#This Row],[Trim IV]])</f>
        <v>16</v>
      </c>
      <c r="Y730" s="22">
        <f>IFERROR((Registro[[#This Row],[Avance Total]]/Registro[[#This Row],[Meta]]),0)</f>
        <v>0.55172413793103448</v>
      </c>
      <c r="Z730" s="22">
        <f>IFERROR((Registro[[#This Row],[Avance Total]]-Registro[[#This Row],[Línea Base 2025]])/Registro[[#This Row],[Línea Base 2025]],0)</f>
        <v>0.77777777777777779</v>
      </c>
      <c r="AA730" s="20">
        <v>2026</v>
      </c>
    </row>
    <row r="731" spans="1:27" hidden="1">
      <c r="A731" s="14">
        <v>1057</v>
      </c>
      <c r="B731" s="15" t="s">
        <v>90</v>
      </c>
      <c r="C731" s="16">
        <v>112</v>
      </c>
      <c r="D731" s="16" t="s">
        <v>173</v>
      </c>
      <c r="E731" s="17" t="s">
        <v>7</v>
      </c>
      <c r="F731" s="24">
        <v>7</v>
      </c>
      <c r="G731" s="19">
        <v>10</v>
      </c>
      <c r="H731" s="19">
        <v>0</v>
      </c>
      <c r="I731" s="19">
        <v>0</v>
      </c>
      <c r="T731" s="19">
        <f>Registro[[#This Row],[Mes 1]]+Registro[[#This Row],[Mes 2]]+Registro[[#This Row],[Mes 3]]</f>
        <v>0</v>
      </c>
      <c r="U731" s="19">
        <f>Registro[[#This Row],[Mes 4]]+Registro[[#This Row],[Mes 5]]+Registro[[#This Row],[Mes 6]]</f>
        <v>0</v>
      </c>
      <c r="V731" s="19">
        <f>Registro[[#This Row],[Mes 7]]+Registro[[#This Row],[Mes 8]]+Registro[[#This Row],[Mes 9]]</f>
        <v>0</v>
      </c>
      <c r="W731" s="20">
        <f>Registro[[#This Row],[Mes 10]]+Registro[[#This Row],[Mes 11]]+Registro[[#This Row],[Mes 12]]</f>
        <v>0</v>
      </c>
      <c r="X731" s="20">
        <f>SUM(Registro[[#This Row],[Trim I]],Registro[[#This Row],[Trim II]],Registro[[#This Row],[Trim III]],Registro[[#This Row],[Trim IV]])</f>
        <v>0</v>
      </c>
      <c r="Y731" s="22">
        <f>IFERROR((Registro[[#This Row],[Avance Total]]/Registro[[#This Row],[Meta]]),0)</f>
        <v>0</v>
      </c>
      <c r="Z731" s="22">
        <f>IFERROR((Registro[[#This Row],[Avance Total]]-Registro[[#This Row],[Línea Base 2025]])/Registro[[#This Row],[Línea Base 2025]],0)</f>
        <v>-1</v>
      </c>
      <c r="AA731" s="20">
        <v>2026</v>
      </c>
    </row>
    <row r="732" spans="1:27" hidden="1">
      <c r="A732" s="14">
        <v>1057</v>
      </c>
      <c r="B732" s="15" t="s">
        <v>90</v>
      </c>
      <c r="C732" s="16">
        <v>113</v>
      </c>
      <c r="D732" s="16" t="s">
        <v>179</v>
      </c>
      <c r="E732" s="17" t="s">
        <v>178</v>
      </c>
      <c r="F732" s="24">
        <v>4</v>
      </c>
      <c r="G732" s="19">
        <v>21</v>
      </c>
      <c r="H732" s="19">
        <v>0</v>
      </c>
      <c r="I732" s="19">
        <v>0</v>
      </c>
      <c r="T732" s="19">
        <f>Registro[[#This Row],[Mes 1]]+Registro[[#This Row],[Mes 2]]+Registro[[#This Row],[Mes 3]]</f>
        <v>0</v>
      </c>
      <c r="U732" s="19">
        <f>Registro[[#This Row],[Mes 4]]+Registro[[#This Row],[Mes 5]]+Registro[[#This Row],[Mes 6]]</f>
        <v>0</v>
      </c>
      <c r="V732" s="19">
        <f>Registro[[#This Row],[Mes 7]]+Registro[[#This Row],[Mes 8]]+Registro[[#This Row],[Mes 9]]</f>
        <v>0</v>
      </c>
      <c r="W732" s="20">
        <f>Registro[[#This Row],[Mes 10]]+Registro[[#This Row],[Mes 11]]+Registro[[#This Row],[Mes 12]]</f>
        <v>0</v>
      </c>
      <c r="X732" s="20">
        <f>SUM(Registro[[#This Row],[Trim I]],Registro[[#This Row],[Trim II]],Registro[[#This Row],[Trim III]],Registro[[#This Row],[Trim IV]])</f>
        <v>0</v>
      </c>
      <c r="Y732" s="22">
        <f>IFERROR((Registro[[#This Row],[Avance Total]]/Registro[[#This Row],[Meta]]),0)</f>
        <v>0</v>
      </c>
      <c r="Z732" s="22">
        <f>IFERROR((Registro[[#This Row],[Avance Total]]-Registro[[#This Row],[Línea Base 2025]])/Registro[[#This Row],[Línea Base 2025]],0)</f>
        <v>-1</v>
      </c>
      <c r="AA732" s="20">
        <v>2026</v>
      </c>
    </row>
    <row r="733" spans="1:27" hidden="1">
      <c r="A733" s="14">
        <v>1057</v>
      </c>
      <c r="B733" s="15" t="s">
        <v>90</v>
      </c>
      <c r="C733" s="16">
        <v>114</v>
      </c>
      <c r="D733" s="16" t="s">
        <v>181</v>
      </c>
      <c r="E733" s="17" t="s">
        <v>180</v>
      </c>
      <c r="F733" s="24">
        <v>0</v>
      </c>
      <c r="G733" s="19">
        <v>5</v>
      </c>
      <c r="H733" s="19">
        <v>2</v>
      </c>
      <c r="I733" s="19">
        <v>0</v>
      </c>
      <c r="T733" s="19">
        <f>Registro[[#This Row],[Mes 1]]+Registro[[#This Row],[Mes 2]]+Registro[[#This Row],[Mes 3]]</f>
        <v>2</v>
      </c>
      <c r="U733" s="19">
        <f>Registro[[#This Row],[Mes 4]]+Registro[[#This Row],[Mes 5]]+Registro[[#This Row],[Mes 6]]</f>
        <v>0</v>
      </c>
      <c r="V733" s="19">
        <f>Registro[[#This Row],[Mes 7]]+Registro[[#This Row],[Mes 8]]+Registro[[#This Row],[Mes 9]]</f>
        <v>0</v>
      </c>
      <c r="W733" s="20">
        <f>Registro[[#This Row],[Mes 10]]+Registro[[#This Row],[Mes 11]]+Registro[[#This Row],[Mes 12]]</f>
        <v>0</v>
      </c>
      <c r="X733" s="20">
        <f>SUM(Registro[[#This Row],[Trim I]],Registro[[#This Row],[Trim II]],Registro[[#This Row],[Trim III]],Registro[[#This Row],[Trim IV]])</f>
        <v>2</v>
      </c>
      <c r="Y733" s="22">
        <f>IFERROR((Registro[[#This Row],[Avance Total]]/Registro[[#This Row],[Meta]]),0)</f>
        <v>0.4</v>
      </c>
      <c r="Z733" s="22">
        <f>IFERROR((Registro[[#This Row],[Avance Total]]-Registro[[#This Row],[Línea Base 2025]])/Registro[[#This Row],[Línea Base 2025]],0)</f>
        <v>0</v>
      </c>
      <c r="AA733" s="20">
        <v>2026</v>
      </c>
    </row>
    <row r="734" spans="1:27" hidden="1">
      <c r="A734" s="14">
        <v>1057</v>
      </c>
      <c r="B734" s="15" t="s">
        <v>90</v>
      </c>
      <c r="C734" s="16">
        <v>115</v>
      </c>
      <c r="D734" s="16" t="s">
        <v>183</v>
      </c>
      <c r="E734" s="17" t="s">
        <v>182</v>
      </c>
      <c r="F734" s="24">
        <v>0</v>
      </c>
      <c r="G734" s="19">
        <v>5</v>
      </c>
      <c r="H734" s="19">
        <v>0</v>
      </c>
      <c r="I734" s="19">
        <v>0</v>
      </c>
      <c r="T734" s="19">
        <f>Registro[[#This Row],[Mes 1]]+Registro[[#This Row],[Mes 2]]+Registro[[#This Row],[Mes 3]]</f>
        <v>0</v>
      </c>
      <c r="U734" s="19">
        <f>Registro[[#This Row],[Mes 4]]+Registro[[#This Row],[Mes 5]]+Registro[[#This Row],[Mes 6]]</f>
        <v>0</v>
      </c>
      <c r="V734" s="19">
        <f>Registro[[#This Row],[Mes 7]]+Registro[[#This Row],[Mes 8]]+Registro[[#This Row],[Mes 9]]</f>
        <v>0</v>
      </c>
      <c r="W734" s="20">
        <f>Registro[[#This Row],[Mes 10]]+Registro[[#This Row],[Mes 11]]+Registro[[#This Row],[Mes 12]]</f>
        <v>0</v>
      </c>
      <c r="X734" s="20">
        <f>SUM(Registro[[#This Row],[Trim I]],Registro[[#This Row],[Trim II]],Registro[[#This Row],[Trim III]],Registro[[#This Row],[Trim IV]])</f>
        <v>0</v>
      </c>
      <c r="Y734" s="22">
        <f>IFERROR((Registro[[#This Row],[Avance Total]]/Registro[[#This Row],[Meta]]),0)</f>
        <v>0</v>
      </c>
      <c r="Z734" s="22">
        <f>IFERROR((Registro[[#This Row],[Avance Total]]-Registro[[#This Row],[Línea Base 2025]])/Registro[[#This Row],[Línea Base 2025]],0)</f>
        <v>0</v>
      </c>
      <c r="AA734" s="20">
        <v>2026</v>
      </c>
    </row>
    <row r="735" spans="1:27">
      <c r="A735" s="14">
        <v>1057</v>
      </c>
      <c r="B735" s="15" t="s">
        <v>90</v>
      </c>
      <c r="C735" s="16">
        <v>116</v>
      </c>
      <c r="D735" s="16" t="s">
        <v>185</v>
      </c>
      <c r="E735" s="17" t="s">
        <v>184</v>
      </c>
      <c r="F735" s="24">
        <v>1</v>
      </c>
      <c r="G735" s="19">
        <v>1</v>
      </c>
      <c r="H735" s="19">
        <v>0</v>
      </c>
      <c r="I735" s="19">
        <v>0</v>
      </c>
      <c r="T735" s="19">
        <f>Registro[[#This Row],[Mes 1]]+Registro[[#This Row],[Mes 2]]+Registro[[#This Row],[Mes 3]]</f>
        <v>0</v>
      </c>
      <c r="U735" s="19">
        <f>Registro[[#This Row],[Mes 4]]+Registro[[#This Row],[Mes 5]]+Registro[[#This Row],[Mes 6]]</f>
        <v>0</v>
      </c>
      <c r="V735" s="19">
        <f>Registro[[#This Row],[Mes 7]]+Registro[[#This Row],[Mes 8]]+Registro[[#This Row],[Mes 9]]</f>
        <v>0</v>
      </c>
      <c r="W735" s="20">
        <f>Registro[[#This Row],[Mes 10]]+Registro[[#This Row],[Mes 11]]+Registro[[#This Row],[Mes 12]]</f>
        <v>0</v>
      </c>
      <c r="X735" s="20">
        <f>SUM(Registro[[#This Row],[Trim I]],Registro[[#This Row],[Trim II]],Registro[[#This Row],[Trim III]],Registro[[#This Row],[Trim IV]])</f>
        <v>0</v>
      </c>
      <c r="Y735" s="22">
        <f>IFERROR((Registro[[#This Row],[Avance Total]]/Registro[[#This Row],[Meta]]),0)</f>
        <v>0</v>
      </c>
      <c r="Z735" s="22">
        <f>IFERROR((Registro[[#This Row],[Avance Total]]-Registro[[#This Row],[Línea Base 2025]])/Registro[[#This Row],[Línea Base 2025]],0)</f>
        <v>-1</v>
      </c>
      <c r="AA735" s="20">
        <v>2026</v>
      </c>
    </row>
    <row r="736" spans="1:27" hidden="1">
      <c r="A736" s="14">
        <v>1057</v>
      </c>
      <c r="B736" s="15" t="s">
        <v>90</v>
      </c>
      <c r="C736" s="16">
        <v>117</v>
      </c>
      <c r="D736" s="16" t="s">
        <v>187</v>
      </c>
      <c r="E736" s="17" t="s">
        <v>186</v>
      </c>
      <c r="F736" s="24">
        <v>0</v>
      </c>
      <c r="G736" s="19">
        <v>2</v>
      </c>
      <c r="H736" s="19">
        <v>0</v>
      </c>
      <c r="I736" s="19">
        <v>0</v>
      </c>
      <c r="T736" s="19">
        <f>Registro[[#This Row],[Mes 1]]+Registro[[#This Row],[Mes 2]]+Registro[[#This Row],[Mes 3]]</f>
        <v>0</v>
      </c>
      <c r="U736" s="19">
        <f>Registro[[#This Row],[Mes 4]]+Registro[[#This Row],[Mes 5]]+Registro[[#This Row],[Mes 6]]</f>
        <v>0</v>
      </c>
      <c r="V736" s="19">
        <f>Registro[[#This Row],[Mes 7]]+Registro[[#This Row],[Mes 8]]+Registro[[#This Row],[Mes 9]]</f>
        <v>0</v>
      </c>
      <c r="W736" s="20">
        <f>Registro[[#This Row],[Mes 10]]+Registro[[#This Row],[Mes 11]]+Registro[[#This Row],[Mes 12]]</f>
        <v>0</v>
      </c>
      <c r="X736" s="20">
        <f>SUM(Registro[[#This Row],[Trim I]],Registro[[#This Row],[Trim II]],Registro[[#This Row],[Trim III]],Registro[[#This Row],[Trim IV]])</f>
        <v>0</v>
      </c>
      <c r="Y736" s="22">
        <f>IFERROR((Registro[[#This Row],[Avance Total]]/Registro[[#This Row],[Meta]]),0)</f>
        <v>0</v>
      </c>
      <c r="Z736" s="22">
        <f>IFERROR((Registro[[#This Row],[Avance Total]]-Registro[[#This Row],[Línea Base 2025]])/Registro[[#This Row],[Línea Base 2025]],0)</f>
        <v>0</v>
      </c>
      <c r="AA736" s="20">
        <v>2026</v>
      </c>
    </row>
    <row r="737" spans="1:27" hidden="1">
      <c r="A737" s="14">
        <v>1057</v>
      </c>
      <c r="B737" s="15" t="s">
        <v>90</v>
      </c>
      <c r="C737" s="16">
        <v>118</v>
      </c>
      <c r="D737" s="16" t="s">
        <v>188</v>
      </c>
      <c r="E737" s="17" t="s">
        <v>9</v>
      </c>
      <c r="F737" s="24">
        <v>0</v>
      </c>
      <c r="G737" s="19">
        <v>13</v>
      </c>
      <c r="H737" s="19">
        <v>0</v>
      </c>
      <c r="I737" s="19">
        <v>0</v>
      </c>
      <c r="T737" s="19">
        <f>Registro[[#This Row],[Mes 1]]+Registro[[#This Row],[Mes 2]]+Registro[[#This Row],[Mes 3]]</f>
        <v>0</v>
      </c>
      <c r="U737" s="19">
        <f>Registro[[#This Row],[Mes 4]]+Registro[[#This Row],[Mes 5]]+Registro[[#This Row],[Mes 6]]</f>
        <v>0</v>
      </c>
      <c r="V737" s="19">
        <f>Registro[[#This Row],[Mes 7]]+Registro[[#This Row],[Mes 8]]+Registro[[#This Row],[Mes 9]]</f>
        <v>0</v>
      </c>
      <c r="W737" s="20">
        <f>Registro[[#This Row],[Mes 10]]+Registro[[#This Row],[Mes 11]]+Registro[[#This Row],[Mes 12]]</f>
        <v>0</v>
      </c>
      <c r="X737" s="20">
        <f>SUM(Registro[[#This Row],[Trim I]],Registro[[#This Row],[Trim II]],Registro[[#This Row],[Trim III]],Registro[[#This Row],[Trim IV]])</f>
        <v>0</v>
      </c>
      <c r="Y737" s="22">
        <f>IFERROR((Registro[[#This Row],[Avance Total]]/Registro[[#This Row],[Meta]]),0)</f>
        <v>0</v>
      </c>
      <c r="Z737" s="22">
        <f>IFERROR((Registro[[#This Row],[Avance Total]]-Registro[[#This Row],[Línea Base 2025]])/Registro[[#This Row],[Línea Base 2025]],0)</f>
        <v>0</v>
      </c>
      <c r="AA737" s="20">
        <v>2026</v>
      </c>
    </row>
    <row r="738" spans="1:27" hidden="1">
      <c r="A738" s="14">
        <v>1057</v>
      </c>
      <c r="B738" s="15" t="s">
        <v>90</v>
      </c>
      <c r="C738" s="16">
        <v>119</v>
      </c>
      <c r="D738" s="16" t="s">
        <v>190</v>
      </c>
      <c r="E738" s="17" t="s">
        <v>189</v>
      </c>
      <c r="F738" s="24">
        <v>0</v>
      </c>
      <c r="G738" s="19">
        <v>1</v>
      </c>
      <c r="H738" s="19">
        <v>0</v>
      </c>
      <c r="I738" s="19">
        <v>0</v>
      </c>
      <c r="T738" s="19">
        <f>Registro[[#This Row],[Mes 1]]+Registro[[#This Row],[Mes 2]]+Registro[[#This Row],[Mes 3]]</f>
        <v>0</v>
      </c>
      <c r="U738" s="19">
        <f>Registro[[#This Row],[Mes 4]]+Registro[[#This Row],[Mes 5]]+Registro[[#This Row],[Mes 6]]</f>
        <v>0</v>
      </c>
      <c r="V738" s="19">
        <f>Registro[[#This Row],[Mes 7]]+Registro[[#This Row],[Mes 8]]+Registro[[#This Row],[Mes 9]]</f>
        <v>0</v>
      </c>
      <c r="W738" s="20">
        <f>Registro[[#This Row],[Mes 10]]+Registro[[#This Row],[Mes 11]]+Registro[[#This Row],[Mes 12]]</f>
        <v>0</v>
      </c>
      <c r="X738" s="20">
        <f>SUM(Registro[[#This Row],[Trim I]],Registro[[#This Row],[Trim II]],Registro[[#This Row],[Trim III]],Registro[[#This Row],[Trim IV]])</f>
        <v>0</v>
      </c>
      <c r="Y738" s="22">
        <f>IFERROR((Registro[[#This Row],[Avance Total]]/Registro[[#This Row],[Meta]]),0)</f>
        <v>0</v>
      </c>
      <c r="Z738" s="22">
        <f>IFERROR((Registro[[#This Row],[Avance Total]]-Registro[[#This Row],[Línea Base 2025]])/Registro[[#This Row],[Línea Base 2025]],0)</f>
        <v>0</v>
      </c>
      <c r="AA738" s="20">
        <v>2026</v>
      </c>
    </row>
    <row r="739" spans="1:27" hidden="1">
      <c r="A739" s="14">
        <v>1057</v>
      </c>
      <c r="B739" s="15" t="s">
        <v>90</v>
      </c>
      <c r="C739" s="16">
        <v>120</v>
      </c>
      <c r="D739" s="16" t="s">
        <v>192</v>
      </c>
      <c r="E739" s="17" t="s">
        <v>191</v>
      </c>
      <c r="F739" s="24">
        <v>21</v>
      </c>
      <c r="G739" s="19">
        <v>9</v>
      </c>
      <c r="H739" s="19">
        <v>0</v>
      </c>
      <c r="I739" s="19">
        <v>0</v>
      </c>
      <c r="T739" s="19">
        <f>Registro[[#This Row],[Mes 1]]+Registro[[#This Row],[Mes 2]]+Registro[[#This Row],[Mes 3]]</f>
        <v>0</v>
      </c>
      <c r="U739" s="19">
        <f>Registro[[#This Row],[Mes 4]]+Registro[[#This Row],[Mes 5]]+Registro[[#This Row],[Mes 6]]</f>
        <v>0</v>
      </c>
      <c r="V739" s="19">
        <f>Registro[[#This Row],[Mes 7]]+Registro[[#This Row],[Mes 8]]+Registro[[#This Row],[Mes 9]]</f>
        <v>0</v>
      </c>
      <c r="W739" s="20">
        <f>Registro[[#This Row],[Mes 10]]+Registro[[#This Row],[Mes 11]]+Registro[[#This Row],[Mes 12]]</f>
        <v>0</v>
      </c>
      <c r="X739" s="20">
        <f>SUM(Registro[[#This Row],[Trim I]],Registro[[#This Row],[Trim II]],Registro[[#This Row],[Trim III]],Registro[[#This Row],[Trim IV]])</f>
        <v>0</v>
      </c>
      <c r="Y739" s="22">
        <f>IFERROR((Registro[[#This Row],[Avance Total]]/Registro[[#This Row],[Meta]]),0)</f>
        <v>0</v>
      </c>
      <c r="Z739" s="22">
        <f>IFERROR((Registro[[#This Row],[Avance Total]]-Registro[[#This Row],[Línea Base 2025]])/Registro[[#This Row],[Línea Base 2025]],0)</f>
        <v>-1</v>
      </c>
      <c r="AA739" s="20">
        <v>2026</v>
      </c>
    </row>
    <row r="740" spans="1:27" hidden="1">
      <c r="A740" s="14">
        <v>1057</v>
      </c>
      <c r="B740" s="15" t="s">
        <v>90</v>
      </c>
      <c r="C740" s="16">
        <v>121</v>
      </c>
      <c r="D740" s="16" t="s">
        <v>194</v>
      </c>
      <c r="E740" s="17" t="s">
        <v>193</v>
      </c>
      <c r="F740" s="24">
        <v>8</v>
      </c>
      <c r="G740" s="19">
        <v>11</v>
      </c>
      <c r="H740" s="19">
        <v>0</v>
      </c>
      <c r="I740" s="19">
        <v>0</v>
      </c>
      <c r="T740" s="19">
        <f>Registro[[#This Row],[Mes 1]]+Registro[[#This Row],[Mes 2]]+Registro[[#This Row],[Mes 3]]</f>
        <v>0</v>
      </c>
      <c r="U740" s="19">
        <f>Registro[[#This Row],[Mes 4]]+Registro[[#This Row],[Mes 5]]+Registro[[#This Row],[Mes 6]]</f>
        <v>0</v>
      </c>
      <c r="V740" s="19">
        <f>Registro[[#This Row],[Mes 7]]+Registro[[#This Row],[Mes 8]]+Registro[[#This Row],[Mes 9]]</f>
        <v>0</v>
      </c>
      <c r="W740" s="20">
        <f>Registro[[#This Row],[Mes 10]]+Registro[[#This Row],[Mes 11]]+Registro[[#This Row],[Mes 12]]</f>
        <v>0</v>
      </c>
      <c r="X740" s="20">
        <f>SUM(Registro[[#This Row],[Trim I]],Registro[[#This Row],[Trim II]],Registro[[#This Row],[Trim III]],Registro[[#This Row],[Trim IV]])</f>
        <v>0</v>
      </c>
      <c r="Y740" s="22">
        <f>IFERROR((Registro[[#This Row],[Avance Total]]/Registro[[#This Row],[Meta]]),0)</f>
        <v>0</v>
      </c>
      <c r="Z740" s="22">
        <f>IFERROR((Registro[[#This Row],[Avance Total]]-Registro[[#This Row],[Línea Base 2025]])/Registro[[#This Row],[Línea Base 2025]],0)</f>
        <v>-1</v>
      </c>
      <c r="AA740" s="20">
        <v>2026</v>
      </c>
    </row>
    <row r="741" spans="1:27" hidden="1">
      <c r="A741" s="14">
        <v>1057</v>
      </c>
      <c r="B741" s="15" t="s">
        <v>90</v>
      </c>
      <c r="C741" s="16">
        <v>122</v>
      </c>
      <c r="D741" s="16" t="s">
        <v>196</v>
      </c>
      <c r="E741" s="17" t="s">
        <v>195</v>
      </c>
      <c r="F741" s="24">
        <v>0</v>
      </c>
      <c r="G741" s="19">
        <v>3</v>
      </c>
      <c r="H741" s="19">
        <v>0</v>
      </c>
      <c r="I741" s="19">
        <v>0</v>
      </c>
      <c r="T741" s="19">
        <f>Registro[[#This Row],[Mes 1]]+Registro[[#This Row],[Mes 2]]+Registro[[#This Row],[Mes 3]]</f>
        <v>0</v>
      </c>
      <c r="U741" s="19">
        <f>Registro[[#This Row],[Mes 4]]+Registro[[#This Row],[Mes 5]]+Registro[[#This Row],[Mes 6]]</f>
        <v>0</v>
      </c>
      <c r="V741" s="19">
        <f>Registro[[#This Row],[Mes 7]]+Registro[[#This Row],[Mes 8]]+Registro[[#This Row],[Mes 9]]</f>
        <v>0</v>
      </c>
      <c r="W741" s="20">
        <f>Registro[[#This Row],[Mes 10]]+Registro[[#This Row],[Mes 11]]+Registro[[#This Row],[Mes 12]]</f>
        <v>0</v>
      </c>
      <c r="X741" s="20">
        <f>SUM(Registro[[#This Row],[Trim I]],Registro[[#This Row],[Trim II]],Registro[[#This Row],[Trim III]],Registro[[#This Row],[Trim IV]])</f>
        <v>0</v>
      </c>
      <c r="Y741" s="22">
        <f>IFERROR((Registro[[#This Row],[Avance Total]]/Registro[[#This Row],[Meta]]),0)</f>
        <v>0</v>
      </c>
      <c r="Z741" s="22">
        <f>IFERROR((Registro[[#This Row],[Avance Total]]-Registro[[#This Row],[Línea Base 2025]])/Registro[[#This Row],[Línea Base 2025]],0)</f>
        <v>0</v>
      </c>
      <c r="AA741" s="20">
        <v>2026</v>
      </c>
    </row>
    <row r="742" spans="1:27" hidden="1">
      <c r="A742" s="14">
        <v>1057</v>
      </c>
      <c r="B742" s="15" t="s">
        <v>90</v>
      </c>
      <c r="C742" s="16">
        <v>123</v>
      </c>
      <c r="D742" s="16" t="s">
        <v>198</v>
      </c>
      <c r="E742" s="17" t="s">
        <v>197</v>
      </c>
      <c r="F742" s="24">
        <v>0</v>
      </c>
      <c r="G742" s="19">
        <v>2</v>
      </c>
      <c r="H742" s="19">
        <v>0</v>
      </c>
      <c r="I742" s="19">
        <v>0</v>
      </c>
      <c r="T742" s="19">
        <f>Registro[[#This Row],[Mes 1]]+Registro[[#This Row],[Mes 2]]+Registro[[#This Row],[Mes 3]]</f>
        <v>0</v>
      </c>
      <c r="U742" s="19">
        <f>Registro[[#This Row],[Mes 4]]+Registro[[#This Row],[Mes 5]]+Registro[[#This Row],[Mes 6]]</f>
        <v>0</v>
      </c>
      <c r="V742" s="19">
        <f>Registro[[#This Row],[Mes 7]]+Registro[[#This Row],[Mes 8]]+Registro[[#This Row],[Mes 9]]</f>
        <v>0</v>
      </c>
      <c r="W742" s="20">
        <f>Registro[[#This Row],[Mes 10]]+Registro[[#This Row],[Mes 11]]+Registro[[#This Row],[Mes 12]]</f>
        <v>0</v>
      </c>
      <c r="X742" s="20">
        <f>SUM(Registro[[#This Row],[Trim I]],Registro[[#This Row],[Trim II]],Registro[[#This Row],[Trim III]],Registro[[#This Row],[Trim IV]])</f>
        <v>0</v>
      </c>
      <c r="Y742" s="22">
        <f>IFERROR((Registro[[#This Row],[Avance Total]]/Registro[[#This Row],[Meta]]),0)</f>
        <v>0</v>
      </c>
      <c r="Z742" s="22">
        <f>IFERROR((Registro[[#This Row],[Avance Total]]-Registro[[#This Row],[Línea Base 2025]])/Registro[[#This Row],[Línea Base 2025]],0)</f>
        <v>0</v>
      </c>
      <c r="AA742" s="20">
        <v>2026</v>
      </c>
    </row>
    <row r="743" spans="1:27" hidden="1">
      <c r="A743" s="14">
        <v>1058</v>
      </c>
      <c r="B743" s="15" t="s">
        <v>91</v>
      </c>
      <c r="C743" s="16">
        <v>111</v>
      </c>
      <c r="D743" s="16" t="s">
        <v>171</v>
      </c>
      <c r="E743" s="17" t="s">
        <v>172</v>
      </c>
      <c r="F743" s="24">
        <v>32</v>
      </c>
      <c r="G743" s="19">
        <v>102</v>
      </c>
      <c r="H743" s="19">
        <v>0</v>
      </c>
      <c r="I743" s="19">
        <v>2</v>
      </c>
      <c r="T743" s="19">
        <f>Registro[[#This Row],[Mes 1]]+Registro[[#This Row],[Mes 2]]+Registro[[#This Row],[Mes 3]]</f>
        <v>2</v>
      </c>
      <c r="U743" s="19">
        <f>Registro[[#This Row],[Mes 4]]+Registro[[#This Row],[Mes 5]]+Registro[[#This Row],[Mes 6]]</f>
        <v>0</v>
      </c>
      <c r="V743" s="19">
        <f>Registro[[#This Row],[Mes 7]]+Registro[[#This Row],[Mes 8]]+Registro[[#This Row],[Mes 9]]</f>
        <v>0</v>
      </c>
      <c r="W743" s="20">
        <f>Registro[[#This Row],[Mes 10]]+Registro[[#This Row],[Mes 11]]+Registro[[#This Row],[Mes 12]]</f>
        <v>0</v>
      </c>
      <c r="X743" s="20">
        <f>SUM(Registro[[#This Row],[Trim I]],Registro[[#This Row],[Trim II]],Registro[[#This Row],[Trim III]],Registro[[#This Row],[Trim IV]])</f>
        <v>2</v>
      </c>
      <c r="Y743" s="22">
        <f>IFERROR((Registro[[#This Row],[Avance Total]]/Registro[[#This Row],[Meta]]),0)</f>
        <v>1.9607843137254902E-2</v>
      </c>
      <c r="Z743" s="22">
        <f>IFERROR((Registro[[#This Row],[Avance Total]]-Registro[[#This Row],[Línea Base 2025]])/Registro[[#This Row],[Línea Base 2025]],0)</f>
        <v>-0.9375</v>
      </c>
      <c r="AA743" s="20">
        <v>2026</v>
      </c>
    </row>
    <row r="744" spans="1:27" hidden="1">
      <c r="A744" s="14">
        <v>1058</v>
      </c>
      <c r="B744" s="15" t="s">
        <v>91</v>
      </c>
      <c r="C744" s="16">
        <v>112</v>
      </c>
      <c r="D744" s="16" t="s">
        <v>173</v>
      </c>
      <c r="E744" s="17" t="s">
        <v>7</v>
      </c>
      <c r="F744" s="24">
        <v>23</v>
      </c>
      <c r="G744" s="19">
        <v>72</v>
      </c>
      <c r="H744" s="19">
        <v>0</v>
      </c>
      <c r="I744" s="19">
        <v>0</v>
      </c>
      <c r="T744" s="19">
        <f>Registro[[#This Row],[Mes 1]]+Registro[[#This Row],[Mes 2]]+Registro[[#This Row],[Mes 3]]</f>
        <v>0</v>
      </c>
      <c r="U744" s="19">
        <f>Registro[[#This Row],[Mes 4]]+Registro[[#This Row],[Mes 5]]+Registro[[#This Row],[Mes 6]]</f>
        <v>0</v>
      </c>
      <c r="V744" s="19">
        <f>Registro[[#This Row],[Mes 7]]+Registro[[#This Row],[Mes 8]]+Registro[[#This Row],[Mes 9]]</f>
        <v>0</v>
      </c>
      <c r="W744" s="20">
        <f>Registro[[#This Row],[Mes 10]]+Registro[[#This Row],[Mes 11]]+Registro[[#This Row],[Mes 12]]</f>
        <v>0</v>
      </c>
      <c r="X744" s="20">
        <f>SUM(Registro[[#This Row],[Trim I]],Registro[[#This Row],[Trim II]],Registro[[#This Row],[Trim III]],Registro[[#This Row],[Trim IV]])</f>
        <v>0</v>
      </c>
      <c r="Y744" s="22">
        <f>IFERROR((Registro[[#This Row],[Avance Total]]/Registro[[#This Row],[Meta]]),0)</f>
        <v>0</v>
      </c>
      <c r="Z744" s="22">
        <f>IFERROR((Registro[[#This Row],[Avance Total]]-Registro[[#This Row],[Línea Base 2025]])/Registro[[#This Row],[Línea Base 2025]],0)</f>
        <v>-1</v>
      </c>
      <c r="AA744" s="20">
        <v>2026</v>
      </c>
    </row>
    <row r="745" spans="1:27" hidden="1">
      <c r="A745" s="14">
        <v>1058</v>
      </c>
      <c r="B745" s="15" t="s">
        <v>91</v>
      </c>
      <c r="C745" s="16">
        <v>113</v>
      </c>
      <c r="D745" s="16" t="s">
        <v>179</v>
      </c>
      <c r="E745" s="17" t="s">
        <v>178</v>
      </c>
      <c r="F745" s="24">
        <v>25</v>
      </c>
      <c r="G745" s="19">
        <v>220</v>
      </c>
      <c r="H745" s="19">
        <v>0</v>
      </c>
      <c r="I745" s="19">
        <v>0</v>
      </c>
      <c r="T745" s="19">
        <f>Registro[[#This Row],[Mes 1]]+Registro[[#This Row],[Mes 2]]+Registro[[#This Row],[Mes 3]]</f>
        <v>0</v>
      </c>
      <c r="U745" s="19">
        <f>Registro[[#This Row],[Mes 4]]+Registro[[#This Row],[Mes 5]]+Registro[[#This Row],[Mes 6]]</f>
        <v>0</v>
      </c>
      <c r="V745" s="19">
        <f>Registro[[#This Row],[Mes 7]]+Registro[[#This Row],[Mes 8]]+Registro[[#This Row],[Mes 9]]</f>
        <v>0</v>
      </c>
      <c r="W745" s="20">
        <f>Registro[[#This Row],[Mes 10]]+Registro[[#This Row],[Mes 11]]+Registro[[#This Row],[Mes 12]]</f>
        <v>0</v>
      </c>
      <c r="X745" s="20">
        <f>SUM(Registro[[#This Row],[Trim I]],Registro[[#This Row],[Trim II]],Registro[[#This Row],[Trim III]],Registro[[#This Row],[Trim IV]])</f>
        <v>0</v>
      </c>
      <c r="Y745" s="22">
        <f>IFERROR((Registro[[#This Row],[Avance Total]]/Registro[[#This Row],[Meta]]),0)</f>
        <v>0</v>
      </c>
      <c r="Z745" s="22">
        <f>IFERROR((Registro[[#This Row],[Avance Total]]-Registro[[#This Row],[Línea Base 2025]])/Registro[[#This Row],[Línea Base 2025]],0)</f>
        <v>-1</v>
      </c>
      <c r="AA745" s="20">
        <v>2026</v>
      </c>
    </row>
    <row r="746" spans="1:27" hidden="1">
      <c r="A746" s="14">
        <v>1058</v>
      </c>
      <c r="B746" s="15" t="s">
        <v>91</v>
      </c>
      <c r="C746" s="16">
        <v>114</v>
      </c>
      <c r="D746" s="16" t="s">
        <v>181</v>
      </c>
      <c r="E746" s="17" t="s">
        <v>180</v>
      </c>
      <c r="F746" s="24">
        <v>0</v>
      </c>
      <c r="G746" s="19">
        <v>26</v>
      </c>
      <c r="H746" s="19">
        <v>0</v>
      </c>
      <c r="I746" s="19">
        <v>0</v>
      </c>
      <c r="T746" s="19">
        <f>Registro[[#This Row],[Mes 1]]+Registro[[#This Row],[Mes 2]]+Registro[[#This Row],[Mes 3]]</f>
        <v>0</v>
      </c>
      <c r="U746" s="19">
        <f>Registro[[#This Row],[Mes 4]]+Registro[[#This Row],[Mes 5]]+Registro[[#This Row],[Mes 6]]</f>
        <v>0</v>
      </c>
      <c r="V746" s="19">
        <f>Registro[[#This Row],[Mes 7]]+Registro[[#This Row],[Mes 8]]+Registro[[#This Row],[Mes 9]]</f>
        <v>0</v>
      </c>
      <c r="W746" s="20">
        <f>Registro[[#This Row],[Mes 10]]+Registro[[#This Row],[Mes 11]]+Registro[[#This Row],[Mes 12]]</f>
        <v>0</v>
      </c>
      <c r="X746" s="20">
        <f>SUM(Registro[[#This Row],[Trim I]],Registro[[#This Row],[Trim II]],Registro[[#This Row],[Trim III]],Registro[[#This Row],[Trim IV]])</f>
        <v>0</v>
      </c>
      <c r="Y746" s="22">
        <f>IFERROR((Registro[[#This Row],[Avance Total]]/Registro[[#This Row],[Meta]]),0)</f>
        <v>0</v>
      </c>
      <c r="Z746" s="22">
        <f>IFERROR((Registro[[#This Row],[Avance Total]]-Registro[[#This Row],[Línea Base 2025]])/Registro[[#This Row],[Línea Base 2025]],0)</f>
        <v>0</v>
      </c>
      <c r="AA746" s="20">
        <v>2026</v>
      </c>
    </row>
    <row r="747" spans="1:27" hidden="1">
      <c r="A747" s="14">
        <v>1058</v>
      </c>
      <c r="B747" s="15" t="s">
        <v>91</v>
      </c>
      <c r="C747" s="16">
        <v>115</v>
      </c>
      <c r="D747" s="16" t="s">
        <v>183</v>
      </c>
      <c r="E747" s="17" t="s">
        <v>182</v>
      </c>
      <c r="F747" s="24">
        <v>0</v>
      </c>
      <c r="G747" s="19">
        <v>23</v>
      </c>
      <c r="H747" s="19">
        <v>0</v>
      </c>
      <c r="I747" s="19">
        <v>0</v>
      </c>
      <c r="T747" s="19">
        <f>Registro[[#This Row],[Mes 1]]+Registro[[#This Row],[Mes 2]]+Registro[[#This Row],[Mes 3]]</f>
        <v>0</v>
      </c>
      <c r="U747" s="19">
        <f>Registro[[#This Row],[Mes 4]]+Registro[[#This Row],[Mes 5]]+Registro[[#This Row],[Mes 6]]</f>
        <v>0</v>
      </c>
      <c r="V747" s="19">
        <f>Registro[[#This Row],[Mes 7]]+Registro[[#This Row],[Mes 8]]+Registro[[#This Row],[Mes 9]]</f>
        <v>0</v>
      </c>
      <c r="W747" s="20">
        <f>Registro[[#This Row],[Mes 10]]+Registro[[#This Row],[Mes 11]]+Registro[[#This Row],[Mes 12]]</f>
        <v>0</v>
      </c>
      <c r="X747" s="20">
        <f>SUM(Registro[[#This Row],[Trim I]],Registro[[#This Row],[Trim II]],Registro[[#This Row],[Trim III]],Registro[[#This Row],[Trim IV]])</f>
        <v>0</v>
      </c>
      <c r="Y747" s="22">
        <f>IFERROR((Registro[[#This Row],[Avance Total]]/Registro[[#This Row],[Meta]]),0)</f>
        <v>0</v>
      </c>
      <c r="Z747" s="22">
        <f>IFERROR((Registro[[#This Row],[Avance Total]]-Registro[[#This Row],[Línea Base 2025]])/Registro[[#This Row],[Línea Base 2025]],0)</f>
        <v>0</v>
      </c>
      <c r="AA747" s="20">
        <v>2026</v>
      </c>
    </row>
    <row r="748" spans="1:27">
      <c r="A748" s="14">
        <v>1058</v>
      </c>
      <c r="B748" s="15" t="s">
        <v>91</v>
      </c>
      <c r="C748" s="16">
        <v>116</v>
      </c>
      <c r="D748" s="16" t="s">
        <v>185</v>
      </c>
      <c r="E748" s="17" t="s">
        <v>184</v>
      </c>
      <c r="F748" s="24">
        <v>1</v>
      </c>
      <c r="G748" s="19">
        <v>3</v>
      </c>
      <c r="H748" s="19">
        <v>0</v>
      </c>
      <c r="I748" s="19">
        <v>0</v>
      </c>
      <c r="T748" s="19">
        <f>Registro[[#This Row],[Mes 1]]+Registro[[#This Row],[Mes 2]]+Registro[[#This Row],[Mes 3]]</f>
        <v>0</v>
      </c>
      <c r="U748" s="19">
        <f>Registro[[#This Row],[Mes 4]]+Registro[[#This Row],[Mes 5]]+Registro[[#This Row],[Mes 6]]</f>
        <v>0</v>
      </c>
      <c r="V748" s="19">
        <f>Registro[[#This Row],[Mes 7]]+Registro[[#This Row],[Mes 8]]+Registro[[#This Row],[Mes 9]]</f>
        <v>0</v>
      </c>
      <c r="W748" s="20">
        <f>Registro[[#This Row],[Mes 10]]+Registro[[#This Row],[Mes 11]]+Registro[[#This Row],[Mes 12]]</f>
        <v>0</v>
      </c>
      <c r="X748" s="20">
        <f>SUM(Registro[[#This Row],[Trim I]],Registro[[#This Row],[Trim II]],Registro[[#This Row],[Trim III]],Registro[[#This Row],[Trim IV]])</f>
        <v>0</v>
      </c>
      <c r="Y748" s="22">
        <f>IFERROR((Registro[[#This Row],[Avance Total]]/Registro[[#This Row],[Meta]]),0)</f>
        <v>0</v>
      </c>
      <c r="Z748" s="22">
        <f>IFERROR((Registro[[#This Row],[Avance Total]]-Registro[[#This Row],[Línea Base 2025]])/Registro[[#This Row],[Línea Base 2025]],0)</f>
        <v>-1</v>
      </c>
      <c r="AA748" s="20">
        <v>2026</v>
      </c>
    </row>
    <row r="749" spans="1:27" hidden="1">
      <c r="A749" s="14">
        <v>1058</v>
      </c>
      <c r="B749" s="15" t="s">
        <v>91</v>
      </c>
      <c r="C749" s="16">
        <v>117</v>
      </c>
      <c r="D749" s="16" t="s">
        <v>187</v>
      </c>
      <c r="E749" s="17" t="s">
        <v>186</v>
      </c>
      <c r="F749" s="24">
        <v>0</v>
      </c>
      <c r="G749" s="19">
        <v>3</v>
      </c>
      <c r="H749" s="19">
        <v>0</v>
      </c>
      <c r="I749" s="19">
        <v>0</v>
      </c>
      <c r="T749" s="19">
        <f>Registro[[#This Row],[Mes 1]]+Registro[[#This Row],[Mes 2]]+Registro[[#This Row],[Mes 3]]</f>
        <v>0</v>
      </c>
      <c r="U749" s="19">
        <f>Registro[[#This Row],[Mes 4]]+Registro[[#This Row],[Mes 5]]+Registro[[#This Row],[Mes 6]]</f>
        <v>0</v>
      </c>
      <c r="V749" s="19">
        <f>Registro[[#This Row],[Mes 7]]+Registro[[#This Row],[Mes 8]]+Registro[[#This Row],[Mes 9]]</f>
        <v>0</v>
      </c>
      <c r="W749" s="20">
        <f>Registro[[#This Row],[Mes 10]]+Registro[[#This Row],[Mes 11]]+Registro[[#This Row],[Mes 12]]</f>
        <v>0</v>
      </c>
      <c r="X749" s="20">
        <f>SUM(Registro[[#This Row],[Trim I]],Registro[[#This Row],[Trim II]],Registro[[#This Row],[Trim III]],Registro[[#This Row],[Trim IV]])</f>
        <v>0</v>
      </c>
      <c r="Y749" s="22">
        <f>IFERROR((Registro[[#This Row],[Avance Total]]/Registro[[#This Row],[Meta]]),0)</f>
        <v>0</v>
      </c>
      <c r="Z749" s="22">
        <f>IFERROR((Registro[[#This Row],[Avance Total]]-Registro[[#This Row],[Línea Base 2025]])/Registro[[#This Row],[Línea Base 2025]],0)</f>
        <v>0</v>
      </c>
      <c r="AA749" s="20">
        <v>2026</v>
      </c>
    </row>
    <row r="750" spans="1:27" hidden="1">
      <c r="A750" s="14">
        <v>1058</v>
      </c>
      <c r="B750" s="15" t="s">
        <v>91</v>
      </c>
      <c r="C750" s="16">
        <v>118</v>
      </c>
      <c r="D750" s="16" t="s">
        <v>188</v>
      </c>
      <c r="E750" s="17" t="s">
        <v>9</v>
      </c>
      <c r="F750" s="24">
        <v>0</v>
      </c>
      <c r="G750" s="19">
        <v>4</v>
      </c>
      <c r="H750" s="19">
        <v>0</v>
      </c>
      <c r="I750" s="19">
        <v>0</v>
      </c>
      <c r="T750" s="19">
        <f>Registro[[#This Row],[Mes 1]]+Registro[[#This Row],[Mes 2]]+Registro[[#This Row],[Mes 3]]</f>
        <v>0</v>
      </c>
      <c r="U750" s="19">
        <f>Registro[[#This Row],[Mes 4]]+Registro[[#This Row],[Mes 5]]+Registro[[#This Row],[Mes 6]]</f>
        <v>0</v>
      </c>
      <c r="V750" s="19">
        <f>Registro[[#This Row],[Mes 7]]+Registro[[#This Row],[Mes 8]]+Registro[[#This Row],[Mes 9]]</f>
        <v>0</v>
      </c>
      <c r="W750" s="20">
        <f>Registro[[#This Row],[Mes 10]]+Registro[[#This Row],[Mes 11]]+Registro[[#This Row],[Mes 12]]</f>
        <v>0</v>
      </c>
      <c r="X750" s="20">
        <f>SUM(Registro[[#This Row],[Trim I]],Registro[[#This Row],[Trim II]],Registro[[#This Row],[Trim III]],Registro[[#This Row],[Trim IV]])</f>
        <v>0</v>
      </c>
      <c r="Y750" s="22">
        <f>IFERROR((Registro[[#This Row],[Avance Total]]/Registro[[#This Row],[Meta]]),0)</f>
        <v>0</v>
      </c>
      <c r="Z750" s="22">
        <f>IFERROR((Registro[[#This Row],[Avance Total]]-Registro[[#This Row],[Línea Base 2025]])/Registro[[#This Row],[Línea Base 2025]],0)</f>
        <v>0</v>
      </c>
      <c r="AA750" s="20">
        <v>2026</v>
      </c>
    </row>
    <row r="751" spans="1:27" hidden="1">
      <c r="A751" s="14">
        <v>1058</v>
      </c>
      <c r="B751" s="15" t="s">
        <v>91</v>
      </c>
      <c r="C751" s="16">
        <v>119</v>
      </c>
      <c r="D751" s="16" t="s">
        <v>190</v>
      </c>
      <c r="E751" s="17" t="s">
        <v>189</v>
      </c>
      <c r="F751" s="24">
        <v>0</v>
      </c>
      <c r="G751" s="19">
        <v>2</v>
      </c>
      <c r="H751" s="19">
        <v>0</v>
      </c>
      <c r="I751" s="19">
        <v>0</v>
      </c>
      <c r="T751" s="19">
        <f>Registro[[#This Row],[Mes 1]]+Registro[[#This Row],[Mes 2]]+Registro[[#This Row],[Mes 3]]</f>
        <v>0</v>
      </c>
      <c r="U751" s="19">
        <f>Registro[[#This Row],[Mes 4]]+Registro[[#This Row],[Mes 5]]+Registro[[#This Row],[Mes 6]]</f>
        <v>0</v>
      </c>
      <c r="V751" s="19">
        <f>Registro[[#This Row],[Mes 7]]+Registro[[#This Row],[Mes 8]]+Registro[[#This Row],[Mes 9]]</f>
        <v>0</v>
      </c>
      <c r="W751" s="20">
        <f>Registro[[#This Row],[Mes 10]]+Registro[[#This Row],[Mes 11]]+Registro[[#This Row],[Mes 12]]</f>
        <v>0</v>
      </c>
      <c r="X751" s="20">
        <f>SUM(Registro[[#This Row],[Trim I]],Registro[[#This Row],[Trim II]],Registro[[#This Row],[Trim III]],Registro[[#This Row],[Trim IV]])</f>
        <v>0</v>
      </c>
      <c r="Y751" s="22">
        <f>IFERROR((Registro[[#This Row],[Avance Total]]/Registro[[#This Row],[Meta]]),0)</f>
        <v>0</v>
      </c>
      <c r="Z751" s="22">
        <f>IFERROR((Registro[[#This Row],[Avance Total]]-Registro[[#This Row],[Línea Base 2025]])/Registro[[#This Row],[Línea Base 2025]],0)</f>
        <v>0</v>
      </c>
      <c r="AA751" s="20">
        <v>2026</v>
      </c>
    </row>
    <row r="752" spans="1:27" hidden="1">
      <c r="A752" s="14">
        <v>1058</v>
      </c>
      <c r="B752" s="15" t="s">
        <v>91</v>
      </c>
      <c r="C752" s="16">
        <v>120</v>
      </c>
      <c r="D752" s="16" t="s">
        <v>192</v>
      </c>
      <c r="E752" s="17" t="s">
        <v>191</v>
      </c>
      <c r="F752" s="24">
        <v>11</v>
      </c>
      <c r="G752" s="19">
        <v>19</v>
      </c>
      <c r="H752" s="19">
        <v>0</v>
      </c>
      <c r="I752" s="19">
        <v>0</v>
      </c>
      <c r="T752" s="19">
        <f>Registro[[#This Row],[Mes 1]]+Registro[[#This Row],[Mes 2]]+Registro[[#This Row],[Mes 3]]</f>
        <v>0</v>
      </c>
      <c r="U752" s="19">
        <f>Registro[[#This Row],[Mes 4]]+Registro[[#This Row],[Mes 5]]+Registro[[#This Row],[Mes 6]]</f>
        <v>0</v>
      </c>
      <c r="V752" s="19">
        <f>Registro[[#This Row],[Mes 7]]+Registro[[#This Row],[Mes 8]]+Registro[[#This Row],[Mes 9]]</f>
        <v>0</v>
      </c>
      <c r="W752" s="20">
        <f>Registro[[#This Row],[Mes 10]]+Registro[[#This Row],[Mes 11]]+Registro[[#This Row],[Mes 12]]</f>
        <v>0</v>
      </c>
      <c r="X752" s="20">
        <f>SUM(Registro[[#This Row],[Trim I]],Registro[[#This Row],[Trim II]],Registro[[#This Row],[Trim III]],Registro[[#This Row],[Trim IV]])</f>
        <v>0</v>
      </c>
      <c r="Y752" s="22">
        <f>IFERROR((Registro[[#This Row],[Avance Total]]/Registro[[#This Row],[Meta]]),0)</f>
        <v>0</v>
      </c>
      <c r="Z752" s="22">
        <f>IFERROR((Registro[[#This Row],[Avance Total]]-Registro[[#This Row],[Línea Base 2025]])/Registro[[#This Row],[Línea Base 2025]],0)</f>
        <v>-1</v>
      </c>
      <c r="AA752" s="20">
        <v>2026</v>
      </c>
    </row>
    <row r="753" spans="1:27" hidden="1">
      <c r="A753" s="14">
        <v>1058</v>
      </c>
      <c r="B753" s="15" t="s">
        <v>91</v>
      </c>
      <c r="C753" s="16">
        <v>121</v>
      </c>
      <c r="D753" s="16" t="s">
        <v>194</v>
      </c>
      <c r="E753" s="17" t="s">
        <v>193</v>
      </c>
      <c r="F753" s="24">
        <v>10</v>
      </c>
      <c r="G753" s="19">
        <v>17</v>
      </c>
      <c r="H753" s="19">
        <v>0</v>
      </c>
      <c r="I753" s="19">
        <v>0</v>
      </c>
      <c r="T753" s="19">
        <f>Registro[[#This Row],[Mes 1]]+Registro[[#This Row],[Mes 2]]+Registro[[#This Row],[Mes 3]]</f>
        <v>0</v>
      </c>
      <c r="U753" s="19">
        <f>Registro[[#This Row],[Mes 4]]+Registro[[#This Row],[Mes 5]]+Registro[[#This Row],[Mes 6]]</f>
        <v>0</v>
      </c>
      <c r="V753" s="19">
        <f>Registro[[#This Row],[Mes 7]]+Registro[[#This Row],[Mes 8]]+Registro[[#This Row],[Mes 9]]</f>
        <v>0</v>
      </c>
      <c r="W753" s="20">
        <f>Registro[[#This Row],[Mes 10]]+Registro[[#This Row],[Mes 11]]+Registro[[#This Row],[Mes 12]]</f>
        <v>0</v>
      </c>
      <c r="X753" s="20">
        <f>SUM(Registro[[#This Row],[Trim I]],Registro[[#This Row],[Trim II]],Registro[[#This Row],[Trim III]],Registro[[#This Row],[Trim IV]])</f>
        <v>0</v>
      </c>
      <c r="Y753" s="22">
        <f>IFERROR((Registro[[#This Row],[Avance Total]]/Registro[[#This Row],[Meta]]),0)</f>
        <v>0</v>
      </c>
      <c r="Z753" s="22">
        <f>IFERROR((Registro[[#This Row],[Avance Total]]-Registro[[#This Row],[Línea Base 2025]])/Registro[[#This Row],[Línea Base 2025]],0)</f>
        <v>-1</v>
      </c>
      <c r="AA753" s="20">
        <v>2026</v>
      </c>
    </row>
    <row r="754" spans="1:27" hidden="1">
      <c r="A754" s="14">
        <v>1058</v>
      </c>
      <c r="B754" s="15" t="s">
        <v>91</v>
      </c>
      <c r="C754" s="16">
        <v>122</v>
      </c>
      <c r="D754" s="16" t="s">
        <v>196</v>
      </c>
      <c r="E754" s="17" t="s">
        <v>195</v>
      </c>
      <c r="F754" s="24">
        <v>5</v>
      </c>
      <c r="G754" s="19">
        <v>7</v>
      </c>
      <c r="H754" s="19">
        <v>0</v>
      </c>
      <c r="I754" s="19">
        <v>0</v>
      </c>
      <c r="T754" s="19">
        <f>Registro[[#This Row],[Mes 1]]+Registro[[#This Row],[Mes 2]]+Registro[[#This Row],[Mes 3]]</f>
        <v>0</v>
      </c>
      <c r="U754" s="19">
        <f>Registro[[#This Row],[Mes 4]]+Registro[[#This Row],[Mes 5]]+Registro[[#This Row],[Mes 6]]</f>
        <v>0</v>
      </c>
      <c r="V754" s="19">
        <f>Registro[[#This Row],[Mes 7]]+Registro[[#This Row],[Mes 8]]+Registro[[#This Row],[Mes 9]]</f>
        <v>0</v>
      </c>
      <c r="W754" s="20">
        <f>Registro[[#This Row],[Mes 10]]+Registro[[#This Row],[Mes 11]]+Registro[[#This Row],[Mes 12]]</f>
        <v>0</v>
      </c>
      <c r="X754" s="20">
        <f>SUM(Registro[[#This Row],[Trim I]],Registro[[#This Row],[Trim II]],Registro[[#This Row],[Trim III]],Registro[[#This Row],[Trim IV]])</f>
        <v>0</v>
      </c>
      <c r="Y754" s="22">
        <f>IFERROR((Registro[[#This Row],[Avance Total]]/Registro[[#This Row],[Meta]]),0)</f>
        <v>0</v>
      </c>
      <c r="Z754" s="22">
        <f>IFERROR((Registro[[#This Row],[Avance Total]]-Registro[[#This Row],[Línea Base 2025]])/Registro[[#This Row],[Línea Base 2025]],0)</f>
        <v>-1</v>
      </c>
      <c r="AA754" s="20">
        <v>2026</v>
      </c>
    </row>
    <row r="755" spans="1:27" hidden="1">
      <c r="A755" s="14">
        <v>1058</v>
      </c>
      <c r="B755" s="15" t="s">
        <v>91</v>
      </c>
      <c r="C755" s="16">
        <v>123</v>
      </c>
      <c r="D755" s="16" t="s">
        <v>198</v>
      </c>
      <c r="E755" s="17" t="s">
        <v>197</v>
      </c>
      <c r="F755" s="24">
        <v>0</v>
      </c>
      <c r="G755" s="19">
        <v>1</v>
      </c>
      <c r="H755" s="19">
        <v>0</v>
      </c>
      <c r="I755" s="19">
        <v>0</v>
      </c>
      <c r="T755" s="19">
        <f>Registro[[#This Row],[Mes 1]]+Registro[[#This Row],[Mes 2]]+Registro[[#This Row],[Mes 3]]</f>
        <v>0</v>
      </c>
      <c r="U755" s="19">
        <f>Registro[[#This Row],[Mes 4]]+Registro[[#This Row],[Mes 5]]+Registro[[#This Row],[Mes 6]]</f>
        <v>0</v>
      </c>
      <c r="V755" s="19">
        <f>Registro[[#This Row],[Mes 7]]+Registro[[#This Row],[Mes 8]]+Registro[[#This Row],[Mes 9]]</f>
        <v>0</v>
      </c>
      <c r="W755" s="20">
        <f>Registro[[#This Row],[Mes 10]]+Registro[[#This Row],[Mes 11]]+Registro[[#This Row],[Mes 12]]</f>
        <v>0</v>
      </c>
      <c r="X755" s="20">
        <f>SUM(Registro[[#This Row],[Trim I]],Registro[[#This Row],[Trim II]],Registro[[#This Row],[Trim III]],Registro[[#This Row],[Trim IV]])</f>
        <v>0</v>
      </c>
      <c r="Y755" s="22">
        <f>IFERROR((Registro[[#This Row],[Avance Total]]/Registro[[#This Row],[Meta]]),0)</f>
        <v>0</v>
      </c>
      <c r="Z755" s="22">
        <f>IFERROR((Registro[[#This Row],[Avance Total]]-Registro[[#This Row],[Línea Base 2025]])/Registro[[#This Row],[Línea Base 2025]],0)</f>
        <v>0</v>
      </c>
      <c r="AA755" s="20">
        <v>2026</v>
      </c>
    </row>
    <row r="756" spans="1:27" hidden="1">
      <c r="A756" s="14">
        <v>1059</v>
      </c>
      <c r="B756" s="15" t="s">
        <v>92</v>
      </c>
      <c r="C756" s="16">
        <v>111</v>
      </c>
      <c r="D756" s="16" t="s">
        <v>171</v>
      </c>
      <c r="E756" s="17" t="s">
        <v>172</v>
      </c>
      <c r="F756" s="24">
        <v>17</v>
      </c>
      <c r="G756" s="19">
        <v>83</v>
      </c>
      <c r="H756" s="19">
        <v>4</v>
      </c>
      <c r="I756" s="19">
        <v>16</v>
      </c>
      <c r="T756" s="19">
        <f>Registro[[#This Row],[Mes 1]]+Registro[[#This Row],[Mes 2]]+Registro[[#This Row],[Mes 3]]</f>
        <v>20</v>
      </c>
      <c r="U756" s="19">
        <f>Registro[[#This Row],[Mes 4]]+Registro[[#This Row],[Mes 5]]+Registro[[#This Row],[Mes 6]]</f>
        <v>0</v>
      </c>
      <c r="V756" s="19">
        <f>Registro[[#This Row],[Mes 7]]+Registro[[#This Row],[Mes 8]]+Registro[[#This Row],[Mes 9]]</f>
        <v>0</v>
      </c>
      <c r="W756" s="20">
        <f>Registro[[#This Row],[Mes 10]]+Registro[[#This Row],[Mes 11]]+Registro[[#This Row],[Mes 12]]</f>
        <v>0</v>
      </c>
      <c r="X756" s="20">
        <f>SUM(Registro[[#This Row],[Trim I]],Registro[[#This Row],[Trim II]],Registro[[#This Row],[Trim III]],Registro[[#This Row],[Trim IV]])</f>
        <v>20</v>
      </c>
      <c r="Y756" s="22">
        <f>IFERROR((Registro[[#This Row],[Avance Total]]/Registro[[#This Row],[Meta]]),0)</f>
        <v>0.24096385542168675</v>
      </c>
      <c r="Z756" s="22">
        <f>IFERROR((Registro[[#This Row],[Avance Total]]-Registro[[#This Row],[Línea Base 2025]])/Registro[[#This Row],[Línea Base 2025]],0)</f>
        <v>0.17647058823529413</v>
      </c>
      <c r="AA756" s="20">
        <v>2026</v>
      </c>
    </row>
    <row r="757" spans="1:27" hidden="1">
      <c r="A757" s="14">
        <v>1059</v>
      </c>
      <c r="B757" s="15" t="s">
        <v>92</v>
      </c>
      <c r="C757" s="16">
        <v>112</v>
      </c>
      <c r="D757" s="16" t="s">
        <v>173</v>
      </c>
      <c r="E757" s="17" t="s">
        <v>7</v>
      </c>
      <c r="F757" s="24">
        <v>10</v>
      </c>
      <c r="G757" s="19">
        <v>41</v>
      </c>
      <c r="H757" s="19">
        <v>0</v>
      </c>
      <c r="I757" s="19">
        <v>0</v>
      </c>
      <c r="T757" s="19">
        <f>Registro[[#This Row],[Mes 1]]+Registro[[#This Row],[Mes 2]]+Registro[[#This Row],[Mes 3]]</f>
        <v>0</v>
      </c>
      <c r="U757" s="19">
        <f>Registro[[#This Row],[Mes 4]]+Registro[[#This Row],[Mes 5]]+Registro[[#This Row],[Mes 6]]</f>
        <v>0</v>
      </c>
      <c r="V757" s="19">
        <f>Registro[[#This Row],[Mes 7]]+Registro[[#This Row],[Mes 8]]+Registro[[#This Row],[Mes 9]]</f>
        <v>0</v>
      </c>
      <c r="W757" s="20">
        <f>Registro[[#This Row],[Mes 10]]+Registro[[#This Row],[Mes 11]]+Registro[[#This Row],[Mes 12]]</f>
        <v>0</v>
      </c>
      <c r="X757" s="20">
        <f>SUM(Registro[[#This Row],[Trim I]],Registro[[#This Row],[Trim II]],Registro[[#This Row],[Trim III]],Registro[[#This Row],[Trim IV]])</f>
        <v>0</v>
      </c>
      <c r="Y757" s="22">
        <f>IFERROR((Registro[[#This Row],[Avance Total]]/Registro[[#This Row],[Meta]]),0)</f>
        <v>0</v>
      </c>
      <c r="Z757" s="22">
        <f>IFERROR((Registro[[#This Row],[Avance Total]]-Registro[[#This Row],[Línea Base 2025]])/Registro[[#This Row],[Línea Base 2025]],0)</f>
        <v>-1</v>
      </c>
      <c r="AA757" s="20">
        <v>2026</v>
      </c>
    </row>
    <row r="758" spans="1:27" hidden="1">
      <c r="A758" s="14">
        <v>1059</v>
      </c>
      <c r="B758" s="15" t="s">
        <v>92</v>
      </c>
      <c r="C758" s="16">
        <v>113</v>
      </c>
      <c r="D758" s="16" t="s">
        <v>179</v>
      </c>
      <c r="E758" s="17" t="s">
        <v>178</v>
      </c>
      <c r="F758" s="24">
        <v>14</v>
      </c>
      <c r="G758" s="19">
        <v>124</v>
      </c>
      <c r="H758" s="19">
        <v>0</v>
      </c>
      <c r="I758" s="19">
        <v>2</v>
      </c>
      <c r="T758" s="19">
        <f>Registro[[#This Row],[Mes 1]]+Registro[[#This Row],[Mes 2]]+Registro[[#This Row],[Mes 3]]</f>
        <v>2</v>
      </c>
      <c r="U758" s="19">
        <f>Registro[[#This Row],[Mes 4]]+Registro[[#This Row],[Mes 5]]+Registro[[#This Row],[Mes 6]]</f>
        <v>0</v>
      </c>
      <c r="V758" s="19">
        <f>Registro[[#This Row],[Mes 7]]+Registro[[#This Row],[Mes 8]]+Registro[[#This Row],[Mes 9]]</f>
        <v>0</v>
      </c>
      <c r="W758" s="20">
        <f>Registro[[#This Row],[Mes 10]]+Registro[[#This Row],[Mes 11]]+Registro[[#This Row],[Mes 12]]</f>
        <v>0</v>
      </c>
      <c r="X758" s="20">
        <f>SUM(Registro[[#This Row],[Trim I]],Registro[[#This Row],[Trim II]],Registro[[#This Row],[Trim III]],Registro[[#This Row],[Trim IV]])</f>
        <v>2</v>
      </c>
      <c r="Y758" s="22">
        <f>IFERROR((Registro[[#This Row],[Avance Total]]/Registro[[#This Row],[Meta]]),0)</f>
        <v>1.6129032258064516E-2</v>
      </c>
      <c r="Z758" s="22">
        <f>IFERROR((Registro[[#This Row],[Avance Total]]-Registro[[#This Row],[Línea Base 2025]])/Registro[[#This Row],[Línea Base 2025]],0)</f>
        <v>-0.8571428571428571</v>
      </c>
      <c r="AA758" s="20">
        <v>2026</v>
      </c>
    </row>
    <row r="759" spans="1:27" hidden="1">
      <c r="A759" s="14">
        <v>1059</v>
      </c>
      <c r="B759" s="15" t="s">
        <v>92</v>
      </c>
      <c r="C759" s="16">
        <v>114</v>
      </c>
      <c r="D759" s="16" t="s">
        <v>181</v>
      </c>
      <c r="E759" s="17" t="s">
        <v>180</v>
      </c>
      <c r="F759" s="24">
        <v>0</v>
      </c>
      <c r="G759" s="19">
        <v>13</v>
      </c>
      <c r="H759" s="19">
        <v>11</v>
      </c>
      <c r="I759" s="19">
        <v>0</v>
      </c>
      <c r="T759" s="19">
        <f>Registro[[#This Row],[Mes 1]]+Registro[[#This Row],[Mes 2]]+Registro[[#This Row],[Mes 3]]</f>
        <v>11</v>
      </c>
      <c r="U759" s="19">
        <f>Registro[[#This Row],[Mes 4]]+Registro[[#This Row],[Mes 5]]+Registro[[#This Row],[Mes 6]]</f>
        <v>0</v>
      </c>
      <c r="V759" s="19">
        <f>Registro[[#This Row],[Mes 7]]+Registro[[#This Row],[Mes 8]]+Registro[[#This Row],[Mes 9]]</f>
        <v>0</v>
      </c>
      <c r="W759" s="20">
        <f>Registro[[#This Row],[Mes 10]]+Registro[[#This Row],[Mes 11]]+Registro[[#This Row],[Mes 12]]</f>
        <v>0</v>
      </c>
      <c r="X759" s="20">
        <f>SUM(Registro[[#This Row],[Trim I]],Registro[[#This Row],[Trim II]],Registro[[#This Row],[Trim III]],Registro[[#This Row],[Trim IV]])</f>
        <v>11</v>
      </c>
      <c r="Y759" s="22">
        <f>IFERROR((Registro[[#This Row],[Avance Total]]/Registro[[#This Row],[Meta]]),0)</f>
        <v>0.84615384615384615</v>
      </c>
      <c r="Z759" s="22">
        <f>IFERROR((Registro[[#This Row],[Avance Total]]-Registro[[#This Row],[Línea Base 2025]])/Registro[[#This Row],[Línea Base 2025]],0)</f>
        <v>0</v>
      </c>
      <c r="AA759" s="20">
        <v>2026</v>
      </c>
    </row>
    <row r="760" spans="1:27" hidden="1">
      <c r="A760" s="14">
        <v>1059</v>
      </c>
      <c r="B760" s="15" t="s">
        <v>92</v>
      </c>
      <c r="C760" s="16">
        <v>115</v>
      </c>
      <c r="D760" s="16" t="s">
        <v>183</v>
      </c>
      <c r="E760" s="17" t="s">
        <v>182</v>
      </c>
      <c r="F760" s="24">
        <v>1</v>
      </c>
      <c r="G760" s="19">
        <v>11</v>
      </c>
      <c r="H760" s="19">
        <v>0</v>
      </c>
      <c r="I760" s="19">
        <v>0</v>
      </c>
      <c r="T760" s="19">
        <f>Registro[[#This Row],[Mes 1]]+Registro[[#This Row],[Mes 2]]+Registro[[#This Row],[Mes 3]]</f>
        <v>0</v>
      </c>
      <c r="U760" s="19">
        <f>Registro[[#This Row],[Mes 4]]+Registro[[#This Row],[Mes 5]]+Registro[[#This Row],[Mes 6]]</f>
        <v>0</v>
      </c>
      <c r="V760" s="19">
        <f>Registro[[#This Row],[Mes 7]]+Registro[[#This Row],[Mes 8]]+Registro[[#This Row],[Mes 9]]</f>
        <v>0</v>
      </c>
      <c r="W760" s="20">
        <f>Registro[[#This Row],[Mes 10]]+Registro[[#This Row],[Mes 11]]+Registro[[#This Row],[Mes 12]]</f>
        <v>0</v>
      </c>
      <c r="X760" s="20">
        <f>SUM(Registro[[#This Row],[Trim I]],Registro[[#This Row],[Trim II]],Registro[[#This Row],[Trim III]],Registro[[#This Row],[Trim IV]])</f>
        <v>0</v>
      </c>
      <c r="Y760" s="22">
        <f>IFERROR((Registro[[#This Row],[Avance Total]]/Registro[[#This Row],[Meta]]),0)</f>
        <v>0</v>
      </c>
      <c r="Z760" s="22">
        <f>IFERROR((Registro[[#This Row],[Avance Total]]-Registro[[#This Row],[Línea Base 2025]])/Registro[[#This Row],[Línea Base 2025]],0)</f>
        <v>-1</v>
      </c>
      <c r="AA760" s="20">
        <v>2026</v>
      </c>
    </row>
    <row r="761" spans="1:27">
      <c r="A761" s="14">
        <v>1059</v>
      </c>
      <c r="B761" s="15" t="s">
        <v>92</v>
      </c>
      <c r="C761" s="16">
        <v>116</v>
      </c>
      <c r="D761" s="16" t="s">
        <v>185</v>
      </c>
      <c r="E761" s="17" t="s">
        <v>184</v>
      </c>
      <c r="F761" s="24">
        <v>0</v>
      </c>
      <c r="G761" s="19">
        <v>2</v>
      </c>
      <c r="H761" s="19">
        <v>0</v>
      </c>
      <c r="I761" s="19">
        <v>0</v>
      </c>
      <c r="T761" s="19">
        <f>Registro[[#This Row],[Mes 1]]+Registro[[#This Row],[Mes 2]]+Registro[[#This Row],[Mes 3]]</f>
        <v>0</v>
      </c>
      <c r="U761" s="19">
        <f>Registro[[#This Row],[Mes 4]]+Registro[[#This Row],[Mes 5]]+Registro[[#This Row],[Mes 6]]</f>
        <v>0</v>
      </c>
      <c r="V761" s="19">
        <f>Registro[[#This Row],[Mes 7]]+Registro[[#This Row],[Mes 8]]+Registro[[#This Row],[Mes 9]]</f>
        <v>0</v>
      </c>
      <c r="W761" s="20">
        <f>Registro[[#This Row],[Mes 10]]+Registro[[#This Row],[Mes 11]]+Registro[[#This Row],[Mes 12]]</f>
        <v>0</v>
      </c>
      <c r="X761" s="20">
        <f>SUM(Registro[[#This Row],[Trim I]],Registro[[#This Row],[Trim II]],Registro[[#This Row],[Trim III]],Registro[[#This Row],[Trim IV]])</f>
        <v>0</v>
      </c>
      <c r="Y761" s="22">
        <f>IFERROR((Registro[[#This Row],[Avance Total]]/Registro[[#This Row],[Meta]]),0)</f>
        <v>0</v>
      </c>
      <c r="Z761" s="22">
        <f>IFERROR((Registro[[#This Row],[Avance Total]]-Registro[[#This Row],[Línea Base 2025]])/Registro[[#This Row],[Línea Base 2025]],0)</f>
        <v>0</v>
      </c>
      <c r="AA761" s="20">
        <v>2026</v>
      </c>
    </row>
    <row r="762" spans="1:27" hidden="1">
      <c r="A762" s="14">
        <v>1059</v>
      </c>
      <c r="B762" s="15" t="s">
        <v>92</v>
      </c>
      <c r="C762" s="16">
        <v>117</v>
      </c>
      <c r="D762" s="16" t="s">
        <v>187</v>
      </c>
      <c r="E762" s="17" t="s">
        <v>186</v>
      </c>
      <c r="F762" s="24">
        <v>0</v>
      </c>
      <c r="G762" s="19">
        <v>2</v>
      </c>
      <c r="H762" s="19">
        <v>0</v>
      </c>
      <c r="I762" s="19">
        <v>0</v>
      </c>
      <c r="T762" s="19">
        <f>Registro[[#This Row],[Mes 1]]+Registro[[#This Row],[Mes 2]]+Registro[[#This Row],[Mes 3]]</f>
        <v>0</v>
      </c>
      <c r="U762" s="19">
        <f>Registro[[#This Row],[Mes 4]]+Registro[[#This Row],[Mes 5]]+Registro[[#This Row],[Mes 6]]</f>
        <v>0</v>
      </c>
      <c r="V762" s="19">
        <f>Registro[[#This Row],[Mes 7]]+Registro[[#This Row],[Mes 8]]+Registro[[#This Row],[Mes 9]]</f>
        <v>0</v>
      </c>
      <c r="W762" s="20">
        <f>Registro[[#This Row],[Mes 10]]+Registro[[#This Row],[Mes 11]]+Registro[[#This Row],[Mes 12]]</f>
        <v>0</v>
      </c>
      <c r="X762" s="20">
        <f>SUM(Registro[[#This Row],[Trim I]],Registro[[#This Row],[Trim II]],Registro[[#This Row],[Trim III]],Registro[[#This Row],[Trim IV]])</f>
        <v>0</v>
      </c>
      <c r="Y762" s="22">
        <f>IFERROR((Registro[[#This Row],[Avance Total]]/Registro[[#This Row],[Meta]]),0)</f>
        <v>0</v>
      </c>
      <c r="Z762" s="22">
        <f>IFERROR((Registro[[#This Row],[Avance Total]]-Registro[[#This Row],[Línea Base 2025]])/Registro[[#This Row],[Línea Base 2025]],0)</f>
        <v>0</v>
      </c>
      <c r="AA762" s="20">
        <v>2026</v>
      </c>
    </row>
    <row r="763" spans="1:27" hidden="1">
      <c r="A763" s="14">
        <v>1059</v>
      </c>
      <c r="B763" s="15" t="s">
        <v>92</v>
      </c>
      <c r="C763" s="16">
        <v>118</v>
      </c>
      <c r="D763" s="16" t="s">
        <v>188</v>
      </c>
      <c r="E763" s="17" t="s">
        <v>9</v>
      </c>
      <c r="F763" s="24">
        <v>0</v>
      </c>
      <c r="G763" s="19">
        <v>0</v>
      </c>
      <c r="H763" s="19">
        <v>0</v>
      </c>
      <c r="I763" s="19">
        <v>0</v>
      </c>
      <c r="T763" s="19">
        <f>Registro[[#This Row],[Mes 1]]+Registro[[#This Row],[Mes 2]]+Registro[[#This Row],[Mes 3]]</f>
        <v>0</v>
      </c>
      <c r="U763" s="19">
        <f>Registro[[#This Row],[Mes 4]]+Registro[[#This Row],[Mes 5]]+Registro[[#This Row],[Mes 6]]</f>
        <v>0</v>
      </c>
      <c r="V763" s="19">
        <f>Registro[[#This Row],[Mes 7]]+Registro[[#This Row],[Mes 8]]+Registro[[#This Row],[Mes 9]]</f>
        <v>0</v>
      </c>
      <c r="W763" s="20">
        <f>Registro[[#This Row],[Mes 10]]+Registro[[#This Row],[Mes 11]]+Registro[[#This Row],[Mes 12]]</f>
        <v>0</v>
      </c>
      <c r="X763" s="20">
        <f>SUM(Registro[[#This Row],[Trim I]],Registro[[#This Row],[Trim II]],Registro[[#This Row],[Trim III]],Registro[[#This Row],[Trim IV]])</f>
        <v>0</v>
      </c>
      <c r="Y763" s="22">
        <f>IFERROR((Registro[[#This Row],[Avance Total]]/Registro[[#This Row],[Meta]]),0)</f>
        <v>0</v>
      </c>
      <c r="Z763" s="22">
        <f>IFERROR((Registro[[#This Row],[Avance Total]]-Registro[[#This Row],[Línea Base 2025]])/Registro[[#This Row],[Línea Base 2025]],0)</f>
        <v>0</v>
      </c>
      <c r="AA763" s="20">
        <v>2026</v>
      </c>
    </row>
    <row r="764" spans="1:27" hidden="1">
      <c r="A764" s="14">
        <v>1059</v>
      </c>
      <c r="B764" s="15" t="s">
        <v>92</v>
      </c>
      <c r="C764" s="16">
        <v>119</v>
      </c>
      <c r="D764" s="16" t="s">
        <v>190</v>
      </c>
      <c r="E764" s="17" t="s">
        <v>189</v>
      </c>
      <c r="F764" s="24">
        <v>0</v>
      </c>
      <c r="G764" s="19">
        <v>2</v>
      </c>
      <c r="H764" s="19">
        <v>0</v>
      </c>
      <c r="I764" s="19">
        <v>0</v>
      </c>
      <c r="T764" s="19">
        <f>Registro[[#This Row],[Mes 1]]+Registro[[#This Row],[Mes 2]]+Registro[[#This Row],[Mes 3]]</f>
        <v>0</v>
      </c>
      <c r="U764" s="19">
        <f>Registro[[#This Row],[Mes 4]]+Registro[[#This Row],[Mes 5]]+Registro[[#This Row],[Mes 6]]</f>
        <v>0</v>
      </c>
      <c r="V764" s="19">
        <f>Registro[[#This Row],[Mes 7]]+Registro[[#This Row],[Mes 8]]+Registro[[#This Row],[Mes 9]]</f>
        <v>0</v>
      </c>
      <c r="W764" s="20">
        <f>Registro[[#This Row],[Mes 10]]+Registro[[#This Row],[Mes 11]]+Registro[[#This Row],[Mes 12]]</f>
        <v>0</v>
      </c>
      <c r="X764" s="20">
        <f>SUM(Registro[[#This Row],[Trim I]],Registro[[#This Row],[Trim II]],Registro[[#This Row],[Trim III]],Registro[[#This Row],[Trim IV]])</f>
        <v>0</v>
      </c>
      <c r="Y764" s="22">
        <f>IFERROR((Registro[[#This Row],[Avance Total]]/Registro[[#This Row],[Meta]]),0)</f>
        <v>0</v>
      </c>
      <c r="Z764" s="22">
        <f>IFERROR((Registro[[#This Row],[Avance Total]]-Registro[[#This Row],[Línea Base 2025]])/Registro[[#This Row],[Línea Base 2025]],0)</f>
        <v>0</v>
      </c>
      <c r="AA764" s="20">
        <v>2026</v>
      </c>
    </row>
    <row r="765" spans="1:27" hidden="1">
      <c r="A765" s="14">
        <v>1059</v>
      </c>
      <c r="B765" s="15" t="s">
        <v>92</v>
      </c>
      <c r="C765" s="16">
        <v>120</v>
      </c>
      <c r="D765" s="16" t="s">
        <v>192</v>
      </c>
      <c r="E765" s="17" t="s">
        <v>191</v>
      </c>
      <c r="F765" s="24">
        <v>13</v>
      </c>
      <c r="G765" s="19">
        <v>15</v>
      </c>
      <c r="H765" s="19">
        <v>0</v>
      </c>
      <c r="I765" s="19">
        <v>0</v>
      </c>
      <c r="T765" s="19">
        <f>Registro[[#This Row],[Mes 1]]+Registro[[#This Row],[Mes 2]]+Registro[[#This Row],[Mes 3]]</f>
        <v>0</v>
      </c>
      <c r="U765" s="19">
        <f>Registro[[#This Row],[Mes 4]]+Registro[[#This Row],[Mes 5]]+Registro[[#This Row],[Mes 6]]</f>
        <v>0</v>
      </c>
      <c r="V765" s="19">
        <f>Registro[[#This Row],[Mes 7]]+Registro[[#This Row],[Mes 8]]+Registro[[#This Row],[Mes 9]]</f>
        <v>0</v>
      </c>
      <c r="W765" s="20">
        <f>Registro[[#This Row],[Mes 10]]+Registro[[#This Row],[Mes 11]]+Registro[[#This Row],[Mes 12]]</f>
        <v>0</v>
      </c>
      <c r="X765" s="20">
        <f>SUM(Registro[[#This Row],[Trim I]],Registro[[#This Row],[Trim II]],Registro[[#This Row],[Trim III]],Registro[[#This Row],[Trim IV]])</f>
        <v>0</v>
      </c>
      <c r="Y765" s="22">
        <f>IFERROR((Registro[[#This Row],[Avance Total]]/Registro[[#This Row],[Meta]]),0)</f>
        <v>0</v>
      </c>
      <c r="Z765" s="22">
        <f>IFERROR((Registro[[#This Row],[Avance Total]]-Registro[[#This Row],[Línea Base 2025]])/Registro[[#This Row],[Línea Base 2025]],0)</f>
        <v>-1</v>
      </c>
      <c r="AA765" s="20">
        <v>2026</v>
      </c>
    </row>
    <row r="766" spans="1:27" hidden="1">
      <c r="A766" s="14">
        <v>1059</v>
      </c>
      <c r="B766" s="15" t="s">
        <v>92</v>
      </c>
      <c r="C766" s="16">
        <v>121</v>
      </c>
      <c r="D766" s="16" t="s">
        <v>194</v>
      </c>
      <c r="E766" s="17" t="s">
        <v>193</v>
      </c>
      <c r="F766" s="24">
        <v>15</v>
      </c>
      <c r="G766" s="19">
        <v>20</v>
      </c>
      <c r="H766" s="19">
        <v>0</v>
      </c>
      <c r="I766" s="19">
        <v>0</v>
      </c>
      <c r="T766" s="19">
        <f>Registro[[#This Row],[Mes 1]]+Registro[[#This Row],[Mes 2]]+Registro[[#This Row],[Mes 3]]</f>
        <v>0</v>
      </c>
      <c r="U766" s="19">
        <f>Registro[[#This Row],[Mes 4]]+Registro[[#This Row],[Mes 5]]+Registro[[#This Row],[Mes 6]]</f>
        <v>0</v>
      </c>
      <c r="V766" s="19">
        <f>Registro[[#This Row],[Mes 7]]+Registro[[#This Row],[Mes 8]]+Registro[[#This Row],[Mes 9]]</f>
        <v>0</v>
      </c>
      <c r="W766" s="20">
        <f>Registro[[#This Row],[Mes 10]]+Registro[[#This Row],[Mes 11]]+Registro[[#This Row],[Mes 12]]</f>
        <v>0</v>
      </c>
      <c r="X766" s="20">
        <f>SUM(Registro[[#This Row],[Trim I]],Registro[[#This Row],[Trim II]],Registro[[#This Row],[Trim III]],Registro[[#This Row],[Trim IV]])</f>
        <v>0</v>
      </c>
      <c r="Y766" s="22">
        <f>IFERROR((Registro[[#This Row],[Avance Total]]/Registro[[#This Row],[Meta]]),0)</f>
        <v>0</v>
      </c>
      <c r="Z766" s="22">
        <f>IFERROR((Registro[[#This Row],[Avance Total]]-Registro[[#This Row],[Línea Base 2025]])/Registro[[#This Row],[Línea Base 2025]],0)</f>
        <v>-1</v>
      </c>
      <c r="AA766" s="20">
        <v>2026</v>
      </c>
    </row>
    <row r="767" spans="1:27" hidden="1">
      <c r="A767" s="14">
        <v>1059</v>
      </c>
      <c r="B767" s="15" t="s">
        <v>92</v>
      </c>
      <c r="C767" s="16">
        <v>122</v>
      </c>
      <c r="D767" s="16" t="s">
        <v>196</v>
      </c>
      <c r="E767" s="17" t="s">
        <v>195</v>
      </c>
      <c r="F767" s="24">
        <v>9</v>
      </c>
      <c r="G767" s="19">
        <v>8</v>
      </c>
      <c r="H767" s="19">
        <v>0</v>
      </c>
      <c r="I767" s="19">
        <v>0</v>
      </c>
      <c r="T767" s="19">
        <f>Registro[[#This Row],[Mes 1]]+Registro[[#This Row],[Mes 2]]+Registro[[#This Row],[Mes 3]]</f>
        <v>0</v>
      </c>
      <c r="U767" s="19">
        <f>Registro[[#This Row],[Mes 4]]+Registro[[#This Row],[Mes 5]]+Registro[[#This Row],[Mes 6]]</f>
        <v>0</v>
      </c>
      <c r="V767" s="19">
        <f>Registro[[#This Row],[Mes 7]]+Registro[[#This Row],[Mes 8]]+Registro[[#This Row],[Mes 9]]</f>
        <v>0</v>
      </c>
      <c r="W767" s="20">
        <f>Registro[[#This Row],[Mes 10]]+Registro[[#This Row],[Mes 11]]+Registro[[#This Row],[Mes 12]]</f>
        <v>0</v>
      </c>
      <c r="X767" s="20">
        <f>SUM(Registro[[#This Row],[Trim I]],Registro[[#This Row],[Trim II]],Registro[[#This Row],[Trim III]],Registro[[#This Row],[Trim IV]])</f>
        <v>0</v>
      </c>
      <c r="Y767" s="22">
        <f>IFERROR((Registro[[#This Row],[Avance Total]]/Registro[[#This Row],[Meta]]),0)</f>
        <v>0</v>
      </c>
      <c r="Z767" s="22">
        <f>IFERROR((Registro[[#This Row],[Avance Total]]-Registro[[#This Row],[Línea Base 2025]])/Registro[[#This Row],[Línea Base 2025]],0)</f>
        <v>-1</v>
      </c>
      <c r="AA767" s="20">
        <v>2026</v>
      </c>
    </row>
    <row r="768" spans="1:27" hidden="1">
      <c r="A768" s="14">
        <v>1059</v>
      </c>
      <c r="B768" s="15" t="s">
        <v>92</v>
      </c>
      <c r="C768" s="16">
        <v>123</v>
      </c>
      <c r="D768" s="16" t="s">
        <v>198</v>
      </c>
      <c r="E768" s="17" t="s">
        <v>197</v>
      </c>
      <c r="F768" s="24">
        <v>0</v>
      </c>
      <c r="G768" s="19">
        <v>4</v>
      </c>
      <c r="H768" s="19">
        <v>0</v>
      </c>
      <c r="I768" s="19">
        <v>0</v>
      </c>
      <c r="T768" s="19">
        <f>Registro[[#This Row],[Mes 1]]+Registro[[#This Row],[Mes 2]]+Registro[[#This Row],[Mes 3]]</f>
        <v>0</v>
      </c>
      <c r="U768" s="19">
        <f>Registro[[#This Row],[Mes 4]]+Registro[[#This Row],[Mes 5]]+Registro[[#This Row],[Mes 6]]</f>
        <v>0</v>
      </c>
      <c r="V768" s="19">
        <f>Registro[[#This Row],[Mes 7]]+Registro[[#This Row],[Mes 8]]+Registro[[#This Row],[Mes 9]]</f>
        <v>0</v>
      </c>
      <c r="W768" s="20">
        <f>Registro[[#This Row],[Mes 10]]+Registro[[#This Row],[Mes 11]]+Registro[[#This Row],[Mes 12]]</f>
        <v>0</v>
      </c>
      <c r="X768" s="20">
        <f>SUM(Registro[[#This Row],[Trim I]],Registro[[#This Row],[Trim II]],Registro[[#This Row],[Trim III]],Registro[[#This Row],[Trim IV]])</f>
        <v>0</v>
      </c>
      <c r="Y768" s="22">
        <f>IFERROR((Registro[[#This Row],[Avance Total]]/Registro[[#This Row],[Meta]]),0)</f>
        <v>0</v>
      </c>
      <c r="Z768" s="22">
        <f>IFERROR((Registro[[#This Row],[Avance Total]]-Registro[[#This Row],[Línea Base 2025]])/Registro[[#This Row],[Línea Base 2025]],0)</f>
        <v>0</v>
      </c>
      <c r="AA768" s="20">
        <v>2026</v>
      </c>
    </row>
    <row r="769" spans="1:27" hidden="1">
      <c r="A769" s="14">
        <v>1060</v>
      </c>
      <c r="B769" s="15" t="s">
        <v>13</v>
      </c>
      <c r="C769" s="16">
        <v>111</v>
      </c>
      <c r="D769" s="16" t="s">
        <v>171</v>
      </c>
      <c r="E769" s="17" t="s">
        <v>172</v>
      </c>
      <c r="F769" s="24">
        <v>4</v>
      </c>
      <c r="G769" s="19">
        <v>63</v>
      </c>
      <c r="H769" s="19">
        <v>0</v>
      </c>
      <c r="I769" s="19">
        <v>1</v>
      </c>
      <c r="T769" s="19">
        <f>Registro[[#This Row],[Mes 1]]+Registro[[#This Row],[Mes 2]]+Registro[[#This Row],[Mes 3]]</f>
        <v>1</v>
      </c>
      <c r="U769" s="19">
        <f>Registro[[#This Row],[Mes 4]]+Registro[[#This Row],[Mes 5]]+Registro[[#This Row],[Mes 6]]</f>
        <v>0</v>
      </c>
      <c r="V769" s="19">
        <f>Registro[[#This Row],[Mes 7]]+Registro[[#This Row],[Mes 8]]+Registro[[#This Row],[Mes 9]]</f>
        <v>0</v>
      </c>
      <c r="W769" s="20">
        <f>Registro[[#This Row],[Mes 10]]+Registro[[#This Row],[Mes 11]]+Registro[[#This Row],[Mes 12]]</f>
        <v>0</v>
      </c>
      <c r="X769" s="20">
        <f>SUM(Registro[[#This Row],[Trim I]],Registro[[#This Row],[Trim II]],Registro[[#This Row],[Trim III]],Registro[[#This Row],[Trim IV]])</f>
        <v>1</v>
      </c>
      <c r="Y769" s="22">
        <f>IFERROR((Registro[[#This Row],[Avance Total]]/Registro[[#This Row],[Meta]]),0)</f>
        <v>1.5873015873015872E-2</v>
      </c>
      <c r="Z769" s="22">
        <f>IFERROR((Registro[[#This Row],[Avance Total]]-Registro[[#This Row],[Línea Base 2025]])/Registro[[#This Row],[Línea Base 2025]],0)</f>
        <v>-0.75</v>
      </c>
      <c r="AA769" s="20">
        <v>2026</v>
      </c>
    </row>
    <row r="770" spans="1:27" hidden="1">
      <c r="A770" s="14">
        <v>1060</v>
      </c>
      <c r="B770" s="15" t="s">
        <v>13</v>
      </c>
      <c r="C770" s="16">
        <v>112</v>
      </c>
      <c r="D770" s="16" t="s">
        <v>173</v>
      </c>
      <c r="E770" s="17" t="s">
        <v>7</v>
      </c>
      <c r="F770" s="24">
        <v>0</v>
      </c>
      <c r="G770" s="19">
        <v>2</v>
      </c>
      <c r="H770" s="19">
        <v>0</v>
      </c>
      <c r="I770" s="19">
        <v>0</v>
      </c>
      <c r="T770" s="19">
        <f>Registro[[#This Row],[Mes 1]]+Registro[[#This Row],[Mes 2]]+Registro[[#This Row],[Mes 3]]</f>
        <v>0</v>
      </c>
      <c r="U770" s="19">
        <f>Registro[[#This Row],[Mes 4]]+Registro[[#This Row],[Mes 5]]+Registro[[#This Row],[Mes 6]]</f>
        <v>0</v>
      </c>
      <c r="V770" s="19">
        <f>Registro[[#This Row],[Mes 7]]+Registro[[#This Row],[Mes 8]]+Registro[[#This Row],[Mes 9]]</f>
        <v>0</v>
      </c>
      <c r="W770" s="20">
        <f>Registro[[#This Row],[Mes 10]]+Registro[[#This Row],[Mes 11]]+Registro[[#This Row],[Mes 12]]</f>
        <v>0</v>
      </c>
      <c r="X770" s="20">
        <f>SUM(Registro[[#This Row],[Trim I]],Registro[[#This Row],[Trim II]],Registro[[#This Row],[Trim III]],Registro[[#This Row],[Trim IV]])</f>
        <v>0</v>
      </c>
      <c r="Y770" s="22">
        <f>IFERROR((Registro[[#This Row],[Avance Total]]/Registro[[#This Row],[Meta]]),0)</f>
        <v>0</v>
      </c>
      <c r="Z770" s="22">
        <f>IFERROR((Registro[[#This Row],[Avance Total]]-Registro[[#This Row],[Línea Base 2025]])/Registro[[#This Row],[Línea Base 2025]],0)</f>
        <v>0</v>
      </c>
      <c r="AA770" s="20">
        <v>2026</v>
      </c>
    </row>
    <row r="771" spans="1:27" hidden="1">
      <c r="A771" s="14">
        <v>1060</v>
      </c>
      <c r="B771" s="15" t="s">
        <v>13</v>
      </c>
      <c r="C771" s="16">
        <v>113</v>
      </c>
      <c r="D771" s="16" t="s">
        <v>179</v>
      </c>
      <c r="E771" s="17" t="s">
        <v>178</v>
      </c>
      <c r="F771" s="24">
        <v>5</v>
      </c>
      <c r="G771" s="19">
        <v>38</v>
      </c>
      <c r="H771" s="19">
        <v>0</v>
      </c>
      <c r="I771" s="19">
        <v>0</v>
      </c>
      <c r="T771" s="19">
        <f>Registro[[#This Row],[Mes 1]]+Registro[[#This Row],[Mes 2]]+Registro[[#This Row],[Mes 3]]</f>
        <v>0</v>
      </c>
      <c r="U771" s="19">
        <f>Registro[[#This Row],[Mes 4]]+Registro[[#This Row],[Mes 5]]+Registro[[#This Row],[Mes 6]]</f>
        <v>0</v>
      </c>
      <c r="V771" s="19">
        <f>Registro[[#This Row],[Mes 7]]+Registro[[#This Row],[Mes 8]]+Registro[[#This Row],[Mes 9]]</f>
        <v>0</v>
      </c>
      <c r="W771" s="20">
        <f>Registro[[#This Row],[Mes 10]]+Registro[[#This Row],[Mes 11]]+Registro[[#This Row],[Mes 12]]</f>
        <v>0</v>
      </c>
      <c r="X771" s="20">
        <f>SUM(Registro[[#This Row],[Trim I]],Registro[[#This Row],[Trim II]],Registro[[#This Row],[Trim III]],Registro[[#This Row],[Trim IV]])</f>
        <v>0</v>
      </c>
      <c r="Y771" s="22">
        <f>IFERROR((Registro[[#This Row],[Avance Total]]/Registro[[#This Row],[Meta]]),0)</f>
        <v>0</v>
      </c>
      <c r="Z771" s="22">
        <f>IFERROR((Registro[[#This Row],[Avance Total]]-Registro[[#This Row],[Línea Base 2025]])/Registro[[#This Row],[Línea Base 2025]],0)</f>
        <v>-1</v>
      </c>
      <c r="AA771" s="20">
        <v>2026</v>
      </c>
    </row>
    <row r="772" spans="1:27" hidden="1">
      <c r="A772" s="14">
        <v>1060</v>
      </c>
      <c r="B772" s="15" t="s">
        <v>13</v>
      </c>
      <c r="C772" s="16">
        <v>114</v>
      </c>
      <c r="D772" s="16" t="s">
        <v>181</v>
      </c>
      <c r="E772" s="17" t="s">
        <v>180</v>
      </c>
      <c r="F772" s="24">
        <v>0</v>
      </c>
      <c r="G772" s="19">
        <v>0</v>
      </c>
      <c r="H772" s="19">
        <v>8</v>
      </c>
      <c r="I772" s="19">
        <v>0</v>
      </c>
      <c r="T772" s="19">
        <f>Registro[[#This Row],[Mes 1]]+Registro[[#This Row],[Mes 2]]+Registro[[#This Row],[Mes 3]]</f>
        <v>8</v>
      </c>
      <c r="U772" s="19">
        <f>Registro[[#This Row],[Mes 4]]+Registro[[#This Row],[Mes 5]]+Registro[[#This Row],[Mes 6]]</f>
        <v>0</v>
      </c>
      <c r="V772" s="19">
        <f>Registro[[#This Row],[Mes 7]]+Registro[[#This Row],[Mes 8]]+Registro[[#This Row],[Mes 9]]</f>
        <v>0</v>
      </c>
      <c r="W772" s="20">
        <f>Registro[[#This Row],[Mes 10]]+Registro[[#This Row],[Mes 11]]+Registro[[#This Row],[Mes 12]]</f>
        <v>0</v>
      </c>
      <c r="X772" s="20">
        <f>SUM(Registro[[#This Row],[Trim I]],Registro[[#This Row],[Trim II]],Registro[[#This Row],[Trim III]],Registro[[#This Row],[Trim IV]])</f>
        <v>8</v>
      </c>
      <c r="Y772" s="22">
        <f>IFERROR((Registro[[#This Row],[Avance Total]]/Registro[[#This Row],[Meta]]),0)</f>
        <v>0</v>
      </c>
      <c r="Z772" s="22">
        <f>IFERROR((Registro[[#This Row],[Avance Total]]-Registro[[#This Row],[Línea Base 2025]])/Registro[[#This Row],[Línea Base 2025]],0)</f>
        <v>0</v>
      </c>
      <c r="AA772" s="20">
        <v>2026</v>
      </c>
    </row>
    <row r="773" spans="1:27" hidden="1">
      <c r="A773" s="14">
        <v>1060</v>
      </c>
      <c r="B773" s="15" t="s">
        <v>13</v>
      </c>
      <c r="C773" s="16">
        <v>115</v>
      </c>
      <c r="D773" s="16" t="s">
        <v>183</v>
      </c>
      <c r="E773" s="17" t="s">
        <v>182</v>
      </c>
      <c r="F773" s="24">
        <v>0</v>
      </c>
      <c r="G773" s="19">
        <v>0</v>
      </c>
      <c r="H773" s="19">
        <v>0</v>
      </c>
      <c r="I773" s="19">
        <v>0</v>
      </c>
      <c r="T773" s="19">
        <f>Registro[[#This Row],[Mes 1]]+Registro[[#This Row],[Mes 2]]+Registro[[#This Row],[Mes 3]]</f>
        <v>0</v>
      </c>
      <c r="U773" s="19">
        <f>Registro[[#This Row],[Mes 4]]+Registro[[#This Row],[Mes 5]]+Registro[[#This Row],[Mes 6]]</f>
        <v>0</v>
      </c>
      <c r="V773" s="19">
        <f>Registro[[#This Row],[Mes 7]]+Registro[[#This Row],[Mes 8]]+Registro[[#This Row],[Mes 9]]</f>
        <v>0</v>
      </c>
      <c r="W773" s="20">
        <f>Registro[[#This Row],[Mes 10]]+Registro[[#This Row],[Mes 11]]+Registro[[#This Row],[Mes 12]]</f>
        <v>0</v>
      </c>
      <c r="X773" s="20">
        <f>SUM(Registro[[#This Row],[Trim I]],Registro[[#This Row],[Trim II]],Registro[[#This Row],[Trim III]],Registro[[#This Row],[Trim IV]])</f>
        <v>0</v>
      </c>
      <c r="Y773" s="22">
        <f>IFERROR((Registro[[#This Row],[Avance Total]]/Registro[[#This Row],[Meta]]),0)</f>
        <v>0</v>
      </c>
      <c r="Z773" s="22">
        <f>IFERROR((Registro[[#This Row],[Avance Total]]-Registro[[#This Row],[Línea Base 2025]])/Registro[[#This Row],[Línea Base 2025]],0)</f>
        <v>0</v>
      </c>
      <c r="AA773" s="20">
        <v>2026</v>
      </c>
    </row>
    <row r="774" spans="1:27">
      <c r="A774" s="14">
        <v>1060</v>
      </c>
      <c r="B774" s="15" t="s">
        <v>13</v>
      </c>
      <c r="C774" s="16">
        <v>116</v>
      </c>
      <c r="D774" s="16" t="s">
        <v>185</v>
      </c>
      <c r="E774" s="17" t="s">
        <v>184</v>
      </c>
      <c r="F774" s="24">
        <v>0</v>
      </c>
      <c r="G774" s="19">
        <v>1</v>
      </c>
      <c r="H774" s="19">
        <v>0</v>
      </c>
      <c r="I774" s="19">
        <v>0</v>
      </c>
      <c r="T774" s="19">
        <f>Registro[[#This Row],[Mes 1]]+Registro[[#This Row],[Mes 2]]+Registro[[#This Row],[Mes 3]]</f>
        <v>0</v>
      </c>
      <c r="U774" s="19">
        <f>Registro[[#This Row],[Mes 4]]+Registro[[#This Row],[Mes 5]]+Registro[[#This Row],[Mes 6]]</f>
        <v>0</v>
      </c>
      <c r="V774" s="19">
        <f>Registro[[#This Row],[Mes 7]]+Registro[[#This Row],[Mes 8]]+Registro[[#This Row],[Mes 9]]</f>
        <v>0</v>
      </c>
      <c r="W774" s="20">
        <f>Registro[[#This Row],[Mes 10]]+Registro[[#This Row],[Mes 11]]+Registro[[#This Row],[Mes 12]]</f>
        <v>0</v>
      </c>
      <c r="X774" s="20">
        <f>SUM(Registro[[#This Row],[Trim I]],Registro[[#This Row],[Trim II]],Registro[[#This Row],[Trim III]],Registro[[#This Row],[Trim IV]])</f>
        <v>0</v>
      </c>
      <c r="Y774" s="22">
        <f>IFERROR((Registro[[#This Row],[Avance Total]]/Registro[[#This Row],[Meta]]),0)</f>
        <v>0</v>
      </c>
      <c r="Z774" s="22">
        <f>IFERROR((Registro[[#This Row],[Avance Total]]-Registro[[#This Row],[Línea Base 2025]])/Registro[[#This Row],[Línea Base 2025]],0)</f>
        <v>0</v>
      </c>
      <c r="AA774" s="20">
        <v>2026</v>
      </c>
    </row>
    <row r="775" spans="1:27" hidden="1">
      <c r="A775" s="14">
        <v>1060</v>
      </c>
      <c r="B775" s="15" t="s">
        <v>13</v>
      </c>
      <c r="C775" s="16">
        <v>117</v>
      </c>
      <c r="D775" s="16" t="s">
        <v>187</v>
      </c>
      <c r="E775" s="17" t="s">
        <v>186</v>
      </c>
      <c r="F775" s="24">
        <v>0</v>
      </c>
      <c r="G775" s="19">
        <v>0</v>
      </c>
      <c r="H775" s="19">
        <v>0</v>
      </c>
      <c r="I775" s="19">
        <v>0</v>
      </c>
      <c r="T775" s="19">
        <f>Registro[[#This Row],[Mes 1]]+Registro[[#This Row],[Mes 2]]+Registro[[#This Row],[Mes 3]]</f>
        <v>0</v>
      </c>
      <c r="U775" s="19">
        <f>Registro[[#This Row],[Mes 4]]+Registro[[#This Row],[Mes 5]]+Registro[[#This Row],[Mes 6]]</f>
        <v>0</v>
      </c>
      <c r="V775" s="19">
        <f>Registro[[#This Row],[Mes 7]]+Registro[[#This Row],[Mes 8]]+Registro[[#This Row],[Mes 9]]</f>
        <v>0</v>
      </c>
      <c r="W775" s="20">
        <f>Registro[[#This Row],[Mes 10]]+Registro[[#This Row],[Mes 11]]+Registro[[#This Row],[Mes 12]]</f>
        <v>0</v>
      </c>
      <c r="X775" s="20">
        <f>SUM(Registro[[#This Row],[Trim I]],Registro[[#This Row],[Trim II]],Registro[[#This Row],[Trim III]],Registro[[#This Row],[Trim IV]])</f>
        <v>0</v>
      </c>
      <c r="Y775" s="22">
        <f>IFERROR((Registro[[#This Row],[Avance Total]]/Registro[[#This Row],[Meta]]),0)</f>
        <v>0</v>
      </c>
      <c r="Z775" s="22">
        <f>IFERROR((Registro[[#This Row],[Avance Total]]-Registro[[#This Row],[Línea Base 2025]])/Registro[[#This Row],[Línea Base 2025]],0)</f>
        <v>0</v>
      </c>
      <c r="AA775" s="20">
        <v>2026</v>
      </c>
    </row>
    <row r="776" spans="1:27" hidden="1">
      <c r="A776" s="14">
        <v>1060</v>
      </c>
      <c r="B776" s="15" t="s">
        <v>13</v>
      </c>
      <c r="C776" s="16">
        <v>118</v>
      </c>
      <c r="D776" s="16" t="s">
        <v>188</v>
      </c>
      <c r="E776" s="17" t="s">
        <v>9</v>
      </c>
      <c r="F776" s="24">
        <v>0</v>
      </c>
      <c r="G776" s="19">
        <v>0</v>
      </c>
      <c r="H776" s="19">
        <v>0</v>
      </c>
      <c r="I776" s="19">
        <v>0</v>
      </c>
      <c r="T776" s="19">
        <f>Registro[[#This Row],[Mes 1]]+Registro[[#This Row],[Mes 2]]+Registro[[#This Row],[Mes 3]]</f>
        <v>0</v>
      </c>
      <c r="U776" s="19">
        <f>Registro[[#This Row],[Mes 4]]+Registro[[#This Row],[Mes 5]]+Registro[[#This Row],[Mes 6]]</f>
        <v>0</v>
      </c>
      <c r="V776" s="19">
        <f>Registro[[#This Row],[Mes 7]]+Registro[[#This Row],[Mes 8]]+Registro[[#This Row],[Mes 9]]</f>
        <v>0</v>
      </c>
      <c r="W776" s="20">
        <f>Registro[[#This Row],[Mes 10]]+Registro[[#This Row],[Mes 11]]+Registro[[#This Row],[Mes 12]]</f>
        <v>0</v>
      </c>
      <c r="X776" s="20">
        <f>SUM(Registro[[#This Row],[Trim I]],Registro[[#This Row],[Trim II]],Registro[[#This Row],[Trim III]],Registro[[#This Row],[Trim IV]])</f>
        <v>0</v>
      </c>
      <c r="Y776" s="22">
        <f>IFERROR((Registro[[#This Row],[Avance Total]]/Registro[[#This Row],[Meta]]),0)</f>
        <v>0</v>
      </c>
      <c r="Z776" s="22">
        <f>IFERROR((Registro[[#This Row],[Avance Total]]-Registro[[#This Row],[Línea Base 2025]])/Registro[[#This Row],[Línea Base 2025]],0)</f>
        <v>0</v>
      </c>
      <c r="AA776" s="20">
        <v>2026</v>
      </c>
    </row>
    <row r="777" spans="1:27" hidden="1">
      <c r="A777" s="14">
        <v>1060</v>
      </c>
      <c r="B777" s="15" t="s">
        <v>13</v>
      </c>
      <c r="C777" s="16">
        <v>119</v>
      </c>
      <c r="D777" s="16" t="s">
        <v>190</v>
      </c>
      <c r="E777" s="17" t="s">
        <v>189</v>
      </c>
      <c r="F777" s="24">
        <v>0</v>
      </c>
      <c r="G777" s="19">
        <v>1</v>
      </c>
      <c r="H777" s="19">
        <v>0</v>
      </c>
      <c r="I777" s="19">
        <v>0</v>
      </c>
      <c r="T777" s="19">
        <f>Registro[[#This Row],[Mes 1]]+Registro[[#This Row],[Mes 2]]+Registro[[#This Row],[Mes 3]]</f>
        <v>0</v>
      </c>
      <c r="U777" s="19">
        <f>Registro[[#This Row],[Mes 4]]+Registro[[#This Row],[Mes 5]]+Registro[[#This Row],[Mes 6]]</f>
        <v>0</v>
      </c>
      <c r="V777" s="19">
        <f>Registro[[#This Row],[Mes 7]]+Registro[[#This Row],[Mes 8]]+Registro[[#This Row],[Mes 9]]</f>
        <v>0</v>
      </c>
      <c r="W777" s="20">
        <f>Registro[[#This Row],[Mes 10]]+Registro[[#This Row],[Mes 11]]+Registro[[#This Row],[Mes 12]]</f>
        <v>0</v>
      </c>
      <c r="X777" s="20">
        <f>SUM(Registro[[#This Row],[Trim I]],Registro[[#This Row],[Trim II]],Registro[[#This Row],[Trim III]],Registro[[#This Row],[Trim IV]])</f>
        <v>0</v>
      </c>
      <c r="Y777" s="22">
        <f>IFERROR((Registro[[#This Row],[Avance Total]]/Registro[[#This Row],[Meta]]),0)</f>
        <v>0</v>
      </c>
      <c r="Z777" s="22">
        <f>IFERROR((Registro[[#This Row],[Avance Total]]-Registro[[#This Row],[Línea Base 2025]])/Registro[[#This Row],[Línea Base 2025]],0)</f>
        <v>0</v>
      </c>
      <c r="AA777" s="20">
        <v>2026</v>
      </c>
    </row>
    <row r="778" spans="1:27" hidden="1">
      <c r="A778" s="14">
        <v>1060</v>
      </c>
      <c r="B778" s="15" t="s">
        <v>13</v>
      </c>
      <c r="C778" s="16">
        <v>120</v>
      </c>
      <c r="D778" s="16" t="s">
        <v>192</v>
      </c>
      <c r="E778" s="17" t="s">
        <v>191</v>
      </c>
      <c r="F778" s="24">
        <v>0</v>
      </c>
      <c r="G778" s="19">
        <v>0</v>
      </c>
      <c r="H778" s="19">
        <v>0</v>
      </c>
      <c r="I778" s="19">
        <v>0</v>
      </c>
      <c r="T778" s="19">
        <f>Registro[[#This Row],[Mes 1]]+Registro[[#This Row],[Mes 2]]+Registro[[#This Row],[Mes 3]]</f>
        <v>0</v>
      </c>
      <c r="U778" s="19">
        <f>Registro[[#This Row],[Mes 4]]+Registro[[#This Row],[Mes 5]]+Registro[[#This Row],[Mes 6]]</f>
        <v>0</v>
      </c>
      <c r="V778" s="19">
        <f>Registro[[#This Row],[Mes 7]]+Registro[[#This Row],[Mes 8]]+Registro[[#This Row],[Mes 9]]</f>
        <v>0</v>
      </c>
      <c r="W778" s="20">
        <f>Registro[[#This Row],[Mes 10]]+Registro[[#This Row],[Mes 11]]+Registro[[#This Row],[Mes 12]]</f>
        <v>0</v>
      </c>
      <c r="X778" s="20">
        <f>SUM(Registro[[#This Row],[Trim I]],Registro[[#This Row],[Trim II]],Registro[[#This Row],[Trim III]],Registro[[#This Row],[Trim IV]])</f>
        <v>0</v>
      </c>
      <c r="Y778" s="22">
        <f>IFERROR((Registro[[#This Row],[Avance Total]]/Registro[[#This Row],[Meta]]),0)</f>
        <v>0</v>
      </c>
      <c r="Z778" s="22">
        <f>IFERROR((Registro[[#This Row],[Avance Total]]-Registro[[#This Row],[Línea Base 2025]])/Registro[[#This Row],[Línea Base 2025]],0)</f>
        <v>0</v>
      </c>
      <c r="AA778" s="20">
        <v>2026</v>
      </c>
    </row>
    <row r="779" spans="1:27" hidden="1">
      <c r="A779" s="14">
        <v>1060</v>
      </c>
      <c r="B779" s="15" t="s">
        <v>13</v>
      </c>
      <c r="C779" s="16">
        <v>121</v>
      </c>
      <c r="D779" s="16" t="s">
        <v>194</v>
      </c>
      <c r="E779" s="17" t="s">
        <v>193</v>
      </c>
      <c r="F779" s="24">
        <v>0</v>
      </c>
      <c r="G779" s="19">
        <v>0</v>
      </c>
      <c r="H779" s="19">
        <v>0</v>
      </c>
      <c r="I779" s="19">
        <v>0</v>
      </c>
      <c r="T779" s="19">
        <f>Registro[[#This Row],[Mes 1]]+Registro[[#This Row],[Mes 2]]+Registro[[#This Row],[Mes 3]]</f>
        <v>0</v>
      </c>
      <c r="U779" s="19">
        <f>Registro[[#This Row],[Mes 4]]+Registro[[#This Row],[Mes 5]]+Registro[[#This Row],[Mes 6]]</f>
        <v>0</v>
      </c>
      <c r="V779" s="19">
        <f>Registro[[#This Row],[Mes 7]]+Registro[[#This Row],[Mes 8]]+Registro[[#This Row],[Mes 9]]</f>
        <v>0</v>
      </c>
      <c r="W779" s="20">
        <f>Registro[[#This Row],[Mes 10]]+Registro[[#This Row],[Mes 11]]+Registro[[#This Row],[Mes 12]]</f>
        <v>0</v>
      </c>
      <c r="X779" s="20">
        <f>SUM(Registro[[#This Row],[Trim I]],Registro[[#This Row],[Trim II]],Registro[[#This Row],[Trim III]],Registro[[#This Row],[Trim IV]])</f>
        <v>0</v>
      </c>
      <c r="Y779" s="22">
        <f>IFERROR((Registro[[#This Row],[Avance Total]]/Registro[[#This Row],[Meta]]),0)</f>
        <v>0</v>
      </c>
      <c r="Z779" s="22">
        <f>IFERROR((Registro[[#This Row],[Avance Total]]-Registro[[#This Row],[Línea Base 2025]])/Registro[[#This Row],[Línea Base 2025]],0)</f>
        <v>0</v>
      </c>
      <c r="AA779" s="20">
        <v>2026</v>
      </c>
    </row>
    <row r="780" spans="1:27" hidden="1">
      <c r="A780" s="14">
        <v>1060</v>
      </c>
      <c r="B780" s="15" t="s">
        <v>13</v>
      </c>
      <c r="C780" s="16">
        <v>122</v>
      </c>
      <c r="D780" s="16" t="s">
        <v>196</v>
      </c>
      <c r="E780" s="17" t="s">
        <v>195</v>
      </c>
      <c r="F780" s="24">
        <v>7</v>
      </c>
      <c r="G780" s="19">
        <v>0</v>
      </c>
      <c r="H780" s="19">
        <v>0</v>
      </c>
      <c r="I780" s="19">
        <v>0</v>
      </c>
      <c r="T780" s="19">
        <f>Registro[[#This Row],[Mes 1]]+Registro[[#This Row],[Mes 2]]+Registro[[#This Row],[Mes 3]]</f>
        <v>0</v>
      </c>
      <c r="U780" s="19">
        <f>Registro[[#This Row],[Mes 4]]+Registro[[#This Row],[Mes 5]]+Registro[[#This Row],[Mes 6]]</f>
        <v>0</v>
      </c>
      <c r="V780" s="19">
        <f>Registro[[#This Row],[Mes 7]]+Registro[[#This Row],[Mes 8]]+Registro[[#This Row],[Mes 9]]</f>
        <v>0</v>
      </c>
      <c r="W780" s="20">
        <f>Registro[[#This Row],[Mes 10]]+Registro[[#This Row],[Mes 11]]+Registro[[#This Row],[Mes 12]]</f>
        <v>0</v>
      </c>
      <c r="X780" s="20">
        <f>SUM(Registro[[#This Row],[Trim I]],Registro[[#This Row],[Trim II]],Registro[[#This Row],[Trim III]],Registro[[#This Row],[Trim IV]])</f>
        <v>0</v>
      </c>
      <c r="Y780" s="22">
        <f>IFERROR((Registro[[#This Row],[Avance Total]]/Registro[[#This Row],[Meta]]),0)</f>
        <v>0</v>
      </c>
      <c r="Z780" s="22">
        <f>IFERROR((Registro[[#This Row],[Avance Total]]-Registro[[#This Row],[Línea Base 2025]])/Registro[[#This Row],[Línea Base 2025]],0)</f>
        <v>-1</v>
      </c>
      <c r="AA780" s="20">
        <v>2026</v>
      </c>
    </row>
    <row r="781" spans="1:27" hidden="1">
      <c r="A781" s="14">
        <v>1060</v>
      </c>
      <c r="B781" s="15" t="s">
        <v>13</v>
      </c>
      <c r="C781" s="16">
        <v>123</v>
      </c>
      <c r="D781" s="16" t="s">
        <v>198</v>
      </c>
      <c r="E781" s="17" t="s">
        <v>197</v>
      </c>
      <c r="F781" s="24">
        <v>0</v>
      </c>
      <c r="G781" s="19">
        <v>0</v>
      </c>
      <c r="H781" s="19">
        <v>0</v>
      </c>
      <c r="I781" s="19">
        <v>0</v>
      </c>
      <c r="T781" s="19">
        <f>Registro[[#This Row],[Mes 1]]+Registro[[#This Row],[Mes 2]]+Registro[[#This Row],[Mes 3]]</f>
        <v>0</v>
      </c>
      <c r="U781" s="19">
        <f>Registro[[#This Row],[Mes 4]]+Registro[[#This Row],[Mes 5]]+Registro[[#This Row],[Mes 6]]</f>
        <v>0</v>
      </c>
      <c r="V781" s="19">
        <f>Registro[[#This Row],[Mes 7]]+Registro[[#This Row],[Mes 8]]+Registro[[#This Row],[Mes 9]]</f>
        <v>0</v>
      </c>
      <c r="W781" s="20">
        <f>Registro[[#This Row],[Mes 10]]+Registro[[#This Row],[Mes 11]]+Registro[[#This Row],[Mes 12]]</f>
        <v>0</v>
      </c>
      <c r="X781" s="20">
        <f>SUM(Registro[[#This Row],[Trim I]],Registro[[#This Row],[Trim II]],Registro[[#This Row],[Trim III]],Registro[[#This Row],[Trim IV]])</f>
        <v>0</v>
      </c>
      <c r="Y781" s="22">
        <f>IFERROR((Registro[[#This Row],[Avance Total]]/Registro[[#This Row],[Meta]]),0)</f>
        <v>0</v>
      </c>
      <c r="Z781" s="22">
        <f>IFERROR((Registro[[#This Row],[Avance Total]]-Registro[[#This Row],[Línea Base 2025]])/Registro[[#This Row],[Línea Base 2025]],0)</f>
        <v>0</v>
      </c>
      <c r="AA781" s="20">
        <v>2026</v>
      </c>
    </row>
    <row r="782" spans="1:27" hidden="1">
      <c r="A782" s="14">
        <v>1061</v>
      </c>
      <c r="B782" s="15" t="s">
        <v>13</v>
      </c>
      <c r="C782" s="16">
        <v>111</v>
      </c>
      <c r="D782" s="16" t="s">
        <v>171</v>
      </c>
      <c r="E782" s="17" t="s">
        <v>172</v>
      </c>
      <c r="F782" s="24">
        <v>16</v>
      </c>
      <c r="G782" s="19">
        <v>453</v>
      </c>
      <c r="H782" s="19">
        <v>0</v>
      </c>
      <c r="I782" s="19">
        <v>2</v>
      </c>
      <c r="T782" s="19">
        <f>Registro[[#This Row],[Mes 1]]+Registro[[#This Row],[Mes 2]]+Registro[[#This Row],[Mes 3]]</f>
        <v>2</v>
      </c>
      <c r="U782" s="19">
        <f>Registro[[#This Row],[Mes 4]]+Registro[[#This Row],[Mes 5]]+Registro[[#This Row],[Mes 6]]</f>
        <v>0</v>
      </c>
      <c r="V782" s="19">
        <f>Registro[[#This Row],[Mes 7]]+Registro[[#This Row],[Mes 8]]+Registro[[#This Row],[Mes 9]]</f>
        <v>0</v>
      </c>
      <c r="W782" s="20">
        <f>Registro[[#This Row],[Mes 10]]+Registro[[#This Row],[Mes 11]]+Registro[[#This Row],[Mes 12]]</f>
        <v>0</v>
      </c>
      <c r="X782" s="20">
        <f>SUM(Registro[[#This Row],[Trim I]],Registro[[#This Row],[Trim II]],Registro[[#This Row],[Trim III]],Registro[[#This Row],[Trim IV]])</f>
        <v>2</v>
      </c>
      <c r="Y782" s="22">
        <f>IFERROR((Registro[[#This Row],[Avance Total]]/Registro[[#This Row],[Meta]]),0)</f>
        <v>4.4150110375275938E-3</v>
      </c>
      <c r="Z782" s="22">
        <f>IFERROR((Registro[[#This Row],[Avance Total]]-Registro[[#This Row],[Línea Base 2025]])/Registro[[#This Row],[Línea Base 2025]],0)</f>
        <v>-0.875</v>
      </c>
      <c r="AA782" s="20">
        <v>2026</v>
      </c>
    </row>
    <row r="783" spans="1:27" hidden="1">
      <c r="A783" s="14">
        <v>1061</v>
      </c>
      <c r="B783" s="15" t="s">
        <v>13</v>
      </c>
      <c r="C783" s="16">
        <v>112</v>
      </c>
      <c r="D783" s="16" t="s">
        <v>173</v>
      </c>
      <c r="E783" s="17" t="s">
        <v>7</v>
      </c>
      <c r="F783" s="24">
        <v>4</v>
      </c>
      <c r="G783" s="19">
        <v>9</v>
      </c>
      <c r="H783" s="19">
        <v>0</v>
      </c>
      <c r="I783" s="19">
        <v>0</v>
      </c>
      <c r="T783" s="19">
        <f>Registro[[#This Row],[Mes 1]]+Registro[[#This Row],[Mes 2]]+Registro[[#This Row],[Mes 3]]</f>
        <v>0</v>
      </c>
      <c r="U783" s="19">
        <f>Registro[[#This Row],[Mes 4]]+Registro[[#This Row],[Mes 5]]+Registro[[#This Row],[Mes 6]]</f>
        <v>0</v>
      </c>
      <c r="V783" s="19">
        <f>Registro[[#This Row],[Mes 7]]+Registro[[#This Row],[Mes 8]]+Registro[[#This Row],[Mes 9]]</f>
        <v>0</v>
      </c>
      <c r="W783" s="20">
        <f>Registro[[#This Row],[Mes 10]]+Registro[[#This Row],[Mes 11]]+Registro[[#This Row],[Mes 12]]</f>
        <v>0</v>
      </c>
      <c r="X783" s="20">
        <f>SUM(Registro[[#This Row],[Trim I]],Registro[[#This Row],[Trim II]],Registro[[#This Row],[Trim III]],Registro[[#This Row],[Trim IV]])</f>
        <v>0</v>
      </c>
      <c r="Y783" s="22">
        <f>IFERROR((Registro[[#This Row],[Avance Total]]/Registro[[#This Row],[Meta]]),0)</f>
        <v>0</v>
      </c>
      <c r="Z783" s="22">
        <f>IFERROR((Registro[[#This Row],[Avance Total]]-Registro[[#This Row],[Línea Base 2025]])/Registro[[#This Row],[Línea Base 2025]],0)</f>
        <v>-1</v>
      </c>
      <c r="AA783" s="20">
        <v>2026</v>
      </c>
    </row>
    <row r="784" spans="1:27" hidden="1">
      <c r="A784" s="14">
        <v>1061</v>
      </c>
      <c r="B784" s="15" t="s">
        <v>13</v>
      </c>
      <c r="C784" s="16">
        <v>113</v>
      </c>
      <c r="D784" s="16" t="s">
        <v>179</v>
      </c>
      <c r="E784" s="17" t="s">
        <v>178</v>
      </c>
      <c r="F784" s="24">
        <v>27</v>
      </c>
      <c r="G784" s="19">
        <v>244</v>
      </c>
      <c r="H784" s="19">
        <v>0</v>
      </c>
      <c r="I784" s="19">
        <v>0</v>
      </c>
      <c r="T784" s="19">
        <f>Registro[[#This Row],[Mes 1]]+Registro[[#This Row],[Mes 2]]+Registro[[#This Row],[Mes 3]]</f>
        <v>0</v>
      </c>
      <c r="U784" s="19">
        <f>Registro[[#This Row],[Mes 4]]+Registro[[#This Row],[Mes 5]]+Registro[[#This Row],[Mes 6]]</f>
        <v>0</v>
      </c>
      <c r="V784" s="19">
        <f>Registro[[#This Row],[Mes 7]]+Registro[[#This Row],[Mes 8]]+Registro[[#This Row],[Mes 9]]</f>
        <v>0</v>
      </c>
      <c r="W784" s="20">
        <f>Registro[[#This Row],[Mes 10]]+Registro[[#This Row],[Mes 11]]+Registro[[#This Row],[Mes 12]]</f>
        <v>0</v>
      </c>
      <c r="X784" s="20">
        <f>SUM(Registro[[#This Row],[Trim I]],Registro[[#This Row],[Trim II]],Registro[[#This Row],[Trim III]],Registro[[#This Row],[Trim IV]])</f>
        <v>0</v>
      </c>
      <c r="Y784" s="22">
        <f>IFERROR((Registro[[#This Row],[Avance Total]]/Registro[[#This Row],[Meta]]),0)</f>
        <v>0</v>
      </c>
      <c r="Z784" s="22">
        <f>IFERROR((Registro[[#This Row],[Avance Total]]-Registro[[#This Row],[Línea Base 2025]])/Registro[[#This Row],[Línea Base 2025]],0)</f>
        <v>-1</v>
      </c>
      <c r="AA784" s="20">
        <v>2026</v>
      </c>
    </row>
    <row r="785" spans="1:27" hidden="1">
      <c r="A785" s="14">
        <v>1061</v>
      </c>
      <c r="B785" s="15" t="s">
        <v>13</v>
      </c>
      <c r="C785" s="16">
        <v>114</v>
      </c>
      <c r="D785" s="16" t="s">
        <v>181</v>
      </c>
      <c r="E785" s="17" t="s">
        <v>180</v>
      </c>
      <c r="F785" s="24">
        <v>0</v>
      </c>
      <c r="G785" s="19">
        <v>0</v>
      </c>
      <c r="H785" s="19">
        <v>0</v>
      </c>
      <c r="I785" s="19">
        <v>0</v>
      </c>
      <c r="T785" s="19">
        <f>Registro[[#This Row],[Mes 1]]+Registro[[#This Row],[Mes 2]]+Registro[[#This Row],[Mes 3]]</f>
        <v>0</v>
      </c>
      <c r="U785" s="19">
        <f>Registro[[#This Row],[Mes 4]]+Registro[[#This Row],[Mes 5]]+Registro[[#This Row],[Mes 6]]</f>
        <v>0</v>
      </c>
      <c r="V785" s="19">
        <f>Registro[[#This Row],[Mes 7]]+Registro[[#This Row],[Mes 8]]+Registro[[#This Row],[Mes 9]]</f>
        <v>0</v>
      </c>
      <c r="W785" s="20">
        <f>Registro[[#This Row],[Mes 10]]+Registro[[#This Row],[Mes 11]]+Registro[[#This Row],[Mes 12]]</f>
        <v>0</v>
      </c>
      <c r="X785" s="20">
        <f>SUM(Registro[[#This Row],[Trim I]],Registro[[#This Row],[Trim II]],Registro[[#This Row],[Trim III]],Registro[[#This Row],[Trim IV]])</f>
        <v>0</v>
      </c>
      <c r="Y785" s="22">
        <f>IFERROR((Registro[[#This Row],[Avance Total]]/Registro[[#This Row],[Meta]]),0)</f>
        <v>0</v>
      </c>
      <c r="Z785" s="22">
        <f>IFERROR((Registro[[#This Row],[Avance Total]]-Registro[[#This Row],[Línea Base 2025]])/Registro[[#This Row],[Línea Base 2025]],0)</f>
        <v>0</v>
      </c>
      <c r="AA785" s="20">
        <v>2026</v>
      </c>
    </row>
    <row r="786" spans="1:27" hidden="1">
      <c r="A786" s="14">
        <v>1061</v>
      </c>
      <c r="B786" s="15" t="s">
        <v>13</v>
      </c>
      <c r="C786" s="16">
        <v>115</v>
      </c>
      <c r="D786" s="16" t="s">
        <v>183</v>
      </c>
      <c r="E786" s="17" t="s">
        <v>182</v>
      </c>
      <c r="F786" s="24">
        <v>0</v>
      </c>
      <c r="G786" s="19">
        <v>0</v>
      </c>
      <c r="H786" s="19">
        <v>0</v>
      </c>
      <c r="I786" s="19">
        <v>1</v>
      </c>
      <c r="T786" s="19">
        <f>Registro[[#This Row],[Mes 1]]+Registro[[#This Row],[Mes 2]]+Registro[[#This Row],[Mes 3]]</f>
        <v>1</v>
      </c>
      <c r="U786" s="19">
        <f>Registro[[#This Row],[Mes 4]]+Registro[[#This Row],[Mes 5]]+Registro[[#This Row],[Mes 6]]</f>
        <v>0</v>
      </c>
      <c r="V786" s="19">
        <f>Registro[[#This Row],[Mes 7]]+Registro[[#This Row],[Mes 8]]+Registro[[#This Row],[Mes 9]]</f>
        <v>0</v>
      </c>
      <c r="W786" s="20">
        <f>Registro[[#This Row],[Mes 10]]+Registro[[#This Row],[Mes 11]]+Registro[[#This Row],[Mes 12]]</f>
        <v>0</v>
      </c>
      <c r="X786" s="20">
        <f>SUM(Registro[[#This Row],[Trim I]],Registro[[#This Row],[Trim II]],Registro[[#This Row],[Trim III]],Registro[[#This Row],[Trim IV]])</f>
        <v>1</v>
      </c>
      <c r="Y786" s="22">
        <f>IFERROR((Registro[[#This Row],[Avance Total]]/Registro[[#This Row],[Meta]]),0)</f>
        <v>0</v>
      </c>
      <c r="Z786" s="22">
        <f>IFERROR((Registro[[#This Row],[Avance Total]]-Registro[[#This Row],[Línea Base 2025]])/Registro[[#This Row],[Línea Base 2025]],0)</f>
        <v>0</v>
      </c>
      <c r="AA786" s="20">
        <v>2026</v>
      </c>
    </row>
    <row r="787" spans="1:27">
      <c r="A787" s="14">
        <v>1061</v>
      </c>
      <c r="B787" s="15" t="s">
        <v>13</v>
      </c>
      <c r="C787" s="16">
        <v>116</v>
      </c>
      <c r="D787" s="16" t="s">
        <v>185</v>
      </c>
      <c r="E787" s="17" t="s">
        <v>184</v>
      </c>
      <c r="F787" s="24">
        <v>1</v>
      </c>
      <c r="G787" s="19">
        <v>2</v>
      </c>
      <c r="H787" s="19">
        <v>0</v>
      </c>
      <c r="I787" s="19">
        <v>0</v>
      </c>
      <c r="T787" s="19">
        <f>Registro[[#This Row],[Mes 1]]+Registro[[#This Row],[Mes 2]]+Registro[[#This Row],[Mes 3]]</f>
        <v>0</v>
      </c>
      <c r="U787" s="19">
        <f>Registro[[#This Row],[Mes 4]]+Registro[[#This Row],[Mes 5]]+Registro[[#This Row],[Mes 6]]</f>
        <v>0</v>
      </c>
      <c r="V787" s="19">
        <f>Registro[[#This Row],[Mes 7]]+Registro[[#This Row],[Mes 8]]+Registro[[#This Row],[Mes 9]]</f>
        <v>0</v>
      </c>
      <c r="W787" s="20">
        <f>Registro[[#This Row],[Mes 10]]+Registro[[#This Row],[Mes 11]]+Registro[[#This Row],[Mes 12]]</f>
        <v>0</v>
      </c>
      <c r="X787" s="20">
        <f>SUM(Registro[[#This Row],[Trim I]],Registro[[#This Row],[Trim II]],Registro[[#This Row],[Trim III]],Registro[[#This Row],[Trim IV]])</f>
        <v>0</v>
      </c>
      <c r="Y787" s="22">
        <f>IFERROR((Registro[[#This Row],[Avance Total]]/Registro[[#This Row],[Meta]]),0)</f>
        <v>0</v>
      </c>
      <c r="Z787" s="22">
        <f>IFERROR((Registro[[#This Row],[Avance Total]]-Registro[[#This Row],[Línea Base 2025]])/Registro[[#This Row],[Línea Base 2025]],0)</f>
        <v>-1</v>
      </c>
      <c r="AA787" s="20">
        <v>2026</v>
      </c>
    </row>
    <row r="788" spans="1:27" hidden="1">
      <c r="A788" s="14">
        <v>1061</v>
      </c>
      <c r="B788" s="15" t="s">
        <v>13</v>
      </c>
      <c r="C788" s="16">
        <v>117</v>
      </c>
      <c r="D788" s="16" t="s">
        <v>187</v>
      </c>
      <c r="E788" s="17" t="s">
        <v>186</v>
      </c>
      <c r="F788" s="24">
        <v>0</v>
      </c>
      <c r="G788" s="19">
        <v>0</v>
      </c>
      <c r="H788" s="19">
        <v>0</v>
      </c>
      <c r="I788" s="19">
        <v>0</v>
      </c>
      <c r="T788" s="19">
        <f>Registro[[#This Row],[Mes 1]]+Registro[[#This Row],[Mes 2]]+Registro[[#This Row],[Mes 3]]</f>
        <v>0</v>
      </c>
      <c r="U788" s="19">
        <f>Registro[[#This Row],[Mes 4]]+Registro[[#This Row],[Mes 5]]+Registro[[#This Row],[Mes 6]]</f>
        <v>0</v>
      </c>
      <c r="V788" s="19">
        <f>Registro[[#This Row],[Mes 7]]+Registro[[#This Row],[Mes 8]]+Registro[[#This Row],[Mes 9]]</f>
        <v>0</v>
      </c>
      <c r="W788" s="20">
        <f>Registro[[#This Row],[Mes 10]]+Registro[[#This Row],[Mes 11]]+Registro[[#This Row],[Mes 12]]</f>
        <v>0</v>
      </c>
      <c r="X788" s="20">
        <f>SUM(Registro[[#This Row],[Trim I]],Registro[[#This Row],[Trim II]],Registro[[#This Row],[Trim III]],Registro[[#This Row],[Trim IV]])</f>
        <v>0</v>
      </c>
      <c r="Y788" s="22">
        <f>IFERROR((Registro[[#This Row],[Avance Total]]/Registro[[#This Row],[Meta]]),0)</f>
        <v>0</v>
      </c>
      <c r="Z788" s="22">
        <f>IFERROR((Registro[[#This Row],[Avance Total]]-Registro[[#This Row],[Línea Base 2025]])/Registro[[#This Row],[Línea Base 2025]],0)</f>
        <v>0</v>
      </c>
      <c r="AA788" s="20">
        <v>2026</v>
      </c>
    </row>
    <row r="789" spans="1:27" hidden="1">
      <c r="A789" s="14">
        <v>1061</v>
      </c>
      <c r="B789" s="15" t="s">
        <v>13</v>
      </c>
      <c r="C789" s="16">
        <v>118</v>
      </c>
      <c r="D789" s="16" t="s">
        <v>188</v>
      </c>
      <c r="E789" s="17" t="s">
        <v>9</v>
      </c>
      <c r="F789" s="24">
        <v>0</v>
      </c>
      <c r="G789" s="19">
        <v>0</v>
      </c>
      <c r="H789" s="19">
        <v>0</v>
      </c>
      <c r="I789" s="19">
        <v>0</v>
      </c>
      <c r="T789" s="19">
        <f>Registro[[#This Row],[Mes 1]]+Registro[[#This Row],[Mes 2]]+Registro[[#This Row],[Mes 3]]</f>
        <v>0</v>
      </c>
      <c r="U789" s="19">
        <f>Registro[[#This Row],[Mes 4]]+Registro[[#This Row],[Mes 5]]+Registro[[#This Row],[Mes 6]]</f>
        <v>0</v>
      </c>
      <c r="V789" s="19">
        <f>Registro[[#This Row],[Mes 7]]+Registro[[#This Row],[Mes 8]]+Registro[[#This Row],[Mes 9]]</f>
        <v>0</v>
      </c>
      <c r="W789" s="20">
        <f>Registro[[#This Row],[Mes 10]]+Registro[[#This Row],[Mes 11]]+Registro[[#This Row],[Mes 12]]</f>
        <v>0</v>
      </c>
      <c r="X789" s="20">
        <f>SUM(Registro[[#This Row],[Trim I]],Registro[[#This Row],[Trim II]],Registro[[#This Row],[Trim III]],Registro[[#This Row],[Trim IV]])</f>
        <v>0</v>
      </c>
      <c r="Y789" s="22">
        <f>IFERROR((Registro[[#This Row],[Avance Total]]/Registro[[#This Row],[Meta]]),0)</f>
        <v>0</v>
      </c>
      <c r="Z789" s="22">
        <f>IFERROR((Registro[[#This Row],[Avance Total]]-Registro[[#This Row],[Línea Base 2025]])/Registro[[#This Row],[Línea Base 2025]],0)</f>
        <v>0</v>
      </c>
      <c r="AA789" s="20">
        <v>2026</v>
      </c>
    </row>
    <row r="790" spans="1:27" hidden="1">
      <c r="A790" s="14">
        <v>1061</v>
      </c>
      <c r="B790" s="15" t="s">
        <v>13</v>
      </c>
      <c r="C790" s="16">
        <v>119</v>
      </c>
      <c r="D790" s="16" t="s">
        <v>190</v>
      </c>
      <c r="E790" s="17" t="s">
        <v>189</v>
      </c>
      <c r="F790" s="24">
        <v>0</v>
      </c>
      <c r="G790" s="19">
        <v>2</v>
      </c>
      <c r="H790" s="19">
        <v>0</v>
      </c>
      <c r="I790" s="19">
        <v>0</v>
      </c>
      <c r="T790" s="19">
        <f>Registro[[#This Row],[Mes 1]]+Registro[[#This Row],[Mes 2]]+Registro[[#This Row],[Mes 3]]</f>
        <v>0</v>
      </c>
      <c r="U790" s="19">
        <f>Registro[[#This Row],[Mes 4]]+Registro[[#This Row],[Mes 5]]+Registro[[#This Row],[Mes 6]]</f>
        <v>0</v>
      </c>
      <c r="V790" s="19">
        <f>Registro[[#This Row],[Mes 7]]+Registro[[#This Row],[Mes 8]]+Registro[[#This Row],[Mes 9]]</f>
        <v>0</v>
      </c>
      <c r="W790" s="20">
        <f>Registro[[#This Row],[Mes 10]]+Registro[[#This Row],[Mes 11]]+Registro[[#This Row],[Mes 12]]</f>
        <v>0</v>
      </c>
      <c r="X790" s="20">
        <f>SUM(Registro[[#This Row],[Trim I]],Registro[[#This Row],[Trim II]],Registro[[#This Row],[Trim III]],Registro[[#This Row],[Trim IV]])</f>
        <v>0</v>
      </c>
      <c r="Y790" s="22">
        <f>IFERROR((Registro[[#This Row],[Avance Total]]/Registro[[#This Row],[Meta]]),0)</f>
        <v>0</v>
      </c>
      <c r="Z790" s="22">
        <f>IFERROR((Registro[[#This Row],[Avance Total]]-Registro[[#This Row],[Línea Base 2025]])/Registro[[#This Row],[Línea Base 2025]],0)</f>
        <v>0</v>
      </c>
      <c r="AA790" s="20">
        <v>2026</v>
      </c>
    </row>
    <row r="791" spans="1:27" hidden="1">
      <c r="A791" s="14">
        <v>1061</v>
      </c>
      <c r="B791" s="15" t="s">
        <v>13</v>
      </c>
      <c r="C791" s="16">
        <v>120</v>
      </c>
      <c r="D791" s="16" t="s">
        <v>192</v>
      </c>
      <c r="E791" s="17" t="s">
        <v>191</v>
      </c>
      <c r="F791" s="24">
        <v>0</v>
      </c>
      <c r="G791" s="19">
        <v>0</v>
      </c>
      <c r="H791" s="19">
        <v>0</v>
      </c>
      <c r="I791" s="19">
        <v>0</v>
      </c>
      <c r="T791" s="19">
        <f>Registro[[#This Row],[Mes 1]]+Registro[[#This Row],[Mes 2]]+Registro[[#This Row],[Mes 3]]</f>
        <v>0</v>
      </c>
      <c r="U791" s="19">
        <f>Registro[[#This Row],[Mes 4]]+Registro[[#This Row],[Mes 5]]+Registro[[#This Row],[Mes 6]]</f>
        <v>0</v>
      </c>
      <c r="V791" s="19">
        <f>Registro[[#This Row],[Mes 7]]+Registro[[#This Row],[Mes 8]]+Registro[[#This Row],[Mes 9]]</f>
        <v>0</v>
      </c>
      <c r="W791" s="20">
        <f>Registro[[#This Row],[Mes 10]]+Registro[[#This Row],[Mes 11]]+Registro[[#This Row],[Mes 12]]</f>
        <v>0</v>
      </c>
      <c r="X791" s="20">
        <f>SUM(Registro[[#This Row],[Trim I]],Registro[[#This Row],[Trim II]],Registro[[#This Row],[Trim III]],Registro[[#This Row],[Trim IV]])</f>
        <v>0</v>
      </c>
      <c r="Y791" s="22">
        <f>IFERROR((Registro[[#This Row],[Avance Total]]/Registro[[#This Row],[Meta]]),0)</f>
        <v>0</v>
      </c>
      <c r="Z791" s="22">
        <f>IFERROR((Registro[[#This Row],[Avance Total]]-Registro[[#This Row],[Línea Base 2025]])/Registro[[#This Row],[Línea Base 2025]],0)</f>
        <v>0</v>
      </c>
      <c r="AA791" s="20">
        <v>2026</v>
      </c>
    </row>
    <row r="792" spans="1:27" hidden="1">
      <c r="A792" s="14">
        <v>1061</v>
      </c>
      <c r="B792" s="15" t="s">
        <v>13</v>
      </c>
      <c r="C792" s="16">
        <v>121</v>
      </c>
      <c r="D792" s="16" t="s">
        <v>194</v>
      </c>
      <c r="E792" s="17" t="s">
        <v>193</v>
      </c>
      <c r="F792" s="24">
        <v>0</v>
      </c>
      <c r="G792" s="19">
        <v>0</v>
      </c>
      <c r="H792" s="19">
        <v>0</v>
      </c>
      <c r="I792" s="19">
        <v>0</v>
      </c>
      <c r="T792" s="19">
        <f>Registro[[#This Row],[Mes 1]]+Registro[[#This Row],[Mes 2]]+Registro[[#This Row],[Mes 3]]</f>
        <v>0</v>
      </c>
      <c r="U792" s="19">
        <f>Registro[[#This Row],[Mes 4]]+Registro[[#This Row],[Mes 5]]+Registro[[#This Row],[Mes 6]]</f>
        <v>0</v>
      </c>
      <c r="V792" s="19">
        <f>Registro[[#This Row],[Mes 7]]+Registro[[#This Row],[Mes 8]]+Registro[[#This Row],[Mes 9]]</f>
        <v>0</v>
      </c>
      <c r="W792" s="20">
        <f>Registro[[#This Row],[Mes 10]]+Registro[[#This Row],[Mes 11]]+Registro[[#This Row],[Mes 12]]</f>
        <v>0</v>
      </c>
      <c r="X792" s="20">
        <f>SUM(Registro[[#This Row],[Trim I]],Registro[[#This Row],[Trim II]],Registro[[#This Row],[Trim III]],Registro[[#This Row],[Trim IV]])</f>
        <v>0</v>
      </c>
      <c r="Y792" s="22">
        <f>IFERROR((Registro[[#This Row],[Avance Total]]/Registro[[#This Row],[Meta]]),0)</f>
        <v>0</v>
      </c>
      <c r="Z792" s="22">
        <f>IFERROR((Registro[[#This Row],[Avance Total]]-Registro[[#This Row],[Línea Base 2025]])/Registro[[#This Row],[Línea Base 2025]],0)</f>
        <v>0</v>
      </c>
      <c r="AA792" s="20">
        <v>2026</v>
      </c>
    </row>
    <row r="793" spans="1:27" hidden="1">
      <c r="A793" s="14">
        <v>1061</v>
      </c>
      <c r="B793" s="15" t="s">
        <v>13</v>
      </c>
      <c r="C793" s="16">
        <v>122</v>
      </c>
      <c r="D793" s="16" t="s">
        <v>196</v>
      </c>
      <c r="E793" s="17" t="s">
        <v>195</v>
      </c>
      <c r="F793" s="24">
        <v>0</v>
      </c>
      <c r="G793" s="19">
        <v>0</v>
      </c>
      <c r="H793" s="19">
        <v>0</v>
      </c>
      <c r="I793" s="19">
        <v>0</v>
      </c>
      <c r="T793" s="19">
        <f>Registro[[#This Row],[Mes 1]]+Registro[[#This Row],[Mes 2]]+Registro[[#This Row],[Mes 3]]</f>
        <v>0</v>
      </c>
      <c r="U793" s="19">
        <f>Registro[[#This Row],[Mes 4]]+Registro[[#This Row],[Mes 5]]+Registro[[#This Row],[Mes 6]]</f>
        <v>0</v>
      </c>
      <c r="V793" s="19">
        <f>Registro[[#This Row],[Mes 7]]+Registro[[#This Row],[Mes 8]]+Registro[[#This Row],[Mes 9]]</f>
        <v>0</v>
      </c>
      <c r="W793" s="20">
        <f>Registro[[#This Row],[Mes 10]]+Registro[[#This Row],[Mes 11]]+Registro[[#This Row],[Mes 12]]</f>
        <v>0</v>
      </c>
      <c r="X793" s="20">
        <f>SUM(Registro[[#This Row],[Trim I]],Registro[[#This Row],[Trim II]],Registro[[#This Row],[Trim III]],Registro[[#This Row],[Trim IV]])</f>
        <v>0</v>
      </c>
      <c r="Y793" s="22">
        <f>IFERROR((Registro[[#This Row],[Avance Total]]/Registro[[#This Row],[Meta]]),0)</f>
        <v>0</v>
      </c>
      <c r="Z793" s="22">
        <f>IFERROR((Registro[[#This Row],[Avance Total]]-Registro[[#This Row],[Línea Base 2025]])/Registro[[#This Row],[Línea Base 2025]],0)</f>
        <v>0</v>
      </c>
      <c r="AA793" s="20">
        <v>2026</v>
      </c>
    </row>
    <row r="794" spans="1:27" hidden="1">
      <c r="A794" s="14">
        <v>1061</v>
      </c>
      <c r="B794" s="15" t="s">
        <v>13</v>
      </c>
      <c r="C794" s="16">
        <v>123</v>
      </c>
      <c r="D794" s="16" t="s">
        <v>198</v>
      </c>
      <c r="E794" s="17" t="s">
        <v>197</v>
      </c>
      <c r="F794" s="24">
        <v>0</v>
      </c>
      <c r="G794" s="19">
        <v>0</v>
      </c>
      <c r="H794" s="19">
        <v>0</v>
      </c>
      <c r="I794" s="19">
        <v>0</v>
      </c>
      <c r="T794" s="19">
        <f>Registro[[#This Row],[Mes 1]]+Registro[[#This Row],[Mes 2]]+Registro[[#This Row],[Mes 3]]</f>
        <v>0</v>
      </c>
      <c r="U794" s="19">
        <f>Registro[[#This Row],[Mes 4]]+Registro[[#This Row],[Mes 5]]+Registro[[#This Row],[Mes 6]]</f>
        <v>0</v>
      </c>
      <c r="V794" s="19">
        <f>Registro[[#This Row],[Mes 7]]+Registro[[#This Row],[Mes 8]]+Registro[[#This Row],[Mes 9]]</f>
        <v>0</v>
      </c>
      <c r="W794" s="20">
        <f>Registro[[#This Row],[Mes 10]]+Registro[[#This Row],[Mes 11]]+Registro[[#This Row],[Mes 12]]</f>
        <v>0</v>
      </c>
      <c r="X794" s="20">
        <f>SUM(Registro[[#This Row],[Trim I]],Registro[[#This Row],[Trim II]],Registro[[#This Row],[Trim III]],Registro[[#This Row],[Trim IV]])</f>
        <v>0</v>
      </c>
      <c r="Y794" s="22">
        <f>IFERROR((Registro[[#This Row],[Avance Total]]/Registro[[#This Row],[Meta]]),0)</f>
        <v>0</v>
      </c>
      <c r="Z794" s="22">
        <f>IFERROR((Registro[[#This Row],[Avance Total]]-Registro[[#This Row],[Línea Base 2025]])/Registro[[#This Row],[Línea Base 2025]],0)</f>
        <v>0</v>
      </c>
      <c r="AA794" s="20">
        <v>2026</v>
      </c>
    </row>
    <row r="795" spans="1:27" hidden="1">
      <c r="A795" s="14">
        <v>1062</v>
      </c>
      <c r="B795" s="15" t="s">
        <v>93</v>
      </c>
      <c r="C795" s="16">
        <v>111</v>
      </c>
      <c r="D795" s="16" t="s">
        <v>171</v>
      </c>
      <c r="E795" s="17" t="s">
        <v>172</v>
      </c>
      <c r="F795" s="24">
        <v>3</v>
      </c>
      <c r="G795" s="19">
        <v>42</v>
      </c>
      <c r="H795" s="19">
        <v>14</v>
      </c>
      <c r="I795" s="19">
        <v>17</v>
      </c>
      <c r="T795" s="19">
        <f>Registro[[#This Row],[Mes 1]]+Registro[[#This Row],[Mes 2]]+Registro[[#This Row],[Mes 3]]</f>
        <v>31</v>
      </c>
      <c r="U795" s="19">
        <f>Registro[[#This Row],[Mes 4]]+Registro[[#This Row],[Mes 5]]+Registro[[#This Row],[Mes 6]]</f>
        <v>0</v>
      </c>
      <c r="V795" s="19">
        <f>Registro[[#This Row],[Mes 7]]+Registro[[#This Row],[Mes 8]]+Registro[[#This Row],[Mes 9]]</f>
        <v>0</v>
      </c>
      <c r="W795" s="20">
        <f>Registro[[#This Row],[Mes 10]]+Registro[[#This Row],[Mes 11]]+Registro[[#This Row],[Mes 12]]</f>
        <v>0</v>
      </c>
      <c r="X795" s="20">
        <f>SUM(Registro[[#This Row],[Trim I]],Registro[[#This Row],[Trim II]],Registro[[#This Row],[Trim III]],Registro[[#This Row],[Trim IV]])</f>
        <v>31</v>
      </c>
      <c r="Y795" s="22">
        <f>IFERROR((Registro[[#This Row],[Avance Total]]/Registro[[#This Row],[Meta]]),0)</f>
        <v>0.73809523809523814</v>
      </c>
      <c r="Z795" s="22">
        <f>IFERROR((Registro[[#This Row],[Avance Total]]-Registro[[#This Row],[Línea Base 2025]])/Registro[[#This Row],[Línea Base 2025]],0)</f>
        <v>9.3333333333333339</v>
      </c>
      <c r="AA795" s="20">
        <v>2026</v>
      </c>
    </row>
    <row r="796" spans="1:27" hidden="1">
      <c r="A796" s="14">
        <v>1062</v>
      </c>
      <c r="B796" s="15" t="s">
        <v>93</v>
      </c>
      <c r="C796" s="16">
        <v>112</v>
      </c>
      <c r="D796" s="16" t="s">
        <v>173</v>
      </c>
      <c r="E796" s="17" t="s">
        <v>7</v>
      </c>
      <c r="F796" s="24">
        <v>4</v>
      </c>
      <c r="G796" s="19">
        <v>6</v>
      </c>
      <c r="H796" s="19">
        <v>0</v>
      </c>
      <c r="I796" s="19">
        <v>0</v>
      </c>
      <c r="T796" s="19">
        <f>Registro[[#This Row],[Mes 1]]+Registro[[#This Row],[Mes 2]]+Registro[[#This Row],[Mes 3]]</f>
        <v>0</v>
      </c>
      <c r="U796" s="19">
        <f>Registro[[#This Row],[Mes 4]]+Registro[[#This Row],[Mes 5]]+Registro[[#This Row],[Mes 6]]</f>
        <v>0</v>
      </c>
      <c r="V796" s="19">
        <f>Registro[[#This Row],[Mes 7]]+Registro[[#This Row],[Mes 8]]+Registro[[#This Row],[Mes 9]]</f>
        <v>0</v>
      </c>
      <c r="W796" s="20">
        <f>Registro[[#This Row],[Mes 10]]+Registro[[#This Row],[Mes 11]]+Registro[[#This Row],[Mes 12]]</f>
        <v>0</v>
      </c>
      <c r="X796" s="20">
        <f>SUM(Registro[[#This Row],[Trim I]],Registro[[#This Row],[Trim II]],Registro[[#This Row],[Trim III]],Registro[[#This Row],[Trim IV]])</f>
        <v>0</v>
      </c>
      <c r="Y796" s="22">
        <f>IFERROR((Registro[[#This Row],[Avance Total]]/Registro[[#This Row],[Meta]]),0)</f>
        <v>0</v>
      </c>
      <c r="Z796" s="22">
        <f>IFERROR((Registro[[#This Row],[Avance Total]]-Registro[[#This Row],[Línea Base 2025]])/Registro[[#This Row],[Línea Base 2025]],0)</f>
        <v>-1</v>
      </c>
      <c r="AA796" s="20">
        <v>2026</v>
      </c>
    </row>
    <row r="797" spans="1:27" hidden="1">
      <c r="A797" s="14">
        <v>1062</v>
      </c>
      <c r="B797" s="15" t="s">
        <v>93</v>
      </c>
      <c r="C797" s="16">
        <v>113</v>
      </c>
      <c r="D797" s="16" t="s">
        <v>179</v>
      </c>
      <c r="E797" s="17" t="s">
        <v>178</v>
      </c>
      <c r="F797" s="24">
        <v>2</v>
      </c>
      <c r="G797" s="19">
        <v>29</v>
      </c>
      <c r="H797" s="19">
        <v>2</v>
      </c>
      <c r="I797" s="19">
        <v>2</v>
      </c>
      <c r="T797" s="19">
        <f>Registro[[#This Row],[Mes 1]]+Registro[[#This Row],[Mes 2]]+Registro[[#This Row],[Mes 3]]</f>
        <v>4</v>
      </c>
      <c r="U797" s="19">
        <f>Registro[[#This Row],[Mes 4]]+Registro[[#This Row],[Mes 5]]+Registro[[#This Row],[Mes 6]]</f>
        <v>0</v>
      </c>
      <c r="V797" s="19">
        <f>Registro[[#This Row],[Mes 7]]+Registro[[#This Row],[Mes 8]]+Registro[[#This Row],[Mes 9]]</f>
        <v>0</v>
      </c>
      <c r="W797" s="20">
        <f>Registro[[#This Row],[Mes 10]]+Registro[[#This Row],[Mes 11]]+Registro[[#This Row],[Mes 12]]</f>
        <v>0</v>
      </c>
      <c r="X797" s="20">
        <f>SUM(Registro[[#This Row],[Trim I]],Registro[[#This Row],[Trim II]],Registro[[#This Row],[Trim III]],Registro[[#This Row],[Trim IV]])</f>
        <v>4</v>
      </c>
      <c r="Y797" s="22">
        <f>IFERROR((Registro[[#This Row],[Avance Total]]/Registro[[#This Row],[Meta]]),0)</f>
        <v>0.13793103448275862</v>
      </c>
      <c r="Z797" s="22">
        <f>IFERROR((Registro[[#This Row],[Avance Total]]-Registro[[#This Row],[Línea Base 2025]])/Registro[[#This Row],[Línea Base 2025]],0)</f>
        <v>1</v>
      </c>
      <c r="AA797" s="20">
        <v>2026</v>
      </c>
    </row>
    <row r="798" spans="1:27" hidden="1">
      <c r="A798" s="14">
        <v>1062</v>
      </c>
      <c r="B798" s="15" t="s">
        <v>93</v>
      </c>
      <c r="C798" s="16">
        <v>114</v>
      </c>
      <c r="D798" s="16" t="s">
        <v>181</v>
      </c>
      <c r="E798" s="17" t="s">
        <v>180</v>
      </c>
      <c r="F798" s="24">
        <v>0</v>
      </c>
      <c r="G798" s="19">
        <v>98</v>
      </c>
      <c r="H798" s="19">
        <v>49</v>
      </c>
      <c r="I798" s="19">
        <v>0</v>
      </c>
      <c r="T798" s="19">
        <f>Registro[[#This Row],[Mes 1]]+Registro[[#This Row],[Mes 2]]+Registro[[#This Row],[Mes 3]]</f>
        <v>49</v>
      </c>
      <c r="U798" s="19">
        <f>Registro[[#This Row],[Mes 4]]+Registro[[#This Row],[Mes 5]]+Registro[[#This Row],[Mes 6]]</f>
        <v>0</v>
      </c>
      <c r="V798" s="19">
        <f>Registro[[#This Row],[Mes 7]]+Registro[[#This Row],[Mes 8]]+Registro[[#This Row],[Mes 9]]</f>
        <v>0</v>
      </c>
      <c r="W798" s="20">
        <f>Registro[[#This Row],[Mes 10]]+Registro[[#This Row],[Mes 11]]+Registro[[#This Row],[Mes 12]]</f>
        <v>0</v>
      </c>
      <c r="X798" s="20">
        <f>SUM(Registro[[#This Row],[Trim I]],Registro[[#This Row],[Trim II]],Registro[[#This Row],[Trim III]],Registro[[#This Row],[Trim IV]])</f>
        <v>49</v>
      </c>
      <c r="Y798" s="22">
        <f>IFERROR((Registro[[#This Row],[Avance Total]]/Registro[[#This Row],[Meta]]),0)</f>
        <v>0.5</v>
      </c>
      <c r="Z798" s="22">
        <f>IFERROR((Registro[[#This Row],[Avance Total]]-Registro[[#This Row],[Línea Base 2025]])/Registro[[#This Row],[Línea Base 2025]],0)</f>
        <v>0</v>
      </c>
      <c r="AA798" s="20">
        <v>2026</v>
      </c>
    </row>
    <row r="799" spans="1:27" hidden="1">
      <c r="A799" s="14">
        <v>1062</v>
      </c>
      <c r="B799" s="15" t="s">
        <v>93</v>
      </c>
      <c r="C799" s="16">
        <v>115</v>
      </c>
      <c r="D799" s="16" t="s">
        <v>183</v>
      </c>
      <c r="E799" s="17" t="s">
        <v>182</v>
      </c>
      <c r="F799" s="24">
        <v>1</v>
      </c>
      <c r="G799" s="19">
        <v>1</v>
      </c>
      <c r="H799" s="19">
        <v>0</v>
      </c>
      <c r="I799" s="19">
        <v>0</v>
      </c>
      <c r="T799" s="19">
        <f>Registro[[#This Row],[Mes 1]]+Registro[[#This Row],[Mes 2]]+Registro[[#This Row],[Mes 3]]</f>
        <v>0</v>
      </c>
      <c r="U799" s="19">
        <f>Registro[[#This Row],[Mes 4]]+Registro[[#This Row],[Mes 5]]+Registro[[#This Row],[Mes 6]]</f>
        <v>0</v>
      </c>
      <c r="V799" s="19">
        <f>Registro[[#This Row],[Mes 7]]+Registro[[#This Row],[Mes 8]]+Registro[[#This Row],[Mes 9]]</f>
        <v>0</v>
      </c>
      <c r="W799" s="20">
        <f>Registro[[#This Row],[Mes 10]]+Registro[[#This Row],[Mes 11]]+Registro[[#This Row],[Mes 12]]</f>
        <v>0</v>
      </c>
      <c r="X799" s="20">
        <f>SUM(Registro[[#This Row],[Trim I]],Registro[[#This Row],[Trim II]],Registro[[#This Row],[Trim III]],Registro[[#This Row],[Trim IV]])</f>
        <v>0</v>
      </c>
      <c r="Y799" s="22">
        <f>IFERROR((Registro[[#This Row],[Avance Total]]/Registro[[#This Row],[Meta]]),0)</f>
        <v>0</v>
      </c>
      <c r="Z799" s="22">
        <f>IFERROR((Registro[[#This Row],[Avance Total]]-Registro[[#This Row],[Línea Base 2025]])/Registro[[#This Row],[Línea Base 2025]],0)</f>
        <v>-1</v>
      </c>
      <c r="AA799" s="20">
        <v>2026</v>
      </c>
    </row>
    <row r="800" spans="1:27">
      <c r="A800" s="14">
        <v>1062</v>
      </c>
      <c r="B800" s="15" t="s">
        <v>93</v>
      </c>
      <c r="C800" s="16">
        <v>116</v>
      </c>
      <c r="D800" s="16" t="s">
        <v>185</v>
      </c>
      <c r="E800" s="17" t="s">
        <v>184</v>
      </c>
      <c r="F800" s="24">
        <v>0</v>
      </c>
      <c r="G800" s="19">
        <v>1</v>
      </c>
      <c r="H800" s="19">
        <v>0</v>
      </c>
      <c r="I800" s="19">
        <v>0</v>
      </c>
      <c r="T800" s="19">
        <f>Registro[[#This Row],[Mes 1]]+Registro[[#This Row],[Mes 2]]+Registro[[#This Row],[Mes 3]]</f>
        <v>0</v>
      </c>
      <c r="U800" s="19">
        <f>Registro[[#This Row],[Mes 4]]+Registro[[#This Row],[Mes 5]]+Registro[[#This Row],[Mes 6]]</f>
        <v>0</v>
      </c>
      <c r="V800" s="19">
        <f>Registro[[#This Row],[Mes 7]]+Registro[[#This Row],[Mes 8]]+Registro[[#This Row],[Mes 9]]</f>
        <v>0</v>
      </c>
      <c r="W800" s="20">
        <f>Registro[[#This Row],[Mes 10]]+Registro[[#This Row],[Mes 11]]+Registro[[#This Row],[Mes 12]]</f>
        <v>0</v>
      </c>
      <c r="X800" s="20">
        <f>SUM(Registro[[#This Row],[Trim I]],Registro[[#This Row],[Trim II]],Registro[[#This Row],[Trim III]],Registro[[#This Row],[Trim IV]])</f>
        <v>0</v>
      </c>
      <c r="Y800" s="22">
        <f>IFERROR((Registro[[#This Row],[Avance Total]]/Registro[[#This Row],[Meta]]),0)</f>
        <v>0</v>
      </c>
      <c r="Z800" s="22">
        <f>IFERROR((Registro[[#This Row],[Avance Total]]-Registro[[#This Row],[Línea Base 2025]])/Registro[[#This Row],[Línea Base 2025]],0)</f>
        <v>0</v>
      </c>
      <c r="AA800" s="20">
        <v>2026</v>
      </c>
    </row>
    <row r="801" spans="1:27" hidden="1">
      <c r="A801" s="14">
        <v>1062</v>
      </c>
      <c r="B801" s="15" t="s">
        <v>93</v>
      </c>
      <c r="C801" s="16">
        <v>117</v>
      </c>
      <c r="D801" s="16" t="s">
        <v>187</v>
      </c>
      <c r="E801" s="17" t="s">
        <v>186</v>
      </c>
      <c r="F801" s="24">
        <v>0</v>
      </c>
      <c r="G801" s="19">
        <v>1</v>
      </c>
      <c r="H801" s="19">
        <v>0</v>
      </c>
      <c r="I801" s="19">
        <v>0</v>
      </c>
      <c r="T801" s="19">
        <f>Registro[[#This Row],[Mes 1]]+Registro[[#This Row],[Mes 2]]+Registro[[#This Row],[Mes 3]]</f>
        <v>0</v>
      </c>
      <c r="U801" s="19">
        <f>Registro[[#This Row],[Mes 4]]+Registro[[#This Row],[Mes 5]]+Registro[[#This Row],[Mes 6]]</f>
        <v>0</v>
      </c>
      <c r="V801" s="19">
        <f>Registro[[#This Row],[Mes 7]]+Registro[[#This Row],[Mes 8]]+Registro[[#This Row],[Mes 9]]</f>
        <v>0</v>
      </c>
      <c r="W801" s="20">
        <f>Registro[[#This Row],[Mes 10]]+Registro[[#This Row],[Mes 11]]+Registro[[#This Row],[Mes 12]]</f>
        <v>0</v>
      </c>
      <c r="X801" s="20">
        <f>SUM(Registro[[#This Row],[Trim I]],Registro[[#This Row],[Trim II]],Registro[[#This Row],[Trim III]],Registro[[#This Row],[Trim IV]])</f>
        <v>0</v>
      </c>
      <c r="Y801" s="22">
        <f>IFERROR((Registro[[#This Row],[Avance Total]]/Registro[[#This Row],[Meta]]),0)</f>
        <v>0</v>
      </c>
      <c r="Z801" s="22">
        <f>IFERROR((Registro[[#This Row],[Avance Total]]-Registro[[#This Row],[Línea Base 2025]])/Registro[[#This Row],[Línea Base 2025]],0)</f>
        <v>0</v>
      </c>
      <c r="AA801" s="20">
        <v>2026</v>
      </c>
    </row>
    <row r="802" spans="1:27" hidden="1">
      <c r="A802" s="14">
        <v>1062</v>
      </c>
      <c r="B802" s="15" t="s">
        <v>93</v>
      </c>
      <c r="C802" s="16">
        <v>118</v>
      </c>
      <c r="D802" s="16" t="s">
        <v>188</v>
      </c>
      <c r="E802" s="17" t="s">
        <v>9</v>
      </c>
      <c r="F802" s="24">
        <v>0</v>
      </c>
      <c r="G802" s="19">
        <v>0</v>
      </c>
      <c r="H802" s="19">
        <v>1</v>
      </c>
      <c r="I802" s="19">
        <v>0</v>
      </c>
      <c r="T802" s="19">
        <f>Registro[[#This Row],[Mes 1]]+Registro[[#This Row],[Mes 2]]+Registro[[#This Row],[Mes 3]]</f>
        <v>1</v>
      </c>
      <c r="U802" s="19">
        <f>Registro[[#This Row],[Mes 4]]+Registro[[#This Row],[Mes 5]]+Registro[[#This Row],[Mes 6]]</f>
        <v>0</v>
      </c>
      <c r="V802" s="19">
        <f>Registro[[#This Row],[Mes 7]]+Registro[[#This Row],[Mes 8]]+Registro[[#This Row],[Mes 9]]</f>
        <v>0</v>
      </c>
      <c r="W802" s="20">
        <f>Registro[[#This Row],[Mes 10]]+Registro[[#This Row],[Mes 11]]+Registro[[#This Row],[Mes 12]]</f>
        <v>0</v>
      </c>
      <c r="X802" s="20">
        <f>SUM(Registro[[#This Row],[Trim I]],Registro[[#This Row],[Trim II]],Registro[[#This Row],[Trim III]],Registro[[#This Row],[Trim IV]])</f>
        <v>1</v>
      </c>
      <c r="Y802" s="22">
        <f>IFERROR((Registro[[#This Row],[Avance Total]]/Registro[[#This Row],[Meta]]),0)</f>
        <v>0</v>
      </c>
      <c r="Z802" s="22">
        <f>IFERROR((Registro[[#This Row],[Avance Total]]-Registro[[#This Row],[Línea Base 2025]])/Registro[[#This Row],[Línea Base 2025]],0)</f>
        <v>0</v>
      </c>
      <c r="AA802" s="20">
        <v>2026</v>
      </c>
    </row>
    <row r="803" spans="1:27" hidden="1">
      <c r="A803" s="14">
        <v>1062</v>
      </c>
      <c r="B803" s="15" t="s">
        <v>93</v>
      </c>
      <c r="C803" s="16">
        <v>119</v>
      </c>
      <c r="D803" s="16" t="s">
        <v>190</v>
      </c>
      <c r="E803" s="17" t="s">
        <v>189</v>
      </c>
      <c r="F803" s="24">
        <v>0</v>
      </c>
      <c r="G803" s="19">
        <v>1</v>
      </c>
      <c r="H803" s="19">
        <v>1</v>
      </c>
      <c r="I803" s="19">
        <v>0</v>
      </c>
      <c r="T803" s="19">
        <f>Registro[[#This Row],[Mes 1]]+Registro[[#This Row],[Mes 2]]+Registro[[#This Row],[Mes 3]]</f>
        <v>1</v>
      </c>
      <c r="U803" s="19">
        <f>Registro[[#This Row],[Mes 4]]+Registro[[#This Row],[Mes 5]]+Registro[[#This Row],[Mes 6]]</f>
        <v>0</v>
      </c>
      <c r="V803" s="19">
        <f>Registro[[#This Row],[Mes 7]]+Registro[[#This Row],[Mes 8]]+Registro[[#This Row],[Mes 9]]</f>
        <v>0</v>
      </c>
      <c r="W803" s="20">
        <f>Registro[[#This Row],[Mes 10]]+Registro[[#This Row],[Mes 11]]+Registro[[#This Row],[Mes 12]]</f>
        <v>0</v>
      </c>
      <c r="X803" s="20">
        <f>SUM(Registro[[#This Row],[Trim I]],Registro[[#This Row],[Trim II]],Registro[[#This Row],[Trim III]],Registro[[#This Row],[Trim IV]])</f>
        <v>1</v>
      </c>
      <c r="Y803" s="22">
        <f>IFERROR((Registro[[#This Row],[Avance Total]]/Registro[[#This Row],[Meta]]),0)</f>
        <v>1</v>
      </c>
      <c r="Z803" s="22">
        <f>IFERROR((Registro[[#This Row],[Avance Total]]-Registro[[#This Row],[Línea Base 2025]])/Registro[[#This Row],[Línea Base 2025]],0)</f>
        <v>0</v>
      </c>
      <c r="AA803" s="20">
        <v>2026</v>
      </c>
    </row>
    <row r="804" spans="1:27" hidden="1">
      <c r="A804" s="14">
        <v>1062</v>
      </c>
      <c r="B804" s="15" t="s">
        <v>93</v>
      </c>
      <c r="C804" s="16">
        <v>120</v>
      </c>
      <c r="D804" s="16" t="s">
        <v>192</v>
      </c>
      <c r="E804" s="17" t="s">
        <v>191</v>
      </c>
      <c r="F804" s="24">
        <v>0</v>
      </c>
      <c r="G804" s="19">
        <v>3</v>
      </c>
      <c r="H804" s="19">
        <v>0</v>
      </c>
      <c r="I804" s="19">
        <v>0</v>
      </c>
      <c r="T804" s="19">
        <f>Registro[[#This Row],[Mes 1]]+Registro[[#This Row],[Mes 2]]+Registro[[#This Row],[Mes 3]]</f>
        <v>0</v>
      </c>
      <c r="U804" s="19">
        <f>Registro[[#This Row],[Mes 4]]+Registro[[#This Row],[Mes 5]]+Registro[[#This Row],[Mes 6]]</f>
        <v>0</v>
      </c>
      <c r="V804" s="19">
        <f>Registro[[#This Row],[Mes 7]]+Registro[[#This Row],[Mes 8]]+Registro[[#This Row],[Mes 9]]</f>
        <v>0</v>
      </c>
      <c r="W804" s="20">
        <f>Registro[[#This Row],[Mes 10]]+Registro[[#This Row],[Mes 11]]+Registro[[#This Row],[Mes 12]]</f>
        <v>0</v>
      </c>
      <c r="X804" s="20">
        <f>SUM(Registro[[#This Row],[Trim I]],Registro[[#This Row],[Trim II]],Registro[[#This Row],[Trim III]],Registro[[#This Row],[Trim IV]])</f>
        <v>0</v>
      </c>
      <c r="Y804" s="22">
        <f>IFERROR((Registro[[#This Row],[Avance Total]]/Registro[[#This Row],[Meta]]),0)</f>
        <v>0</v>
      </c>
      <c r="Z804" s="22">
        <f>IFERROR((Registro[[#This Row],[Avance Total]]-Registro[[#This Row],[Línea Base 2025]])/Registro[[#This Row],[Línea Base 2025]],0)</f>
        <v>0</v>
      </c>
      <c r="AA804" s="20">
        <v>2026</v>
      </c>
    </row>
    <row r="805" spans="1:27" hidden="1">
      <c r="A805" s="14">
        <v>1062</v>
      </c>
      <c r="B805" s="15" t="s">
        <v>93</v>
      </c>
      <c r="C805" s="16">
        <v>121</v>
      </c>
      <c r="D805" s="16" t="s">
        <v>194</v>
      </c>
      <c r="E805" s="17" t="s">
        <v>193</v>
      </c>
      <c r="F805" s="24">
        <v>0</v>
      </c>
      <c r="G805" s="19">
        <v>5</v>
      </c>
      <c r="H805" s="19">
        <v>3</v>
      </c>
      <c r="I805" s="19">
        <v>0</v>
      </c>
      <c r="T805" s="19">
        <f>Registro[[#This Row],[Mes 1]]+Registro[[#This Row],[Mes 2]]+Registro[[#This Row],[Mes 3]]</f>
        <v>3</v>
      </c>
      <c r="U805" s="19">
        <f>Registro[[#This Row],[Mes 4]]+Registro[[#This Row],[Mes 5]]+Registro[[#This Row],[Mes 6]]</f>
        <v>0</v>
      </c>
      <c r="V805" s="19">
        <f>Registro[[#This Row],[Mes 7]]+Registro[[#This Row],[Mes 8]]+Registro[[#This Row],[Mes 9]]</f>
        <v>0</v>
      </c>
      <c r="W805" s="20">
        <f>Registro[[#This Row],[Mes 10]]+Registro[[#This Row],[Mes 11]]+Registro[[#This Row],[Mes 12]]</f>
        <v>0</v>
      </c>
      <c r="X805" s="20">
        <f>SUM(Registro[[#This Row],[Trim I]],Registro[[#This Row],[Trim II]],Registro[[#This Row],[Trim III]],Registro[[#This Row],[Trim IV]])</f>
        <v>3</v>
      </c>
      <c r="Y805" s="22">
        <f>IFERROR((Registro[[#This Row],[Avance Total]]/Registro[[#This Row],[Meta]]),0)</f>
        <v>0.6</v>
      </c>
      <c r="Z805" s="22">
        <f>IFERROR((Registro[[#This Row],[Avance Total]]-Registro[[#This Row],[Línea Base 2025]])/Registro[[#This Row],[Línea Base 2025]],0)</f>
        <v>0</v>
      </c>
      <c r="AA805" s="20">
        <v>2026</v>
      </c>
    </row>
    <row r="806" spans="1:27" hidden="1">
      <c r="A806" s="14">
        <v>1062</v>
      </c>
      <c r="B806" s="15" t="s">
        <v>93</v>
      </c>
      <c r="C806" s="16">
        <v>122</v>
      </c>
      <c r="D806" s="16" t="s">
        <v>196</v>
      </c>
      <c r="E806" s="17" t="s">
        <v>195</v>
      </c>
      <c r="F806" s="24">
        <v>1</v>
      </c>
      <c r="G806" s="19">
        <v>1</v>
      </c>
      <c r="H806" s="19">
        <v>0</v>
      </c>
      <c r="I806" s="19">
        <v>0</v>
      </c>
      <c r="T806" s="19">
        <f>Registro[[#This Row],[Mes 1]]+Registro[[#This Row],[Mes 2]]+Registro[[#This Row],[Mes 3]]</f>
        <v>0</v>
      </c>
      <c r="U806" s="19">
        <f>Registro[[#This Row],[Mes 4]]+Registro[[#This Row],[Mes 5]]+Registro[[#This Row],[Mes 6]]</f>
        <v>0</v>
      </c>
      <c r="V806" s="19">
        <f>Registro[[#This Row],[Mes 7]]+Registro[[#This Row],[Mes 8]]+Registro[[#This Row],[Mes 9]]</f>
        <v>0</v>
      </c>
      <c r="W806" s="20">
        <f>Registro[[#This Row],[Mes 10]]+Registro[[#This Row],[Mes 11]]+Registro[[#This Row],[Mes 12]]</f>
        <v>0</v>
      </c>
      <c r="X806" s="20">
        <f>SUM(Registro[[#This Row],[Trim I]],Registro[[#This Row],[Trim II]],Registro[[#This Row],[Trim III]],Registro[[#This Row],[Trim IV]])</f>
        <v>0</v>
      </c>
      <c r="Y806" s="22">
        <f>IFERROR((Registro[[#This Row],[Avance Total]]/Registro[[#This Row],[Meta]]),0)</f>
        <v>0</v>
      </c>
      <c r="Z806" s="22">
        <f>IFERROR((Registro[[#This Row],[Avance Total]]-Registro[[#This Row],[Línea Base 2025]])/Registro[[#This Row],[Línea Base 2025]],0)</f>
        <v>-1</v>
      </c>
      <c r="AA806" s="20">
        <v>2026</v>
      </c>
    </row>
    <row r="807" spans="1:27" hidden="1">
      <c r="A807" s="14">
        <v>1062</v>
      </c>
      <c r="B807" s="15" t="s">
        <v>93</v>
      </c>
      <c r="C807" s="16">
        <v>123</v>
      </c>
      <c r="D807" s="16" t="s">
        <v>198</v>
      </c>
      <c r="E807" s="17" t="s">
        <v>197</v>
      </c>
      <c r="F807" s="24">
        <v>0</v>
      </c>
      <c r="G807" s="19">
        <v>1</v>
      </c>
      <c r="H807" s="19">
        <v>0</v>
      </c>
      <c r="I807" s="19">
        <v>0</v>
      </c>
      <c r="T807" s="19">
        <f>Registro[[#This Row],[Mes 1]]+Registro[[#This Row],[Mes 2]]+Registro[[#This Row],[Mes 3]]</f>
        <v>0</v>
      </c>
      <c r="U807" s="19">
        <f>Registro[[#This Row],[Mes 4]]+Registro[[#This Row],[Mes 5]]+Registro[[#This Row],[Mes 6]]</f>
        <v>0</v>
      </c>
      <c r="V807" s="19">
        <f>Registro[[#This Row],[Mes 7]]+Registro[[#This Row],[Mes 8]]+Registro[[#This Row],[Mes 9]]</f>
        <v>0</v>
      </c>
      <c r="W807" s="20">
        <f>Registro[[#This Row],[Mes 10]]+Registro[[#This Row],[Mes 11]]+Registro[[#This Row],[Mes 12]]</f>
        <v>0</v>
      </c>
      <c r="X807" s="20">
        <f>SUM(Registro[[#This Row],[Trim I]],Registro[[#This Row],[Trim II]],Registro[[#This Row],[Trim III]],Registro[[#This Row],[Trim IV]])</f>
        <v>0</v>
      </c>
      <c r="Y807" s="22">
        <f>IFERROR((Registro[[#This Row],[Avance Total]]/Registro[[#This Row],[Meta]]),0)</f>
        <v>0</v>
      </c>
      <c r="Z807" s="22">
        <f>IFERROR((Registro[[#This Row],[Avance Total]]-Registro[[#This Row],[Línea Base 2025]])/Registro[[#This Row],[Línea Base 2025]],0)</f>
        <v>0</v>
      </c>
      <c r="AA807" s="20">
        <v>2026</v>
      </c>
    </row>
    <row r="808" spans="1:27" hidden="1">
      <c r="A808" s="14">
        <v>1063</v>
      </c>
      <c r="B808" s="15" t="s">
        <v>94</v>
      </c>
      <c r="C808" s="16">
        <v>111</v>
      </c>
      <c r="D808" s="16" t="s">
        <v>171</v>
      </c>
      <c r="E808" s="17" t="s">
        <v>172</v>
      </c>
      <c r="F808" s="24">
        <v>108</v>
      </c>
      <c r="G808" s="19">
        <v>293</v>
      </c>
      <c r="H808" s="19">
        <v>0</v>
      </c>
      <c r="I808" s="19">
        <v>0</v>
      </c>
      <c r="T808" s="19">
        <f>Registro[[#This Row],[Mes 1]]+Registro[[#This Row],[Mes 2]]+Registro[[#This Row],[Mes 3]]</f>
        <v>0</v>
      </c>
      <c r="U808" s="19">
        <f>Registro[[#This Row],[Mes 4]]+Registro[[#This Row],[Mes 5]]+Registro[[#This Row],[Mes 6]]</f>
        <v>0</v>
      </c>
      <c r="V808" s="19">
        <f>Registro[[#This Row],[Mes 7]]+Registro[[#This Row],[Mes 8]]+Registro[[#This Row],[Mes 9]]</f>
        <v>0</v>
      </c>
      <c r="W808" s="20">
        <f>Registro[[#This Row],[Mes 10]]+Registro[[#This Row],[Mes 11]]+Registro[[#This Row],[Mes 12]]</f>
        <v>0</v>
      </c>
      <c r="X808" s="20">
        <f>SUM(Registro[[#This Row],[Trim I]],Registro[[#This Row],[Trim II]],Registro[[#This Row],[Trim III]],Registro[[#This Row],[Trim IV]])</f>
        <v>0</v>
      </c>
      <c r="Y808" s="22">
        <f>IFERROR((Registro[[#This Row],[Avance Total]]/Registro[[#This Row],[Meta]]),0)</f>
        <v>0</v>
      </c>
      <c r="Z808" s="22">
        <f>IFERROR((Registro[[#This Row],[Avance Total]]-Registro[[#This Row],[Línea Base 2025]])/Registro[[#This Row],[Línea Base 2025]],0)</f>
        <v>-1</v>
      </c>
      <c r="AA808" s="20">
        <v>2026</v>
      </c>
    </row>
    <row r="809" spans="1:27" hidden="1">
      <c r="A809" s="14">
        <v>1063</v>
      </c>
      <c r="B809" s="15" t="s">
        <v>94</v>
      </c>
      <c r="C809" s="16">
        <v>112</v>
      </c>
      <c r="D809" s="16" t="s">
        <v>173</v>
      </c>
      <c r="E809" s="17" t="s">
        <v>7</v>
      </c>
      <c r="F809" s="24">
        <v>44</v>
      </c>
      <c r="G809" s="19">
        <v>193</v>
      </c>
      <c r="H809" s="19">
        <v>0</v>
      </c>
      <c r="I809" s="19">
        <v>0</v>
      </c>
      <c r="T809" s="19">
        <f>Registro[[#This Row],[Mes 1]]+Registro[[#This Row],[Mes 2]]+Registro[[#This Row],[Mes 3]]</f>
        <v>0</v>
      </c>
      <c r="U809" s="19">
        <f>Registro[[#This Row],[Mes 4]]+Registro[[#This Row],[Mes 5]]+Registro[[#This Row],[Mes 6]]</f>
        <v>0</v>
      </c>
      <c r="V809" s="19">
        <f>Registro[[#This Row],[Mes 7]]+Registro[[#This Row],[Mes 8]]+Registro[[#This Row],[Mes 9]]</f>
        <v>0</v>
      </c>
      <c r="W809" s="20">
        <f>Registro[[#This Row],[Mes 10]]+Registro[[#This Row],[Mes 11]]+Registro[[#This Row],[Mes 12]]</f>
        <v>0</v>
      </c>
      <c r="X809" s="20">
        <f>SUM(Registro[[#This Row],[Trim I]],Registro[[#This Row],[Trim II]],Registro[[#This Row],[Trim III]],Registro[[#This Row],[Trim IV]])</f>
        <v>0</v>
      </c>
      <c r="Y809" s="22">
        <f>IFERROR((Registro[[#This Row],[Avance Total]]/Registro[[#This Row],[Meta]]),0)</f>
        <v>0</v>
      </c>
      <c r="Z809" s="22">
        <f>IFERROR((Registro[[#This Row],[Avance Total]]-Registro[[#This Row],[Línea Base 2025]])/Registro[[#This Row],[Línea Base 2025]],0)</f>
        <v>-1</v>
      </c>
      <c r="AA809" s="20">
        <v>2026</v>
      </c>
    </row>
    <row r="810" spans="1:27" hidden="1">
      <c r="A810" s="14">
        <v>1063</v>
      </c>
      <c r="B810" s="15" t="s">
        <v>94</v>
      </c>
      <c r="C810" s="16">
        <v>113</v>
      </c>
      <c r="D810" s="16" t="s">
        <v>179</v>
      </c>
      <c r="E810" s="17" t="s">
        <v>178</v>
      </c>
      <c r="F810" s="24">
        <v>44</v>
      </c>
      <c r="G810" s="19">
        <v>501</v>
      </c>
      <c r="H810" s="19">
        <v>0</v>
      </c>
      <c r="I810" s="19">
        <v>0</v>
      </c>
      <c r="T810" s="19">
        <f>Registro[[#This Row],[Mes 1]]+Registro[[#This Row],[Mes 2]]+Registro[[#This Row],[Mes 3]]</f>
        <v>0</v>
      </c>
      <c r="U810" s="19">
        <f>Registro[[#This Row],[Mes 4]]+Registro[[#This Row],[Mes 5]]+Registro[[#This Row],[Mes 6]]</f>
        <v>0</v>
      </c>
      <c r="V810" s="19">
        <f>Registro[[#This Row],[Mes 7]]+Registro[[#This Row],[Mes 8]]+Registro[[#This Row],[Mes 9]]</f>
        <v>0</v>
      </c>
      <c r="W810" s="20">
        <f>Registro[[#This Row],[Mes 10]]+Registro[[#This Row],[Mes 11]]+Registro[[#This Row],[Mes 12]]</f>
        <v>0</v>
      </c>
      <c r="X810" s="20">
        <f>SUM(Registro[[#This Row],[Trim I]],Registro[[#This Row],[Trim II]],Registro[[#This Row],[Trim III]],Registro[[#This Row],[Trim IV]])</f>
        <v>0</v>
      </c>
      <c r="Y810" s="22">
        <f>IFERROR((Registro[[#This Row],[Avance Total]]/Registro[[#This Row],[Meta]]),0)</f>
        <v>0</v>
      </c>
      <c r="Z810" s="22">
        <f>IFERROR((Registro[[#This Row],[Avance Total]]-Registro[[#This Row],[Línea Base 2025]])/Registro[[#This Row],[Línea Base 2025]],0)</f>
        <v>-1</v>
      </c>
      <c r="AA810" s="20">
        <v>2026</v>
      </c>
    </row>
    <row r="811" spans="1:27" hidden="1">
      <c r="A811" s="14">
        <v>1063</v>
      </c>
      <c r="B811" s="15" t="s">
        <v>94</v>
      </c>
      <c r="C811" s="16">
        <v>114</v>
      </c>
      <c r="D811" s="16" t="s">
        <v>181</v>
      </c>
      <c r="E811" s="17" t="s">
        <v>180</v>
      </c>
      <c r="F811" s="24">
        <v>0</v>
      </c>
      <c r="G811" s="19">
        <v>9</v>
      </c>
      <c r="H811" s="19">
        <v>0</v>
      </c>
      <c r="I811" s="19">
        <v>0</v>
      </c>
      <c r="T811" s="19">
        <f>Registro[[#This Row],[Mes 1]]+Registro[[#This Row],[Mes 2]]+Registro[[#This Row],[Mes 3]]</f>
        <v>0</v>
      </c>
      <c r="U811" s="19">
        <f>Registro[[#This Row],[Mes 4]]+Registro[[#This Row],[Mes 5]]+Registro[[#This Row],[Mes 6]]</f>
        <v>0</v>
      </c>
      <c r="V811" s="19">
        <f>Registro[[#This Row],[Mes 7]]+Registro[[#This Row],[Mes 8]]+Registro[[#This Row],[Mes 9]]</f>
        <v>0</v>
      </c>
      <c r="W811" s="20">
        <f>Registro[[#This Row],[Mes 10]]+Registro[[#This Row],[Mes 11]]+Registro[[#This Row],[Mes 12]]</f>
        <v>0</v>
      </c>
      <c r="X811" s="20">
        <f>SUM(Registro[[#This Row],[Trim I]],Registro[[#This Row],[Trim II]],Registro[[#This Row],[Trim III]],Registro[[#This Row],[Trim IV]])</f>
        <v>0</v>
      </c>
      <c r="Y811" s="22">
        <f>IFERROR((Registro[[#This Row],[Avance Total]]/Registro[[#This Row],[Meta]]),0)</f>
        <v>0</v>
      </c>
      <c r="Z811" s="22">
        <f>IFERROR((Registro[[#This Row],[Avance Total]]-Registro[[#This Row],[Línea Base 2025]])/Registro[[#This Row],[Línea Base 2025]],0)</f>
        <v>0</v>
      </c>
      <c r="AA811" s="20">
        <v>2026</v>
      </c>
    </row>
    <row r="812" spans="1:27" hidden="1">
      <c r="A812" s="14">
        <v>1063</v>
      </c>
      <c r="B812" s="15" t="s">
        <v>94</v>
      </c>
      <c r="C812" s="16">
        <v>115</v>
      </c>
      <c r="D812" s="16" t="s">
        <v>183</v>
      </c>
      <c r="E812" s="17" t="s">
        <v>182</v>
      </c>
      <c r="F812" s="24">
        <v>4</v>
      </c>
      <c r="G812" s="19">
        <v>8</v>
      </c>
      <c r="H812" s="19">
        <v>0</v>
      </c>
      <c r="I812" s="19">
        <v>0</v>
      </c>
      <c r="T812" s="19">
        <f>Registro[[#This Row],[Mes 1]]+Registro[[#This Row],[Mes 2]]+Registro[[#This Row],[Mes 3]]</f>
        <v>0</v>
      </c>
      <c r="U812" s="19">
        <f>Registro[[#This Row],[Mes 4]]+Registro[[#This Row],[Mes 5]]+Registro[[#This Row],[Mes 6]]</f>
        <v>0</v>
      </c>
      <c r="V812" s="19">
        <f>Registro[[#This Row],[Mes 7]]+Registro[[#This Row],[Mes 8]]+Registro[[#This Row],[Mes 9]]</f>
        <v>0</v>
      </c>
      <c r="W812" s="20">
        <f>Registro[[#This Row],[Mes 10]]+Registro[[#This Row],[Mes 11]]+Registro[[#This Row],[Mes 12]]</f>
        <v>0</v>
      </c>
      <c r="X812" s="20">
        <f>SUM(Registro[[#This Row],[Trim I]],Registro[[#This Row],[Trim II]],Registro[[#This Row],[Trim III]],Registro[[#This Row],[Trim IV]])</f>
        <v>0</v>
      </c>
      <c r="Y812" s="22">
        <f>IFERROR((Registro[[#This Row],[Avance Total]]/Registro[[#This Row],[Meta]]),0)</f>
        <v>0</v>
      </c>
      <c r="Z812" s="22">
        <f>IFERROR((Registro[[#This Row],[Avance Total]]-Registro[[#This Row],[Línea Base 2025]])/Registro[[#This Row],[Línea Base 2025]],0)</f>
        <v>-1</v>
      </c>
      <c r="AA812" s="20">
        <v>2026</v>
      </c>
    </row>
    <row r="813" spans="1:27">
      <c r="A813" s="14">
        <v>1063</v>
      </c>
      <c r="B813" s="15" t="s">
        <v>94</v>
      </c>
      <c r="C813" s="16">
        <v>116</v>
      </c>
      <c r="D813" s="16" t="s">
        <v>185</v>
      </c>
      <c r="E813" s="17" t="s">
        <v>184</v>
      </c>
      <c r="F813" s="24">
        <v>34</v>
      </c>
      <c r="G813" s="19">
        <v>16</v>
      </c>
      <c r="H813" s="19">
        <v>0</v>
      </c>
      <c r="I813" s="19">
        <v>0</v>
      </c>
      <c r="T813" s="19">
        <f>Registro[[#This Row],[Mes 1]]+Registro[[#This Row],[Mes 2]]+Registro[[#This Row],[Mes 3]]</f>
        <v>0</v>
      </c>
      <c r="U813" s="19">
        <f>Registro[[#This Row],[Mes 4]]+Registro[[#This Row],[Mes 5]]+Registro[[#This Row],[Mes 6]]</f>
        <v>0</v>
      </c>
      <c r="V813" s="19">
        <f>Registro[[#This Row],[Mes 7]]+Registro[[#This Row],[Mes 8]]+Registro[[#This Row],[Mes 9]]</f>
        <v>0</v>
      </c>
      <c r="W813" s="20">
        <f>Registro[[#This Row],[Mes 10]]+Registro[[#This Row],[Mes 11]]+Registro[[#This Row],[Mes 12]]</f>
        <v>0</v>
      </c>
      <c r="X813" s="20">
        <f>SUM(Registro[[#This Row],[Trim I]],Registro[[#This Row],[Trim II]],Registro[[#This Row],[Trim III]],Registro[[#This Row],[Trim IV]])</f>
        <v>0</v>
      </c>
      <c r="Y813" s="22">
        <f>IFERROR((Registro[[#This Row],[Avance Total]]/Registro[[#This Row],[Meta]]),0)</f>
        <v>0</v>
      </c>
      <c r="Z813" s="22">
        <f>IFERROR((Registro[[#This Row],[Avance Total]]-Registro[[#This Row],[Línea Base 2025]])/Registro[[#This Row],[Línea Base 2025]],0)</f>
        <v>-1</v>
      </c>
      <c r="AA813" s="20">
        <v>2026</v>
      </c>
    </row>
    <row r="814" spans="1:27" hidden="1">
      <c r="A814" s="14">
        <v>1063</v>
      </c>
      <c r="B814" s="15" t="s">
        <v>94</v>
      </c>
      <c r="C814" s="16">
        <v>117</v>
      </c>
      <c r="D814" s="16" t="s">
        <v>187</v>
      </c>
      <c r="E814" s="17" t="s">
        <v>186</v>
      </c>
      <c r="F814" s="24">
        <v>5</v>
      </c>
      <c r="G814" s="19">
        <v>13</v>
      </c>
      <c r="H814" s="19">
        <v>0</v>
      </c>
      <c r="I814" s="19">
        <v>0</v>
      </c>
      <c r="T814" s="19">
        <f>Registro[[#This Row],[Mes 1]]+Registro[[#This Row],[Mes 2]]+Registro[[#This Row],[Mes 3]]</f>
        <v>0</v>
      </c>
      <c r="U814" s="19">
        <f>Registro[[#This Row],[Mes 4]]+Registro[[#This Row],[Mes 5]]+Registro[[#This Row],[Mes 6]]</f>
        <v>0</v>
      </c>
      <c r="V814" s="19">
        <f>Registro[[#This Row],[Mes 7]]+Registro[[#This Row],[Mes 8]]+Registro[[#This Row],[Mes 9]]</f>
        <v>0</v>
      </c>
      <c r="W814" s="20">
        <f>Registro[[#This Row],[Mes 10]]+Registro[[#This Row],[Mes 11]]+Registro[[#This Row],[Mes 12]]</f>
        <v>0</v>
      </c>
      <c r="X814" s="20">
        <f>SUM(Registro[[#This Row],[Trim I]],Registro[[#This Row],[Trim II]],Registro[[#This Row],[Trim III]],Registro[[#This Row],[Trim IV]])</f>
        <v>0</v>
      </c>
      <c r="Y814" s="22">
        <f>IFERROR((Registro[[#This Row],[Avance Total]]/Registro[[#This Row],[Meta]]),0)</f>
        <v>0</v>
      </c>
      <c r="Z814" s="22">
        <f>IFERROR((Registro[[#This Row],[Avance Total]]-Registro[[#This Row],[Línea Base 2025]])/Registro[[#This Row],[Línea Base 2025]],0)</f>
        <v>-1</v>
      </c>
      <c r="AA814" s="20">
        <v>2026</v>
      </c>
    </row>
    <row r="815" spans="1:27" hidden="1">
      <c r="A815" s="14">
        <v>1063</v>
      </c>
      <c r="B815" s="15" t="s">
        <v>94</v>
      </c>
      <c r="C815" s="16">
        <v>118</v>
      </c>
      <c r="D815" s="16" t="s">
        <v>188</v>
      </c>
      <c r="E815" s="17" t="s">
        <v>9</v>
      </c>
      <c r="F815" s="24">
        <v>0</v>
      </c>
      <c r="G815" s="19">
        <v>398</v>
      </c>
      <c r="H815" s="19">
        <v>0</v>
      </c>
      <c r="I815" s="19">
        <v>0</v>
      </c>
      <c r="T815" s="19">
        <f>Registro[[#This Row],[Mes 1]]+Registro[[#This Row],[Mes 2]]+Registro[[#This Row],[Mes 3]]</f>
        <v>0</v>
      </c>
      <c r="U815" s="19">
        <f>Registro[[#This Row],[Mes 4]]+Registro[[#This Row],[Mes 5]]+Registro[[#This Row],[Mes 6]]</f>
        <v>0</v>
      </c>
      <c r="V815" s="19">
        <f>Registro[[#This Row],[Mes 7]]+Registro[[#This Row],[Mes 8]]+Registro[[#This Row],[Mes 9]]</f>
        <v>0</v>
      </c>
      <c r="W815" s="20">
        <f>Registro[[#This Row],[Mes 10]]+Registro[[#This Row],[Mes 11]]+Registro[[#This Row],[Mes 12]]</f>
        <v>0</v>
      </c>
      <c r="X815" s="20">
        <f>SUM(Registro[[#This Row],[Trim I]],Registro[[#This Row],[Trim II]],Registro[[#This Row],[Trim III]],Registro[[#This Row],[Trim IV]])</f>
        <v>0</v>
      </c>
      <c r="Y815" s="22">
        <f>IFERROR((Registro[[#This Row],[Avance Total]]/Registro[[#This Row],[Meta]]),0)</f>
        <v>0</v>
      </c>
      <c r="Z815" s="22">
        <f>IFERROR((Registro[[#This Row],[Avance Total]]-Registro[[#This Row],[Línea Base 2025]])/Registro[[#This Row],[Línea Base 2025]],0)</f>
        <v>0</v>
      </c>
      <c r="AA815" s="20">
        <v>2026</v>
      </c>
    </row>
    <row r="816" spans="1:27" hidden="1">
      <c r="A816" s="14">
        <v>1063</v>
      </c>
      <c r="B816" s="15" t="s">
        <v>94</v>
      </c>
      <c r="C816" s="16">
        <v>119</v>
      </c>
      <c r="D816" s="16" t="s">
        <v>190</v>
      </c>
      <c r="E816" s="17" t="s">
        <v>189</v>
      </c>
      <c r="F816" s="24">
        <v>0</v>
      </c>
      <c r="G816" s="19">
        <v>13</v>
      </c>
      <c r="H816" s="19">
        <v>0</v>
      </c>
      <c r="I816" s="19">
        <v>0</v>
      </c>
      <c r="T816" s="19">
        <f>Registro[[#This Row],[Mes 1]]+Registro[[#This Row],[Mes 2]]+Registro[[#This Row],[Mes 3]]</f>
        <v>0</v>
      </c>
      <c r="U816" s="19">
        <f>Registro[[#This Row],[Mes 4]]+Registro[[#This Row],[Mes 5]]+Registro[[#This Row],[Mes 6]]</f>
        <v>0</v>
      </c>
      <c r="V816" s="19">
        <f>Registro[[#This Row],[Mes 7]]+Registro[[#This Row],[Mes 8]]+Registro[[#This Row],[Mes 9]]</f>
        <v>0</v>
      </c>
      <c r="W816" s="20">
        <f>Registro[[#This Row],[Mes 10]]+Registro[[#This Row],[Mes 11]]+Registro[[#This Row],[Mes 12]]</f>
        <v>0</v>
      </c>
      <c r="X816" s="20">
        <f>SUM(Registro[[#This Row],[Trim I]],Registro[[#This Row],[Trim II]],Registro[[#This Row],[Trim III]],Registro[[#This Row],[Trim IV]])</f>
        <v>0</v>
      </c>
      <c r="Y816" s="22">
        <f>IFERROR((Registro[[#This Row],[Avance Total]]/Registro[[#This Row],[Meta]]),0)</f>
        <v>0</v>
      </c>
      <c r="Z816" s="22">
        <f>IFERROR((Registro[[#This Row],[Avance Total]]-Registro[[#This Row],[Línea Base 2025]])/Registro[[#This Row],[Línea Base 2025]],0)</f>
        <v>0</v>
      </c>
      <c r="AA816" s="20">
        <v>2026</v>
      </c>
    </row>
    <row r="817" spans="1:27" hidden="1">
      <c r="A817" s="14">
        <v>1063</v>
      </c>
      <c r="B817" s="15" t="s">
        <v>94</v>
      </c>
      <c r="C817" s="16">
        <v>120</v>
      </c>
      <c r="D817" s="16" t="s">
        <v>192</v>
      </c>
      <c r="E817" s="17" t="s">
        <v>191</v>
      </c>
      <c r="F817" s="24">
        <v>44</v>
      </c>
      <c r="G817" s="19">
        <v>40</v>
      </c>
      <c r="H817" s="19">
        <v>0</v>
      </c>
      <c r="I817" s="19">
        <v>5</v>
      </c>
      <c r="T817" s="19">
        <f>Registro[[#This Row],[Mes 1]]+Registro[[#This Row],[Mes 2]]+Registro[[#This Row],[Mes 3]]</f>
        <v>5</v>
      </c>
      <c r="U817" s="19">
        <f>Registro[[#This Row],[Mes 4]]+Registro[[#This Row],[Mes 5]]+Registro[[#This Row],[Mes 6]]</f>
        <v>0</v>
      </c>
      <c r="V817" s="19">
        <f>Registro[[#This Row],[Mes 7]]+Registro[[#This Row],[Mes 8]]+Registro[[#This Row],[Mes 9]]</f>
        <v>0</v>
      </c>
      <c r="W817" s="20">
        <f>Registro[[#This Row],[Mes 10]]+Registro[[#This Row],[Mes 11]]+Registro[[#This Row],[Mes 12]]</f>
        <v>0</v>
      </c>
      <c r="X817" s="20">
        <f>SUM(Registro[[#This Row],[Trim I]],Registro[[#This Row],[Trim II]],Registro[[#This Row],[Trim III]],Registro[[#This Row],[Trim IV]])</f>
        <v>5</v>
      </c>
      <c r="Y817" s="22">
        <f>IFERROR((Registro[[#This Row],[Avance Total]]/Registro[[#This Row],[Meta]]),0)</f>
        <v>0.125</v>
      </c>
      <c r="Z817" s="22">
        <f>IFERROR((Registro[[#This Row],[Avance Total]]-Registro[[#This Row],[Línea Base 2025]])/Registro[[#This Row],[Línea Base 2025]],0)</f>
        <v>-0.88636363636363635</v>
      </c>
      <c r="AA817" s="20">
        <v>2026</v>
      </c>
    </row>
    <row r="818" spans="1:27" hidden="1">
      <c r="A818" s="14">
        <v>1063</v>
      </c>
      <c r="B818" s="15" t="s">
        <v>94</v>
      </c>
      <c r="C818" s="16">
        <v>121</v>
      </c>
      <c r="D818" s="16" t="s">
        <v>194</v>
      </c>
      <c r="E818" s="17" t="s">
        <v>193</v>
      </c>
      <c r="F818" s="24">
        <v>1</v>
      </c>
      <c r="G818" s="19">
        <v>6</v>
      </c>
      <c r="H818" s="19">
        <v>0</v>
      </c>
      <c r="I818" s="19">
        <v>0</v>
      </c>
      <c r="T818" s="19">
        <f>Registro[[#This Row],[Mes 1]]+Registro[[#This Row],[Mes 2]]+Registro[[#This Row],[Mes 3]]</f>
        <v>0</v>
      </c>
      <c r="U818" s="19">
        <f>Registro[[#This Row],[Mes 4]]+Registro[[#This Row],[Mes 5]]+Registro[[#This Row],[Mes 6]]</f>
        <v>0</v>
      </c>
      <c r="V818" s="19">
        <f>Registro[[#This Row],[Mes 7]]+Registro[[#This Row],[Mes 8]]+Registro[[#This Row],[Mes 9]]</f>
        <v>0</v>
      </c>
      <c r="W818" s="20">
        <f>Registro[[#This Row],[Mes 10]]+Registro[[#This Row],[Mes 11]]+Registro[[#This Row],[Mes 12]]</f>
        <v>0</v>
      </c>
      <c r="X818" s="20">
        <f>SUM(Registro[[#This Row],[Trim I]],Registro[[#This Row],[Trim II]],Registro[[#This Row],[Trim III]],Registro[[#This Row],[Trim IV]])</f>
        <v>0</v>
      </c>
      <c r="Y818" s="22">
        <f>IFERROR((Registro[[#This Row],[Avance Total]]/Registro[[#This Row],[Meta]]),0)</f>
        <v>0</v>
      </c>
      <c r="Z818" s="22">
        <f>IFERROR((Registro[[#This Row],[Avance Total]]-Registro[[#This Row],[Línea Base 2025]])/Registro[[#This Row],[Línea Base 2025]],0)</f>
        <v>-1</v>
      </c>
      <c r="AA818" s="20">
        <v>2026</v>
      </c>
    </row>
    <row r="819" spans="1:27" hidden="1">
      <c r="A819" s="14">
        <v>1063</v>
      </c>
      <c r="B819" s="15" t="s">
        <v>94</v>
      </c>
      <c r="C819" s="16">
        <v>122</v>
      </c>
      <c r="D819" s="16" t="s">
        <v>196</v>
      </c>
      <c r="E819" s="17" t="s">
        <v>195</v>
      </c>
      <c r="F819" s="24">
        <v>10</v>
      </c>
      <c r="G819" s="19">
        <v>9</v>
      </c>
      <c r="H819" s="19">
        <v>0</v>
      </c>
      <c r="I819" s="19">
        <v>0</v>
      </c>
      <c r="T819" s="19">
        <f>Registro[[#This Row],[Mes 1]]+Registro[[#This Row],[Mes 2]]+Registro[[#This Row],[Mes 3]]</f>
        <v>0</v>
      </c>
      <c r="U819" s="19">
        <f>Registro[[#This Row],[Mes 4]]+Registro[[#This Row],[Mes 5]]+Registro[[#This Row],[Mes 6]]</f>
        <v>0</v>
      </c>
      <c r="V819" s="19">
        <f>Registro[[#This Row],[Mes 7]]+Registro[[#This Row],[Mes 8]]+Registro[[#This Row],[Mes 9]]</f>
        <v>0</v>
      </c>
      <c r="W819" s="20">
        <f>Registro[[#This Row],[Mes 10]]+Registro[[#This Row],[Mes 11]]+Registro[[#This Row],[Mes 12]]</f>
        <v>0</v>
      </c>
      <c r="X819" s="20">
        <f>SUM(Registro[[#This Row],[Trim I]],Registro[[#This Row],[Trim II]],Registro[[#This Row],[Trim III]],Registro[[#This Row],[Trim IV]])</f>
        <v>0</v>
      </c>
      <c r="Y819" s="22">
        <f>IFERROR((Registro[[#This Row],[Avance Total]]/Registro[[#This Row],[Meta]]),0)</f>
        <v>0</v>
      </c>
      <c r="Z819" s="22">
        <f>IFERROR((Registro[[#This Row],[Avance Total]]-Registro[[#This Row],[Línea Base 2025]])/Registro[[#This Row],[Línea Base 2025]],0)</f>
        <v>-1</v>
      </c>
      <c r="AA819" s="20">
        <v>2026</v>
      </c>
    </row>
    <row r="820" spans="1:27" hidden="1">
      <c r="A820" s="14">
        <v>1063</v>
      </c>
      <c r="B820" s="15" t="s">
        <v>94</v>
      </c>
      <c r="C820" s="16">
        <v>123</v>
      </c>
      <c r="D820" s="16" t="s">
        <v>198</v>
      </c>
      <c r="E820" s="17" t="s">
        <v>197</v>
      </c>
      <c r="F820" s="24">
        <v>0</v>
      </c>
      <c r="G820" s="19">
        <v>8</v>
      </c>
      <c r="H820" s="19">
        <v>0</v>
      </c>
      <c r="I820" s="19">
        <v>0</v>
      </c>
      <c r="T820" s="19">
        <f>Registro[[#This Row],[Mes 1]]+Registro[[#This Row],[Mes 2]]+Registro[[#This Row],[Mes 3]]</f>
        <v>0</v>
      </c>
      <c r="U820" s="19">
        <f>Registro[[#This Row],[Mes 4]]+Registro[[#This Row],[Mes 5]]+Registro[[#This Row],[Mes 6]]</f>
        <v>0</v>
      </c>
      <c r="V820" s="19">
        <f>Registro[[#This Row],[Mes 7]]+Registro[[#This Row],[Mes 8]]+Registro[[#This Row],[Mes 9]]</f>
        <v>0</v>
      </c>
      <c r="W820" s="20">
        <f>Registro[[#This Row],[Mes 10]]+Registro[[#This Row],[Mes 11]]+Registro[[#This Row],[Mes 12]]</f>
        <v>0</v>
      </c>
      <c r="X820" s="20">
        <f>SUM(Registro[[#This Row],[Trim I]],Registro[[#This Row],[Trim II]],Registro[[#This Row],[Trim III]],Registro[[#This Row],[Trim IV]])</f>
        <v>0</v>
      </c>
      <c r="Y820" s="22">
        <f>IFERROR((Registro[[#This Row],[Avance Total]]/Registro[[#This Row],[Meta]]),0)</f>
        <v>0</v>
      </c>
      <c r="Z820" s="22">
        <f>IFERROR((Registro[[#This Row],[Avance Total]]-Registro[[#This Row],[Línea Base 2025]])/Registro[[#This Row],[Línea Base 2025]],0)</f>
        <v>0</v>
      </c>
      <c r="AA820" s="20">
        <v>2026</v>
      </c>
    </row>
    <row r="821" spans="1:27" hidden="1">
      <c r="A821" s="14">
        <v>1064</v>
      </c>
      <c r="B821" s="15" t="s">
        <v>95</v>
      </c>
      <c r="C821" s="16">
        <v>111</v>
      </c>
      <c r="D821" s="16" t="s">
        <v>171</v>
      </c>
      <c r="E821" s="17" t="s">
        <v>172</v>
      </c>
      <c r="F821" s="24">
        <v>54</v>
      </c>
      <c r="G821" s="19">
        <v>309</v>
      </c>
      <c r="H821" s="19">
        <v>8</v>
      </c>
      <c r="I821" s="19">
        <v>14</v>
      </c>
      <c r="T821" s="19">
        <f>Registro[[#This Row],[Mes 1]]+Registro[[#This Row],[Mes 2]]+Registro[[#This Row],[Mes 3]]</f>
        <v>22</v>
      </c>
      <c r="U821" s="19">
        <f>Registro[[#This Row],[Mes 4]]+Registro[[#This Row],[Mes 5]]+Registro[[#This Row],[Mes 6]]</f>
        <v>0</v>
      </c>
      <c r="V821" s="19">
        <f>Registro[[#This Row],[Mes 7]]+Registro[[#This Row],[Mes 8]]+Registro[[#This Row],[Mes 9]]</f>
        <v>0</v>
      </c>
      <c r="W821" s="20">
        <f>Registro[[#This Row],[Mes 10]]+Registro[[#This Row],[Mes 11]]+Registro[[#This Row],[Mes 12]]</f>
        <v>0</v>
      </c>
      <c r="X821" s="20">
        <f>SUM(Registro[[#This Row],[Trim I]],Registro[[#This Row],[Trim II]],Registro[[#This Row],[Trim III]],Registro[[#This Row],[Trim IV]])</f>
        <v>22</v>
      </c>
      <c r="Y821" s="22">
        <f>IFERROR((Registro[[#This Row],[Avance Total]]/Registro[[#This Row],[Meta]]),0)</f>
        <v>7.1197411003236247E-2</v>
      </c>
      <c r="Z821" s="22">
        <f>IFERROR((Registro[[#This Row],[Avance Total]]-Registro[[#This Row],[Línea Base 2025]])/Registro[[#This Row],[Línea Base 2025]],0)</f>
        <v>-0.59259259259259256</v>
      </c>
      <c r="AA821" s="20">
        <v>2026</v>
      </c>
    </row>
    <row r="822" spans="1:27" hidden="1">
      <c r="A822" s="14">
        <v>1064</v>
      </c>
      <c r="B822" s="15" t="s">
        <v>95</v>
      </c>
      <c r="C822" s="16">
        <v>112</v>
      </c>
      <c r="D822" s="16" t="s">
        <v>173</v>
      </c>
      <c r="E822" s="17" t="s">
        <v>7</v>
      </c>
      <c r="F822" s="24">
        <v>20</v>
      </c>
      <c r="G822" s="19">
        <v>86</v>
      </c>
      <c r="H822" s="19">
        <v>0</v>
      </c>
      <c r="I822" s="19">
        <v>0</v>
      </c>
      <c r="T822" s="19">
        <f>Registro[[#This Row],[Mes 1]]+Registro[[#This Row],[Mes 2]]+Registro[[#This Row],[Mes 3]]</f>
        <v>0</v>
      </c>
      <c r="U822" s="19">
        <f>Registro[[#This Row],[Mes 4]]+Registro[[#This Row],[Mes 5]]+Registro[[#This Row],[Mes 6]]</f>
        <v>0</v>
      </c>
      <c r="V822" s="19">
        <f>Registro[[#This Row],[Mes 7]]+Registro[[#This Row],[Mes 8]]+Registro[[#This Row],[Mes 9]]</f>
        <v>0</v>
      </c>
      <c r="W822" s="20">
        <f>Registro[[#This Row],[Mes 10]]+Registro[[#This Row],[Mes 11]]+Registro[[#This Row],[Mes 12]]</f>
        <v>0</v>
      </c>
      <c r="X822" s="20">
        <f>SUM(Registro[[#This Row],[Trim I]],Registro[[#This Row],[Trim II]],Registro[[#This Row],[Trim III]],Registro[[#This Row],[Trim IV]])</f>
        <v>0</v>
      </c>
      <c r="Y822" s="22">
        <f>IFERROR((Registro[[#This Row],[Avance Total]]/Registro[[#This Row],[Meta]]),0)</f>
        <v>0</v>
      </c>
      <c r="Z822" s="22">
        <f>IFERROR((Registro[[#This Row],[Avance Total]]-Registro[[#This Row],[Línea Base 2025]])/Registro[[#This Row],[Línea Base 2025]],0)</f>
        <v>-1</v>
      </c>
      <c r="AA822" s="20">
        <v>2026</v>
      </c>
    </row>
    <row r="823" spans="1:27" hidden="1">
      <c r="A823" s="14">
        <v>1064</v>
      </c>
      <c r="B823" s="15" t="s">
        <v>95</v>
      </c>
      <c r="C823" s="16">
        <v>113</v>
      </c>
      <c r="D823" s="16" t="s">
        <v>179</v>
      </c>
      <c r="E823" s="17" t="s">
        <v>178</v>
      </c>
      <c r="F823" s="24">
        <v>32</v>
      </c>
      <c r="G823" s="19">
        <v>431</v>
      </c>
      <c r="H823" s="19">
        <v>1</v>
      </c>
      <c r="I823" s="19">
        <v>0</v>
      </c>
      <c r="T823" s="19">
        <f>Registro[[#This Row],[Mes 1]]+Registro[[#This Row],[Mes 2]]+Registro[[#This Row],[Mes 3]]</f>
        <v>1</v>
      </c>
      <c r="U823" s="19">
        <f>Registro[[#This Row],[Mes 4]]+Registro[[#This Row],[Mes 5]]+Registro[[#This Row],[Mes 6]]</f>
        <v>0</v>
      </c>
      <c r="V823" s="19">
        <f>Registro[[#This Row],[Mes 7]]+Registro[[#This Row],[Mes 8]]+Registro[[#This Row],[Mes 9]]</f>
        <v>0</v>
      </c>
      <c r="W823" s="20">
        <f>Registro[[#This Row],[Mes 10]]+Registro[[#This Row],[Mes 11]]+Registro[[#This Row],[Mes 12]]</f>
        <v>0</v>
      </c>
      <c r="X823" s="20">
        <f>SUM(Registro[[#This Row],[Trim I]],Registro[[#This Row],[Trim II]],Registro[[#This Row],[Trim III]],Registro[[#This Row],[Trim IV]])</f>
        <v>1</v>
      </c>
      <c r="Y823" s="22">
        <f>IFERROR((Registro[[#This Row],[Avance Total]]/Registro[[#This Row],[Meta]]),0)</f>
        <v>2.3201856148491878E-3</v>
      </c>
      <c r="Z823" s="22">
        <f>IFERROR((Registro[[#This Row],[Avance Total]]-Registro[[#This Row],[Línea Base 2025]])/Registro[[#This Row],[Línea Base 2025]],0)</f>
        <v>-0.96875</v>
      </c>
      <c r="AA823" s="20">
        <v>2026</v>
      </c>
    </row>
    <row r="824" spans="1:27" hidden="1">
      <c r="A824" s="14">
        <v>1064</v>
      </c>
      <c r="B824" s="15" t="s">
        <v>95</v>
      </c>
      <c r="C824" s="16">
        <v>114</v>
      </c>
      <c r="D824" s="16" t="s">
        <v>181</v>
      </c>
      <c r="E824" s="17" t="s">
        <v>180</v>
      </c>
      <c r="F824" s="24">
        <v>0</v>
      </c>
      <c r="G824" s="19">
        <v>21</v>
      </c>
      <c r="H824" s="19">
        <v>16</v>
      </c>
      <c r="I824" s="19">
        <v>0</v>
      </c>
      <c r="T824" s="19">
        <f>Registro[[#This Row],[Mes 1]]+Registro[[#This Row],[Mes 2]]+Registro[[#This Row],[Mes 3]]</f>
        <v>16</v>
      </c>
      <c r="U824" s="19">
        <f>Registro[[#This Row],[Mes 4]]+Registro[[#This Row],[Mes 5]]+Registro[[#This Row],[Mes 6]]</f>
        <v>0</v>
      </c>
      <c r="V824" s="19">
        <f>Registro[[#This Row],[Mes 7]]+Registro[[#This Row],[Mes 8]]+Registro[[#This Row],[Mes 9]]</f>
        <v>0</v>
      </c>
      <c r="W824" s="20">
        <f>Registro[[#This Row],[Mes 10]]+Registro[[#This Row],[Mes 11]]+Registro[[#This Row],[Mes 12]]</f>
        <v>0</v>
      </c>
      <c r="X824" s="20">
        <f>SUM(Registro[[#This Row],[Trim I]],Registro[[#This Row],[Trim II]],Registro[[#This Row],[Trim III]],Registro[[#This Row],[Trim IV]])</f>
        <v>16</v>
      </c>
      <c r="Y824" s="22">
        <f>IFERROR((Registro[[#This Row],[Avance Total]]/Registro[[#This Row],[Meta]]),0)</f>
        <v>0.76190476190476186</v>
      </c>
      <c r="Z824" s="22">
        <f>IFERROR((Registro[[#This Row],[Avance Total]]-Registro[[#This Row],[Línea Base 2025]])/Registro[[#This Row],[Línea Base 2025]],0)</f>
        <v>0</v>
      </c>
      <c r="AA824" s="20">
        <v>2026</v>
      </c>
    </row>
    <row r="825" spans="1:27" hidden="1">
      <c r="A825" s="14">
        <v>1064</v>
      </c>
      <c r="B825" s="15" t="s">
        <v>95</v>
      </c>
      <c r="C825" s="16">
        <v>115</v>
      </c>
      <c r="D825" s="16" t="s">
        <v>183</v>
      </c>
      <c r="E825" s="17" t="s">
        <v>182</v>
      </c>
      <c r="F825" s="24">
        <v>1</v>
      </c>
      <c r="G825" s="19">
        <v>19</v>
      </c>
      <c r="H825" s="19">
        <v>0</v>
      </c>
      <c r="I825" s="19">
        <v>0</v>
      </c>
      <c r="T825" s="19">
        <f>Registro[[#This Row],[Mes 1]]+Registro[[#This Row],[Mes 2]]+Registro[[#This Row],[Mes 3]]</f>
        <v>0</v>
      </c>
      <c r="U825" s="19">
        <f>Registro[[#This Row],[Mes 4]]+Registro[[#This Row],[Mes 5]]+Registro[[#This Row],[Mes 6]]</f>
        <v>0</v>
      </c>
      <c r="V825" s="19">
        <f>Registro[[#This Row],[Mes 7]]+Registro[[#This Row],[Mes 8]]+Registro[[#This Row],[Mes 9]]</f>
        <v>0</v>
      </c>
      <c r="W825" s="20">
        <f>Registro[[#This Row],[Mes 10]]+Registro[[#This Row],[Mes 11]]+Registro[[#This Row],[Mes 12]]</f>
        <v>0</v>
      </c>
      <c r="X825" s="20">
        <f>SUM(Registro[[#This Row],[Trim I]],Registro[[#This Row],[Trim II]],Registro[[#This Row],[Trim III]],Registro[[#This Row],[Trim IV]])</f>
        <v>0</v>
      </c>
      <c r="Y825" s="22">
        <f>IFERROR((Registro[[#This Row],[Avance Total]]/Registro[[#This Row],[Meta]]),0)</f>
        <v>0</v>
      </c>
      <c r="Z825" s="22">
        <f>IFERROR((Registro[[#This Row],[Avance Total]]-Registro[[#This Row],[Línea Base 2025]])/Registro[[#This Row],[Línea Base 2025]],0)</f>
        <v>-1</v>
      </c>
      <c r="AA825" s="20">
        <v>2026</v>
      </c>
    </row>
    <row r="826" spans="1:27">
      <c r="A826" s="14">
        <v>1064</v>
      </c>
      <c r="B826" s="15" t="s">
        <v>95</v>
      </c>
      <c r="C826" s="16">
        <v>116</v>
      </c>
      <c r="D826" s="16" t="s">
        <v>185</v>
      </c>
      <c r="E826" s="17" t="s">
        <v>184</v>
      </c>
      <c r="F826" s="24">
        <v>6</v>
      </c>
      <c r="G826" s="19">
        <v>4</v>
      </c>
      <c r="H826" s="19">
        <v>0</v>
      </c>
      <c r="I826" s="19">
        <v>0</v>
      </c>
      <c r="T826" s="19">
        <f>Registro[[#This Row],[Mes 1]]+Registro[[#This Row],[Mes 2]]+Registro[[#This Row],[Mes 3]]</f>
        <v>0</v>
      </c>
      <c r="U826" s="19">
        <f>Registro[[#This Row],[Mes 4]]+Registro[[#This Row],[Mes 5]]+Registro[[#This Row],[Mes 6]]</f>
        <v>0</v>
      </c>
      <c r="V826" s="19">
        <f>Registro[[#This Row],[Mes 7]]+Registro[[#This Row],[Mes 8]]+Registro[[#This Row],[Mes 9]]</f>
        <v>0</v>
      </c>
      <c r="W826" s="20">
        <f>Registro[[#This Row],[Mes 10]]+Registro[[#This Row],[Mes 11]]+Registro[[#This Row],[Mes 12]]</f>
        <v>0</v>
      </c>
      <c r="X826" s="20">
        <f>SUM(Registro[[#This Row],[Trim I]],Registro[[#This Row],[Trim II]],Registro[[#This Row],[Trim III]],Registro[[#This Row],[Trim IV]])</f>
        <v>0</v>
      </c>
      <c r="Y826" s="22">
        <f>IFERROR((Registro[[#This Row],[Avance Total]]/Registro[[#This Row],[Meta]]),0)</f>
        <v>0</v>
      </c>
      <c r="Z826" s="22">
        <f>IFERROR((Registro[[#This Row],[Avance Total]]-Registro[[#This Row],[Línea Base 2025]])/Registro[[#This Row],[Línea Base 2025]],0)</f>
        <v>-1</v>
      </c>
      <c r="AA826" s="20">
        <v>2026</v>
      </c>
    </row>
    <row r="827" spans="1:27" hidden="1">
      <c r="A827" s="14">
        <v>1064</v>
      </c>
      <c r="B827" s="15" t="s">
        <v>95</v>
      </c>
      <c r="C827" s="16">
        <v>117</v>
      </c>
      <c r="D827" s="16" t="s">
        <v>187</v>
      </c>
      <c r="E827" s="17" t="s">
        <v>186</v>
      </c>
      <c r="F827" s="24">
        <v>5</v>
      </c>
      <c r="G827" s="19">
        <v>4</v>
      </c>
      <c r="H827" s="19">
        <v>0</v>
      </c>
      <c r="I827" s="19">
        <v>0</v>
      </c>
      <c r="T827" s="19">
        <f>Registro[[#This Row],[Mes 1]]+Registro[[#This Row],[Mes 2]]+Registro[[#This Row],[Mes 3]]</f>
        <v>0</v>
      </c>
      <c r="U827" s="19">
        <f>Registro[[#This Row],[Mes 4]]+Registro[[#This Row],[Mes 5]]+Registro[[#This Row],[Mes 6]]</f>
        <v>0</v>
      </c>
      <c r="V827" s="19">
        <f>Registro[[#This Row],[Mes 7]]+Registro[[#This Row],[Mes 8]]+Registro[[#This Row],[Mes 9]]</f>
        <v>0</v>
      </c>
      <c r="W827" s="20">
        <f>Registro[[#This Row],[Mes 10]]+Registro[[#This Row],[Mes 11]]+Registro[[#This Row],[Mes 12]]</f>
        <v>0</v>
      </c>
      <c r="X827" s="20">
        <f>SUM(Registro[[#This Row],[Trim I]],Registro[[#This Row],[Trim II]],Registro[[#This Row],[Trim III]],Registro[[#This Row],[Trim IV]])</f>
        <v>0</v>
      </c>
      <c r="Y827" s="22">
        <f>IFERROR((Registro[[#This Row],[Avance Total]]/Registro[[#This Row],[Meta]]),0)</f>
        <v>0</v>
      </c>
      <c r="Z827" s="22">
        <f>IFERROR((Registro[[#This Row],[Avance Total]]-Registro[[#This Row],[Línea Base 2025]])/Registro[[#This Row],[Línea Base 2025]],0)</f>
        <v>-1</v>
      </c>
      <c r="AA827" s="20">
        <v>2026</v>
      </c>
    </row>
    <row r="828" spans="1:27" hidden="1">
      <c r="A828" s="14">
        <v>1064</v>
      </c>
      <c r="B828" s="15" t="s">
        <v>95</v>
      </c>
      <c r="C828" s="16">
        <v>118</v>
      </c>
      <c r="D828" s="16" t="s">
        <v>188</v>
      </c>
      <c r="E828" s="17" t="s">
        <v>9</v>
      </c>
      <c r="F828" s="24">
        <v>0</v>
      </c>
      <c r="G828" s="19">
        <v>76</v>
      </c>
      <c r="H828" s="19">
        <v>0</v>
      </c>
      <c r="I828" s="19">
        <v>0</v>
      </c>
      <c r="T828" s="19">
        <f>Registro[[#This Row],[Mes 1]]+Registro[[#This Row],[Mes 2]]+Registro[[#This Row],[Mes 3]]</f>
        <v>0</v>
      </c>
      <c r="U828" s="19">
        <f>Registro[[#This Row],[Mes 4]]+Registro[[#This Row],[Mes 5]]+Registro[[#This Row],[Mes 6]]</f>
        <v>0</v>
      </c>
      <c r="V828" s="19">
        <f>Registro[[#This Row],[Mes 7]]+Registro[[#This Row],[Mes 8]]+Registro[[#This Row],[Mes 9]]</f>
        <v>0</v>
      </c>
      <c r="W828" s="20">
        <f>Registro[[#This Row],[Mes 10]]+Registro[[#This Row],[Mes 11]]+Registro[[#This Row],[Mes 12]]</f>
        <v>0</v>
      </c>
      <c r="X828" s="20">
        <f>SUM(Registro[[#This Row],[Trim I]],Registro[[#This Row],[Trim II]],Registro[[#This Row],[Trim III]],Registro[[#This Row],[Trim IV]])</f>
        <v>0</v>
      </c>
      <c r="Y828" s="22">
        <f>IFERROR((Registro[[#This Row],[Avance Total]]/Registro[[#This Row],[Meta]]),0)</f>
        <v>0</v>
      </c>
      <c r="Z828" s="22">
        <f>IFERROR((Registro[[#This Row],[Avance Total]]-Registro[[#This Row],[Línea Base 2025]])/Registro[[#This Row],[Línea Base 2025]],0)</f>
        <v>0</v>
      </c>
      <c r="AA828" s="20">
        <v>2026</v>
      </c>
    </row>
    <row r="829" spans="1:27" hidden="1">
      <c r="A829" s="14">
        <v>1064</v>
      </c>
      <c r="B829" s="15" t="s">
        <v>95</v>
      </c>
      <c r="C829" s="16">
        <v>119</v>
      </c>
      <c r="D829" s="16" t="s">
        <v>190</v>
      </c>
      <c r="E829" s="17" t="s">
        <v>189</v>
      </c>
      <c r="F829" s="24">
        <v>0</v>
      </c>
      <c r="G829" s="19">
        <v>3</v>
      </c>
      <c r="H829" s="19">
        <v>0</v>
      </c>
      <c r="I829" s="19">
        <v>0</v>
      </c>
      <c r="T829" s="19">
        <f>Registro[[#This Row],[Mes 1]]+Registro[[#This Row],[Mes 2]]+Registro[[#This Row],[Mes 3]]</f>
        <v>0</v>
      </c>
      <c r="U829" s="19">
        <f>Registro[[#This Row],[Mes 4]]+Registro[[#This Row],[Mes 5]]+Registro[[#This Row],[Mes 6]]</f>
        <v>0</v>
      </c>
      <c r="V829" s="19">
        <f>Registro[[#This Row],[Mes 7]]+Registro[[#This Row],[Mes 8]]+Registro[[#This Row],[Mes 9]]</f>
        <v>0</v>
      </c>
      <c r="W829" s="20">
        <f>Registro[[#This Row],[Mes 10]]+Registro[[#This Row],[Mes 11]]+Registro[[#This Row],[Mes 12]]</f>
        <v>0</v>
      </c>
      <c r="X829" s="20">
        <f>SUM(Registro[[#This Row],[Trim I]],Registro[[#This Row],[Trim II]],Registro[[#This Row],[Trim III]],Registro[[#This Row],[Trim IV]])</f>
        <v>0</v>
      </c>
      <c r="Y829" s="22">
        <f>IFERROR((Registro[[#This Row],[Avance Total]]/Registro[[#This Row],[Meta]]),0)</f>
        <v>0</v>
      </c>
      <c r="Z829" s="22">
        <f>IFERROR((Registro[[#This Row],[Avance Total]]-Registro[[#This Row],[Línea Base 2025]])/Registro[[#This Row],[Línea Base 2025]],0)</f>
        <v>0</v>
      </c>
      <c r="AA829" s="20">
        <v>2026</v>
      </c>
    </row>
    <row r="830" spans="1:27" hidden="1">
      <c r="A830" s="14">
        <v>1064</v>
      </c>
      <c r="B830" s="15" t="s">
        <v>95</v>
      </c>
      <c r="C830" s="16">
        <v>120</v>
      </c>
      <c r="D830" s="16" t="s">
        <v>192</v>
      </c>
      <c r="E830" s="17" t="s">
        <v>191</v>
      </c>
      <c r="F830" s="24">
        <v>26</v>
      </c>
      <c r="G830" s="19">
        <v>16</v>
      </c>
      <c r="H830" s="19">
        <v>0</v>
      </c>
      <c r="I830" s="19">
        <v>0</v>
      </c>
      <c r="T830" s="19">
        <f>Registro[[#This Row],[Mes 1]]+Registro[[#This Row],[Mes 2]]+Registro[[#This Row],[Mes 3]]</f>
        <v>0</v>
      </c>
      <c r="U830" s="19">
        <f>Registro[[#This Row],[Mes 4]]+Registro[[#This Row],[Mes 5]]+Registro[[#This Row],[Mes 6]]</f>
        <v>0</v>
      </c>
      <c r="V830" s="19">
        <f>Registro[[#This Row],[Mes 7]]+Registro[[#This Row],[Mes 8]]+Registro[[#This Row],[Mes 9]]</f>
        <v>0</v>
      </c>
      <c r="W830" s="20">
        <f>Registro[[#This Row],[Mes 10]]+Registro[[#This Row],[Mes 11]]+Registro[[#This Row],[Mes 12]]</f>
        <v>0</v>
      </c>
      <c r="X830" s="20">
        <f>SUM(Registro[[#This Row],[Trim I]],Registro[[#This Row],[Trim II]],Registro[[#This Row],[Trim III]],Registro[[#This Row],[Trim IV]])</f>
        <v>0</v>
      </c>
      <c r="Y830" s="22">
        <f>IFERROR((Registro[[#This Row],[Avance Total]]/Registro[[#This Row],[Meta]]),0)</f>
        <v>0</v>
      </c>
      <c r="Z830" s="22">
        <f>IFERROR((Registro[[#This Row],[Avance Total]]-Registro[[#This Row],[Línea Base 2025]])/Registro[[#This Row],[Línea Base 2025]],0)</f>
        <v>-1</v>
      </c>
      <c r="AA830" s="20">
        <v>2026</v>
      </c>
    </row>
    <row r="831" spans="1:27" hidden="1">
      <c r="A831" s="14">
        <v>1064</v>
      </c>
      <c r="B831" s="15" t="s">
        <v>95</v>
      </c>
      <c r="C831" s="16">
        <v>121</v>
      </c>
      <c r="D831" s="16" t="s">
        <v>194</v>
      </c>
      <c r="E831" s="17" t="s">
        <v>193</v>
      </c>
      <c r="F831" s="24">
        <v>2</v>
      </c>
      <c r="G831" s="19">
        <v>6</v>
      </c>
      <c r="H831" s="19">
        <v>0</v>
      </c>
      <c r="I831" s="19">
        <v>0</v>
      </c>
      <c r="T831" s="19">
        <f>Registro[[#This Row],[Mes 1]]+Registro[[#This Row],[Mes 2]]+Registro[[#This Row],[Mes 3]]</f>
        <v>0</v>
      </c>
      <c r="U831" s="19">
        <f>Registro[[#This Row],[Mes 4]]+Registro[[#This Row],[Mes 5]]+Registro[[#This Row],[Mes 6]]</f>
        <v>0</v>
      </c>
      <c r="V831" s="19">
        <f>Registro[[#This Row],[Mes 7]]+Registro[[#This Row],[Mes 8]]+Registro[[#This Row],[Mes 9]]</f>
        <v>0</v>
      </c>
      <c r="W831" s="20">
        <f>Registro[[#This Row],[Mes 10]]+Registro[[#This Row],[Mes 11]]+Registro[[#This Row],[Mes 12]]</f>
        <v>0</v>
      </c>
      <c r="X831" s="20">
        <f>SUM(Registro[[#This Row],[Trim I]],Registro[[#This Row],[Trim II]],Registro[[#This Row],[Trim III]],Registro[[#This Row],[Trim IV]])</f>
        <v>0</v>
      </c>
      <c r="Y831" s="22">
        <f>IFERROR((Registro[[#This Row],[Avance Total]]/Registro[[#This Row],[Meta]]),0)</f>
        <v>0</v>
      </c>
      <c r="Z831" s="22">
        <f>IFERROR((Registro[[#This Row],[Avance Total]]-Registro[[#This Row],[Línea Base 2025]])/Registro[[#This Row],[Línea Base 2025]],0)</f>
        <v>-1</v>
      </c>
      <c r="AA831" s="20">
        <v>2026</v>
      </c>
    </row>
    <row r="832" spans="1:27" hidden="1">
      <c r="A832" s="14">
        <v>1064</v>
      </c>
      <c r="B832" s="15" t="s">
        <v>95</v>
      </c>
      <c r="C832" s="16">
        <v>122</v>
      </c>
      <c r="D832" s="16" t="s">
        <v>196</v>
      </c>
      <c r="E832" s="17" t="s">
        <v>195</v>
      </c>
      <c r="F832" s="24">
        <v>11</v>
      </c>
      <c r="G832" s="19">
        <v>5</v>
      </c>
      <c r="H832" s="19">
        <v>0</v>
      </c>
      <c r="I832" s="19">
        <v>0</v>
      </c>
      <c r="T832" s="19">
        <f>Registro[[#This Row],[Mes 1]]+Registro[[#This Row],[Mes 2]]+Registro[[#This Row],[Mes 3]]</f>
        <v>0</v>
      </c>
      <c r="U832" s="19">
        <f>Registro[[#This Row],[Mes 4]]+Registro[[#This Row],[Mes 5]]+Registro[[#This Row],[Mes 6]]</f>
        <v>0</v>
      </c>
      <c r="V832" s="19">
        <f>Registro[[#This Row],[Mes 7]]+Registro[[#This Row],[Mes 8]]+Registro[[#This Row],[Mes 9]]</f>
        <v>0</v>
      </c>
      <c r="W832" s="20">
        <f>Registro[[#This Row],[Mes 10]]+Registro[[#This Row],[Mes 11]]+Registro[[#This Row],[Mes 12]]</f>
        <v>0</v>
      </c>
      <c r="X832" s="20">
        <f>SUM(Registro[[#This Row],[Trim I]],Registro[[#This Row],[Trim II]],Registro[[#This Row],[Trim III]],Registro[[#This Row],[Trim IV]])</f>
        <v>0</v>
      </c>
      <c r="Y832" s="22">
        <f>IFERROR((Registro[[#This Row],[Avance Total]]/Registro[[#This Row],[Meta]]),0)</f>
        <v>0</v>
      </c>
      <c r="Z832" s="22">
        <f>IFERROR((Registro[[#This Row],[Avance Total]]-Registro[[#This Row],[Línea Base 2025]])/Registro[[#This Row],[Línea Base 2025]],0)</f>
        <v>-1</v>
      </c>
      <c r="AA832" s="20">
        <v>2026</v>
      </c>
    </row>
    <row r="833" spans="1:27" hidden="1">
      <c r="A833" s="14">
        <v>1064</v>
      </c>
      <c r="B833" s="15" t="s">
        <v>95</v>
      </c>
      <c r="C833" s="16">
        <v>123</v>
      </c>
      <c r="D833" s="16" t="s">
        <v>198</v>
      </c>
      <c r="E833" s="17" t="s">
        <v>197</v>
      </c>
      <c r="F833" s="24">
        <v>0</v>
      </c>
      <c r="G833" s="19">
        <v>6</v>
      </c>
      <c r="H833" s="19">
        <v>0</v>
      </c>
      <c r="I833" s="19">
        <v>0</v>
      </c>
      <c r="T833" s="19">
        <f>Registro[[#This Row],[Mes 1]]+Registro[[#This Row],[Mes 2]]+Registro[[#This Row],[Mes 3]]</f>
        <v>0</v>
      </c>
      <c r="U833" s="19">
        <f>Registro[[#This Row],[Mes 4]]+Registro[[#This Row],[Mes 5]]+Registro[[#This Row],[Mes 6]]</f>
        <v>0</v>
      </c>
      <c r="V833" s="19">
        <f>Registro[[#This Row],[Mes 7]]+Registro[[#This Row],[Mes 8]]+Registro[[#This Row],[Mes 9]]</f>
        <v>0</v>
      </c>
      <c r="W833" s="20">
        <f>Registro[[#This Row],[Mes 10]]+Registro[[#This Row],[Mes 11]]+Registro[[#This Row],[Mes 12]]</f>
        <v>0</v>
      </c>
      <c r="X833" s="20">
        <f>SUM(Registro[[#This Row],[Trim I]],Registro[[#This Row],[Trim II]],Registro[[#This Row],[Trim III]],Registro[[#This Row],[Trim IV]])</f>
        <v>0</v>
      </c>
      <c r="Y833" s="22">
        <f>IFERROR((Registro[[#This Row],[Avance Total]]/Registro[[#This Row],[Meta]]),0)</f>
        <v>0</v>
      </c>
      <c r="Z833" s="22">
        <f>IFERROR((Registro[[#This Row],[Avance Total]]-Registro[[#This Row],[Línea Base 2025]])/Registro[[#This Row],[Línea Base 2025]],0)</f>
        <v>0</v>
      </c>
      <c r="AA833" s="20">
        <v>2026</v>
      </c>
    </row>
    <row r="834" spans="1:27" hidden="1">
      <c r="A834" s="14">
        <v>1065</v>
      </c>
      <c r="B834" s="15" t="s">
        <v>96</v>
      </c>
      <c r="C834" s="16">
        <v>111</v>
      </c>
      <c r="D834" s="16" t="s">
        <v>171</v>
      </c>
      <c r="E834" s="17" t="s">
        <v>172</v>
      </c>
      <c r="F834" s="24">
        <v>13</v>
      </c>
      <c r="G834" s="19">
        <v>13</v>
      </c>
      <c r="H834" s="19">
        <v>4</v>
      </c>
      <c r="I834" s="19">
        <v>2</v>
      </c>
      <c r="T834" s="19">
        <f>Registro[[#This Row],[Mes 1]]+Registro[[#This Row],[Mes 2]]+Registro[[#This Row],[Mes 3]]</f>
        <v>6</v>
      </c>
      <c r="U834" s="19">
        <f>Registro[[#This Row],[Mes 4]]+Registro[[#This Row],[Mes 5]]+Registro[[#This Row],[Mes 6]]</f>
        <v>0</v>
      </c>
      <c r="V834" s="19">
        <f>Registro[[#This Row],[Mes 7]]+Registro[[#This Row],[Mes 8]]+Registro[[#This Row],[Mes 9]]</f>
        <v>0</v>
      </c>
      <c r="W834" s="20">
        <f>Registro[[#This Row],[Mes 10]]+Registro[[#This Row],[Mes 11]]+Registro[[#This Row],[Mes 12]]</f>
        <v>0</v>
      </c>
      <c r="X834" s="20">
        <f>SUM(Registro[[#This Row],[Trim I]],Registro[[#This Row],[Trim II]],Registro[[#This Row],[Trim III]],Registro[[#This Row],[Trim IV]])</f>
        <v>6</v>
      </c>
      <c r="Y834" s="22">
        <f>IFERROR((Registro[[#This Row],[Avance Total]]/Registro[[#This Row],[Meta]]),0)</f>
        <v>0.46153846153846156</v>
      </c>
      <c r="Z834" s="22">
        <f>IFERROR((Registro[[#This Row],[Avance Total]]-Registro[[#This Row],[Línea Base 2025]])/Registro[[#This Row],[Línea Base 2025]],0)</f>
        <v>-0.53846153846153844</v>
      </c>
      <c r="AA834" s="20">
        <v>2026</v>
      </c>
    </row>
    <row r="835" spans="1:27" hidden="1">
      <c r="A835" s="14">
        <v>1065</v>
      </c>
      <c r="B835" s="15" t="s">
        <v>96</v>
      </c>
      <c r="C835" s="16">
        <v>112</v>
      </c>
      <c r="D835" s="16" t="s">
        <v>173</v>
      </c>
      <c r="E835" s="17" t="s">
        <v>7</v>
      </c>
      <c r="F835" s="24">
        <v>5</v>
      </c>
      <c r="G835" s="19">
        <v>12</v>
      </c>
      <c r="H835" s="19">
        <v>0</v>
      </c>
      <c r="I835" s="19">
        <v>0</v>
      </c>
      <c r="T835" s="19">
        <f>Registro[[#This Row],[Mes 1]]+Registro[[#This Row],[Mes 2]]+Registro[[#This Row],[Mes 3]]</f>
        <v>0</v>
      </c>
      <c r="U835" s="19">
        <f>Registro[[#This Row],[Mes 4]]+Registro[[#This Row],[Mes 5]]+Registro[[#This Row],[Mes 6]]</f>
        <v>0</v>
      </c>
      <c r="V835" s="19">
        <f>Registro[[#This Row],[Mes 7]]+Registro[[#This Row],[Mes 8]]+Registro[[#This Row],[Mes 9]]</f>
        <v>0</v>
      </c>
      <c r="W835" s="20">
        <f>Registro[[#This Row],[Mes 10]]+Registro[[#This Row],[Mes 11]]+Registro[[#This Row],[Mes 12]]</f>
        <v>0</v>
      </c>
      <c r="X835" s="20">
        <f>SUM(Registro[[#This Row],[Trim I]],Registro[[#This Row],[Trim II]],Registro[[#This Row],[Trim III]],Registro[[#This Row],[Trim IV]])</f>
        <v>0</v>
      </c>
      <c r="Y835" s="22">
        <f>IFERROR((Registro[[#This Row],[Avance Total]]/Registro[[#This Row],[Meta]]),0)</f>
        <v>0</v>
      </c>
      <c r="Z835" s="22">
        <f>IFERROR((Registro[[#This Row],[Avance Total]]-Registro[[#This Row],[Línea Base 2025]])/Registro[[#This Row],[Línea Base 2025]],0)</f>
        <v>-1</v>
      </c>
      <c r="AA835" s="20">
        <v>2026</v>
      </c>
    </row>
    <row r="836" spans="1:27" hidden="1">
      <c r="A836" s="14">
        <v>1065</v>
      </c>
      <c r="B836" s="15" t="s">
        <v>96</v>
      </c>
      <c r="C836" s="16">
        <v>113</v>
      </c>
      <c r="D836" s="16" t="s">
        <v>179</v>
      </c>
      <c r="E836" s="17" t="s">
        <v>178</v>
      </c>
      <c r="F836" s="24">
        <v>7</v>
      </c>
      <c r="G836" s="19">
        <v>41</v>
      </c>
      <c r="H836" s="19">
        <v>0</v>
      </c>
      <c r="I836" s="19">
        <v>1</v>
      </c>
      <c r="T836" s="19">
        <f>Registro[[#This Row],[Mes 1]]+Registro[[#This Row],[Mes 2]]+Registro[[#This Row],[Mes 3]]</f>
        <v>1</v>
      </c>
      <c r="U836" s="19">
        <f>Registro[[#This Row],[Mes 4]]+Registro[[#This Row],[Mes 5]]+Registro[[#This Row],[Mes 6]]</f>
        <v>0</v>
      </c>
      <c r="V836" s="19">
        <f>Registro[[#This Row],[Mes 7]]+Registro[[#This Row],[Mes 8]]+Registro[[#This Row],[Mes 9]]</f>
        <v>0</v>
      </c>
      <c r="W836" s="20">
        <f>Registro[[#This Row],[Mes 10]]+Registro[[#This Row],[Mes 11]]+Registro[[#This Row],[Mes 12]]</f>
        <v>0</v>
      </c>
      <c r="X836" s="20">
        <f>SUM(Registro[[#This Row],[Trim I]],Registro[[#This Row],[Trim II]],Registro[[#This Row],[Trim III]],Registro[[#This Row],[Trim IV]])</f>
        <v>1</v>
      </c>
      <c r="Y836" s="22">
        <f>IFERROR((Registro[[#This Row],[Avance Total]]/Registro[[#This Row],[Meta]]),0)</f>
        <v>2.4390243902439025E-2</v>
      </c>
      <c r="Z836" s="22">
        <f>IFERROR((Registro[[#This Row],[Avance Total]]-Registro[[#This Row],[Línea Base 2025]])/Registro[[#This Row],[Línea Base 2025]],0)</f>
        <v>-0.8571428571428571</v>
      </c>
      <c r="AA836" s="20">
        <v>2026</v>
      </c>
    </row>
    <row r="837" spans="1:27" hidden="1">
      <c r="A837" s="14">
        <v>1065</v>
      </c>
      <c r="B837" s="15" t="s">
        <v>96</v>
      </c>
      <c r="C837" s="16">
        <v>114</v>
      </c>
      <c r="D837" s="16" t="s">
        <v>181</v>
      </c>
      <c r="E837" s="17" t="s">
        <v>180</v>
      </c>
      <c r="F837" s="24">
        <v>1</v>
      </c>
      <c r="G837" s="19">
        <v>1</v>
      </c>
      <c r="H837" s="19">
        <v>0</v>
      </c>
      <c r="I837" s="19">
        <v>0</v>
      </c>
      <c r="T837" s="19">
        <f>Registro[[#This Row],[Mes 1]]+Registro[[#This Row],[Mes 2]]+Registro[[#This Row],[Mes 3]]</f>
        <v>0</v>
      </c>
      <c r="U837" s="19">
        <f>Registro[[#This Row],[Mes 4]]+Registro[[#This Row],[Mes 5]]+Registro[[#This Row],[Mes 6]]</f>
        <v>0</v>
      </c>
      <c r="V837" s="19">
        <f>Registro[[#This Row],[Mes 7]]+Registro[[#This Row],[Mes 8]]+Registro[[#This Row],[Mes 9]]</f>
        <v>0</v>
      </c>
      <c r="W837" s="20">
        <f>Registro[[#This Row],[Mes 10]]+Registro[[#This Row],[Mes 11]]+Registro[[#This Row],[Mes 12]]</f>
        <v>0</v>
      </c>
      <c r="X837" s="20">
        <f>SUM(Registro[[#This Row],[Trim I]],Registro[[#This Row],[Trim II]],Registro[[#This Row],[Trim III]],Registro[[#This Row],[Trim IV]])</f>
        <v>0</v>
      </c>
      <c r="Y837" s="22">
        <f>IFERROR((Registro[[#This Row],[Avance Total]]/Registro[[#This Row],[Meta]]),0)</f>
        <v>0</v>
      </c>
      <c r="Z837" s="22">
        <f>IFERROR((Registro[[#This Row],[Avance Total]]-Registro[[#This Row],[Línea Base 2025]])/Registro[[#This Row],[Línea Base 2025]],0)</f>
        <v>-1</v>
      </c>
      <c r="AA837" s="20">
        <v>2026</v>
      </c>
    </row>
    <row r="838" spans="1:27" hidden="1">
      <c r="A838" s="14">
        <v>1065</v>
      </c>
      <c r="B838" s="15" t="s">
        <v>96</v>
      </c>
      <c r="C838" s="16">
        <v>115</v>
      </c>
      <c r="D838" s="16" t="s">
        <v>183</v>
      </c>
      <c r="E838" s="17" t="s">
        <v>182</v>
      </c>
      <c r="F838" s="24">
        <v>0</v>
      </c>
      <c r="G838" s="19">
        <v>1</v>
      </c>
      <c r="H838" s="19">
        <v>0</v>
      </c>
      <c r="I838" s="19">
        <v>0</v>
      </c>
      <c r="T838" s="19">
        <f>Registro[[#This Row],[Mes 1]]+Registro[[#This Row],[Mes 2]]+Registro[[#This Row],[Mes 3]]</f>
        <v>0</v>
      </c>
      <c r="U838" s="19">
        <f>Registro[[#This Row],[Mes 4]]+Registro[[#This Row],[Mes 5]]+Registro[[#This Row],[Mes 6]]</f>
        <v>0</v>
      </c>
      <c r="V838" s="19">
        <f>Registro[[#This Row],[Mes 7]]+Registro[[#This Row],[Mes 8]]+Registro[[#This Row],[Mes 9]]</f>
        <v>0</v>
      </c>
      <c r="W838" s="20">
        <f>Registro[[#This Row],[Mes 10]]+Registro[[#This Row],[Mes 11]]+Registro[[#This Row],[Mes 12]]</f>
        <v>0</v>
      </c>
      <c r="X838" s="20">
        <f>SUM(Registro[[#This Row],[Trim I]],Registro[[#This Row],[Trim II]],Registro[[#This Row],[Trim III]],Registro[[#This Row],[Trim IV]])</f>
        <v>0</v>
      </c>
      <c r="Y838" s="22">
        <f>IFERROR((Registro[[#This Row],[Avance Total]]/Registro[[#This Row],[Meta]]),0)</f>
        <v>0</v>
      </c>
      <c r="Z838" s="22">
        <f>IFERROR((Registro[[#This Row],[Avance Total]]-Registro[[#This Row],[Línea Base 2025]])/Registro[[#This Row],[Línea Base 2025]],0)</f>
        <v>0</v>
      </c>
      <c r="AA838" s="20">
        <v>2026</v>
      </c>
    </row>
    <row r="839" spans="1:27">
      <c r="A839" s="14">
        <v>1065</v>
      </c>
      <c r="B839" s="15" t="s">
        <v>96</v>
      </c>
      <c r="C839" s="16">
        <v>116</v>
      </c>
      <c r="D839" s="16" t="s">
        <v>185</v>
      </c>
      <c r="E839" s="17" t="s">
        <v>184</v>
      </c>
      <c r="F839" s="24">
        <v>1</v>
      </c>
      <c r="G839" s="19">
        <v>1</v>
      </c>
      <c r="H839" s="19">
        <v>0</v>
      </c>
      <c r="I839" s="19">
        <v>0</v>
      </c>
      <c r="T839" s="19">
        <f>Registro[[#This Row],[Mes 1]]+Registro[[#This Row],[Mes 2]]+Registro[[#This Row],[Mes 3]]</f>
        <v>0</v>
      </c>
      <c r="U839" s="19">
        <f>Registro[[#This Row],[Mes 4]]+Registro[[#This Row],[Mes 5]]+Registro[[#This Row],[Mes 6]]</f>
        <v>0</v>
      </c>
      <c r="V839" s="19">
        <f>Registro[[#This Row],[Mes 7]]+Registro[[#This Row],[Mes 8]]+Registro[[#This Row],[Mes 9]]</f>
        <v>0</v>
      </c>
      <c r="W839" s="20">
        <f>Registro[[#This Row],[Mes 10]]+Registro[[#This Row],[Mes 11]]+Registro[[#This Row],[Mes 12]]</f>
        <v>0</v>
      </c>
      <c r="X839" s="20">
        <f>SUM(Registro[[#This Row],[Trim I]],Registro[[#This Row],[Trim II]],Registro[[#This Row],[Trim III]],Registro[[#This Row],[Trim IV]])</f>
        <v>0</v>
      </c>
      <c r="Y839" s="22">
        <f>IFERROR((Registro[[#This Row],[Avance Total]]/Registro[[#This Row],[Meta]]),0)</f>
        <v>0</v>
      </c>
      <c r="Z839" s="22">
        <f>IFERROR((Registro[[#This Row],[Avance Total]]-Registro[[#This Row],[Línea Base 2025]])/Registro[[#This Row],[Línea Base 2025]],0)</f>
        <v>-1</v>
      </c>
      <c r="AA839" s="20">
        <v>2026</v>
      </c>
    </row>
    <row r="840" spans="1:27" hidden="1">
      <c r="A840" s="14">
        <v>1065</v>
      </c>
      <c r="B840" s="15" t="s">
        <v>96</v>
      </c>
      <c r="C840" s="16">
        <v>117</v>
      </c>
      <c r="D840" s="16" t="s">
        <v>187</v>
      </c>
      <c r="E840" s="17" t="s">
        <v>186</v>
      </c>
      <c r="F840" s="24">
        <v>0</v>
      </c>
      <c r="G840" s="19">
        <v>10</v>
      </c>
      <c r="H840" s="19">
        <v>0</v>
      </c>
      <c r="I840" s="19">
        <v>0</v>
      </c>
      <c r="T840" s="19">
        <f>Registro[[#This Row],[Mes 1]]+Registro[[#This Row],[Mes 2]]+Registro[[#This Row],[Mes 3]]</f>
        <v>0</v>
      </c>
      <c r="U840" s="19">
        <f>Registro[[#This Row],[Mes 4]]+Registro[[#This Row],[Mes 5]]+Registro[[#This Row],[Mes 6]]</f>
        <v>0</v>
      </c>
      <c r="V840" s="19">
        <f>Registro[[#This Row],[Mes 7]]+Registro[[#This Row],[Mes 8]]+Registro[[#This Row],[Mes 9]]</f>
        <v>0</v>
      </c>
      <c r="W840" s="20">
        <f>Registro[[#This Row],[Mes 10]]+Registro[[#This Row],[Mes 11]]+Registro[[#This Row],[Mes 12]]</f>
        <v>0</v>
      </c>
      <c r="X840" s="20">
        <f>SUM(Registro[[#This Row],[Trim I]],Registro[[#This Row],[Trim II]],Registro[[#This Row],[Trim III]],Registro[[#This Row],[Trim IV]])</f>
        <v>0</v>
      </c>
      <c r="Y840" s="22">
        <f>IFERROR((Registro[[#This Row],[Avance Total]]/Registro[[#This Row],[Meta]]),0)</f>
        <v>0</v>
      </c>
      <c r="Z840" s="22">
        <f>IFERROR((Registro[[#This Row],[Avance Total]]-Registro[[#This Row],[Línea Base 2025]])/Registro[[#This Row],[Línea Base 2025]],0)</f>
        <v>0</v>
      </c>
      <c r="AA840" s="20">
        <v>2026</v>
      </c>
    </row>
    <row r="841" spans="1:27" hidden="1">
      <c r="A841" s="14">
        <v>1065</v>
      </c>
      <c r="B841" s="15" t="s">
        <v>96</v>
      </c>
      <c r="C841" s="16">
        <v>118</v>
      </c>
      <c r="D841" s="16" t="s">
        <v>188</v>
      </c>
      <c r="E841" s="17" t="s">
        <v>9</v>
      </c>
      <c r="F841" s="24">
        <v>0</v>
      </c>
      <c r="G841" s="19">
        <v>431</v>
      </c>
      <c r="H841" s="19">
        <v>0</v>
      </c>
      <c r="I841" s="19">
        <v>0</v>
      </c>
      <c r="T841" s="19">
        <f>Registro[[#This Row],[Mes 1]]+Registro[[#This Row],[Mes 2]]+Registro[[#This Row],[Mes 3]]</f>
        <v>0</v>
      </c>
      <c r="U841" s="19">
        <f>Registro[[#This Row],[Mes 4]]+Registro[[#This Row],[Mes 5]]+Registro[[#This Row],[Mes 6]]</f>
        <v>0</v>
      </c>
      <c r="V841" s="19">
        <f>Registro[[#This Row],[Mes 7]]+Registro[[#This Row],[Mes 8]]+Registro[[#This Row],[Mes 9]]</f>
        <v>0</v>
      </c>
      <c r="W841" s="20">
        <f>Registro[[#This Row],[Mes 10]]+Registro[[#This Row],[Mes 11]]+Registro[[#This Row],[Mes 12]]</f>
        <v>0</v>
      </c>
      <c r="X841" s="20">
        <f>SUM(Registro[[#This Row],[Trim I]],Registro[[#This Row],[Trim II]],Registro[[#This Row],[Trim III]],Registro[[#This Row],[Trim IV]])</f>
        <v>0</v>
      </c>
      <c r="Y841" s="22">
        <f>IFERROR((Registro[[#This Row],[Avance Total]]/Registro[[#This Row],[Meta]]),0)</f>
        <v>0</v>
      </c>
      <c r="Z841" s="22">
        <f>IFERROR((Registro[[#This Row],[Avance Total]]-Registro[[#This Row],[Línea Base 2025]])/Registro[[#This Row],[Línea Base 2025]],0)</f>
        <v>0</v>
      </c>
      <c r="AA841" s="20">
        <v>2026</v>
      </c>
    </row>
    <row r="842" spans="1:27" hidden="1">
      <c r="A842" s="14">
        <v>1065</v>
      </c>
      <c r="B842" s="15" t="s">
        <v>96</v>
      </c>
      <c r="C842" s="16">
        <v>119</v>
      </c>
      <c r="D842" s="16" t="s">
        <v>190</v>
      </c>
      <c r="E842" s="17" t="s">
        <v>189</v>
      </c>
      <c r="F842" s="24">
        <v>0</v>
      </c>
      <c r="G842" s="19">
        <v>1</v>
      </c>
      <c r="H842" s="19">
        <v>0</v>
      </c>
      <c r="I842" s="19">
        <v>0</v>
      </c>
      <c r="T842" s="19">
        <f>Registro[[#This Row],[Mes 1]]+Registro[[#This Row],[Mes 2]]+Registro[[#This Row],[Mes 3]]</f>
        <v>0</v>
      </c>
      <c r="U842" s="19">
        <f>Registro[[#This Row],[Mes 4]]+Registro[[#This Row],[Mes 5]]+Registro[[#This Row],[Mes 6]]</f>
        <v>0</v>
      </c>
      <c r="V842" s="19">
        <f>Registro[[#This Row],[Mes 7]]+Registro[[#This Row],[Mes 8]]+Registro[[#This Row],[Mes 9]]</f>
        <v>0</v>
      </c>
      <c r="W842" s="20">
        <f>Registro[[#This Row],[Mes 10]]+Registro[[#This Row],[Mes 11]]+Registro[[#This Row],[Mes 12]]</f>
        <v>0</v>
      </c>
      <c r="X842" s="20">
        <f>SUM(Registro[[#This Row],[Trim I]],Registro[[#This Row],[Trim II]],Registro[[#This Row],[Trim III]],Registro[[#This Row],[Trim IV]])</f>
        <v>0</v>
      </c>
      <c r="Y842" s="22">
        <f>IFERROR((Registro[[#This Row],[Avance Total]]/Registro[[#This Row],[Meta]]),0)</f>
        <v>0</v>
      </c>
      <c r="Z842" s="22">
        <f>IFERROR((Registro[[#This Row],[Avance Total]]-Registro[[#This Row],[Línea Base 2025]])/Registro[[#This Row],[Línea Base 2025]],0)</f>
        <v>0</v>
      </c>
      <c r="AA842" s="20">
        <v>2026</v>
      </c>
    </row>
    <row r="843" spans="1:27" hidden="1">
      <c r="A843" s="14">
        <v>1065</v>
      </c>
      <c r="B843" s="15" t="s">
        <v>96</v>
      </c>
      <c r="C843" s="16">
        <v>120</v>
      </c>
      <c r="D843" s="16" t="s">
        <v>192</v>
      </c>
      <c r="E843" s="17" t="s">
        <v>191</v>
      </c>
      <c r="F843" s="24">
        <v>0</v>
      </c>
      <c r="G843" s="19">
        <v>5</v>
      </c>
      <c r="H843" s="19">
        <v>0</v>
      </c>
      <c r="I843" s="19">
        <v>0</v>
      </c>
      <c r="T843" s="19">
        <f>Registro[[#This Row],[Mes 1]]+Registro[[#This Row],[Mes 2]]+Registro[[#This Row],[Mes 3]]</f>
        <v>0</v>
      </c>
      <c r="U843" s="19">
        <f>Registro[[#This Row],[Mes 4]]+Registro[[#This Row],[Mes 5]]+Registro[[#This Row],[Mes 6]]</f>
        <v>0</v>
      </c>
      <c r="V843" s="19">
        <f>Registro[[#This Row],[Mes 7]]+Registro[[#This Row],[Mes 8]]+Registro[[#This Row],[Mes 9]]</f>
        <v>0</v>
      </c>
      <c r="W843" s="20">
        <f>Registro[[#This Row],[Mes 10]]+Registro[[#This Row],[Mes 11]]+Registro[[#This Row],[Mes 12]]</f>
        <v>0</v>
      </c>
      <c r="X843" s="20">
        <f>SUM(Registro[[#This Row],[Trim I]],Registro[[#This Row],[Trim II]],Registro[[#This Row],[Trim III]],Registro[[#This Row],[Trim IV]])</f>
        <v>0</v>
      </c>
      <c r="Y843" s="22">
        <f>IFERROR((Registro[[#This Row],[Avance Total]]/Registro[[#This Row],[Meta]]),0)</f>
        <v>0</v>
      </c>
      <c r="Z843" s="22">
        <f>IFERROR((Registro[[#This Row],[Avance Total]]-Registro[[#This Row],[Línea Base 2025]])/Registro[[#This Row],[Línea Base 2025]],0)</f>
        <v>0</v>
      </c>
      <c r="AA843" s="20">
        <v>2026</v>
      </c>
    </row>
    <row r="844" spans="1:27" hidden="1">
      <c r="A844" s="14">
        <v>1065</v>
      </c>
      <c r="B844" s="15" t="s">
        <v>96</v>
      </c>
      <c r="C844" s="16">
        <v>121</v>
      </c>
      <c r="D844" s="16" t="s">
        <v>194</v>
      </c>
      <c r="E844" s="17" t="s">
        <v>193</v>
      </c>
      <c r="F844" s="24">
        <v>1</v>
      </c>
      <c r="G844" s="19">
        <v>5</v>
      </c>
      <c r="H844" s="19">
        <v>0</v>
      </c>
      <c r="I844" s="19">
        <v>0</v>
      </c>
      <c r="T844" s="19">
        <f>Registro[[#This Row],[Mes 1]]+Registro[[#This Row],[Mes 2]]+Registro[[#This Row],[Mes 3]]</f>
        <v>0</v>
      </c>
      <c r="U844" s="19">
        <f>Registro[[#This Row],[Mes 4]]+Registro[[#This Row],[Mes 5]]+Registro[[#This Row],[Mes 6]]</f>
        <v>0</v>
      </c>
      <c r="V844" s="19">
        <f>Registro[[#This Row],[Mes 7]]+Registro[[#This Row],[Mes 8]]+Registro[[#This Row],[Mes 9]]</f>
        <v>0</v>
      </c>
      <c r="W844" s="20">
        <f>Registro[[#This Row],[Mes 10]]+Registro[[#This Row],[Mes 11]]+Registro[[#This Row],[Mes 12]]</f>
        <v>0</v>
      </c>
      <c r="X844" s="20">
        <f>SUM(Registro[[#This Row],[Trim I]],Registro[[#This Row],[Trim II]],Registro[[#This Row],[Trim III]],Registro[[#This Row],[Trim IV]])</f>
        <v>0</v>
      </c>
      <c r="Y844" s="22">
        <f>IFERROR((Registro[[#This Row],[Avance Total]]/Registro[[#This Row],[Meta]]),0)</f>
        <v>0</v>
      </c>
      <c r="Z844" s="22">
        <f>IFERROR((Registro[[#This Row],[Avance Total]]-Registro[[#This Row],[Línea Base 2025]])/Registro[[#This Row],[Línea Base 2025]],0)</f>
        <v>-1</v>
      </c>
      <c r="AA844" s="20">
        <v>2026</v>
      </c>
    </row>
    <row r="845" spans="1:27" hidden="1">
      <c r="A845" s="14">
        <v>1065</v>
      </c>
      <c r="B845" s="15" t="s">
        <v>96</v>
      </c>
      <c r="C845" s="16">
        <v>122</v>
      </c>
      <c r="D845" s="16" t="s">
        <v>196</v>
      </c>
      <c r="E845" s="17" t="s">
        <v>195</v>
      </c>
      <c r="F845" s="24">
        <v>0</v>
      </c>
      <c r="G845" s="19">
        <v>2</v>
      </c>
      <c r="H845" s="19">
        <v>0</v>
      </c>
      <c r="I845" s="19">
        <v>0</v>
      </c>
      <c r="T845" s="19">
        <f>Registro[[#This Row],[Mes 1]]+Registro[[#This Row],[Mes 2]]+Registro[[#This Row],[Mes 3]]</f>
        <v>0</v>
      </c>
      <c r="U845" s="19">
        <f>Registro[[#This Row],[Mes 4]]+Registro[[#This Row],[Mes 5]]+Registro[[#This Row],[Mes 6]]</f>
        <v>0</v>
      </c>
      <c r="V845" s="19">
        <f>Registro[[#This Row],[Mes 7]]+Registro[[#This Row],[Mes 8]]+Registro[[#This Row],[Mes 9]]</f>
        <v>0</v>
      </c>
      <c r="W845" s="20">
        <f>Registro[[#This Row],[Mes 10]]+Registro[[#This Row],[Mes 11]]+Registro[[#This Row],[Mes 12]]</f>
        <v>0</v>
      </c>
      <c r="X845" s="20">
        <f>SUM(Registro[[#This Row],[Trim I]],Registro[[#This Row],[Trim II]],Registro[[#This Row],[Trim III]],Registro[[#This Row],[Trim IV]])</f>
        <v>0</v>
      </c>
      <c r="Y845" s="22">
        <f>IFERROR((Registro[[#This Row],[Avance Total]]/Registro[[#This Row],[Meta]]),0)</f>
        <v>0</v>
      </c>
      <c r="Z845" s="22">
        <f>IFERROR((Registro[[#This Row],[Avance Total]]-Registro[[#This Row],[Línea Base 2025]])/Registro[[#This Row],[Línea Base 2025]],0)</f>
        <v>0</v>
      </c>
      <c r="AA845" s="20">
        <v>2026</v>
      </c>
    </row>
    <row r="846" spans="1:27" hidden="1">
      <c r="A846" s="14">
        <v>1065</v>
      </c>
      <c r="B846" s="15" t="s">
        <v>96</v>
      </c>
      <c r="C846" s="16">
        <v>123</v>
      </c>
      <c r="D846" s="16" t="s">
        <v>198</v>
      </c>
      <c r="E846" s="17" t="s">
        <v>197</v>
      </c>
      <c r="F846" s="24">
        <v>0</v>
      </c>
      <c r="G846" s="19">
        <v>1</v>
      </c>
      <c r="H846" s="19">
        <v>0</v>
      </c>
      <c r="I846" s="19">
        <v>0</v>
      </c>
      <c r="T846" s="19">
        <f>Registro[[#This Row],[Mes 1]]+Registro[[#This Row],[Mes 2]]+Registro[[#This Row],[Mes 3]]</f>
        <v>0</v>
      </c>
      <c r="U846" s="19">
        <f>Registro[[#This Row],[Mes 4]]+Registro[[#This Row],[Mes 5]]+Registro[[#This Row],[Mes 6]]</f>
        <v>0</v>
      </c>
      <c r="V846" s="19">
        <f>Registro[[#This Row],[Mes 7]]+Registro[[#This Row],[Mes 8]]+Registro[[#This Row],[Mes 9]]</f>
        <v>0</v>
      </c>
      <c r="W846" s="20">
        <f>Registro[[#This Row],[Mes 10]]+Registro[[#This Row],[Mes 11]]+Registro[[#This Row],[Mes 12]]</f>
        <v>0</v>
      </c>
      <c r="X846" s="20">
        <f>SUM(Registro[[#This Row],[Trim I]],Registro[[#This Row],[Trim II]],Registro[[#This Row],[Trim III]],Registro[[#This Row],[Trim IV]])</f>
        <v>0</v>
      </c>
      <c r="Y846" s="22">
        <f>IFERROR((Registro[[#This Row],[Avance Total]]/Registro[[#This Row],[Meta]]),0)</f>
        <v>0</v>
      </c>
      <c r="Z846" s="22">
        <f>IFERROR((Registro[[#This Row],[Avance Total]]-Registro[[#This Row],[Línea Base 2025]])/Registro[[#This Row],[Línea Base 2025]],0)</f>
        <v>0</v>
      </c>
      <c r="AA846" s="20">
        <v>2026</v>
      </c>
    </row>
    <row r="847" spans="1:27" hidden="1">
      <c r="A847" s="14">
        <v>1066</v>
      </c>
      <c r="B847" s="15" t="s">
        <v>97</v>
      </c>
      <c r="C847" s="16">
        <v>111</v>
      </c>
      <c r="D847" s="16" t="s">
        <v>171</v>
      </c>
      <c r="E847" s="17" t="s">
        <v>172</v>
      </c>
      <c r="F847" s="24">
        <v>13</v>
      </c>
      <c r="G847" s="19">
        <v>21</v>
      </c>
      <c r="H847" s="19">
        <v>0</v>
      </c>
      <c r="I847" s="19">
        <v>0</v>
      </c>
      <c r="T847" s="19">
        <f>Registro[[#This Row],[Mes 1]]+Registro[[#This Row],[Mes 2]]+Registro[[#This Row],[Mes 3]]</f>
        <v>0</v>
      </c>
      <c r="U847" s="19">
        <f>Registro[[#This Row],[Mes 4]]+Registro[[#This Row],[Mes 5]]+Registro[[#This Row],[Mes 6]]</f>
        <v>0</v>
      </c>
      <c r="V847" s="19">
        <f>Registro[[#This Row],[Mes 7]]+Registro[[#This Row],[Mes 8]]+Registro[[#This Row],[Mes 9]]</f>
        <v>0</v>
      </c>
      <c r="W847" s="20">
        <f>Registro[[#This Row],[Mes 10]]+Registro[[#This Row],[Mes 11]]+Registro[[#This Row],[Mes 12]]</f>
        <v>0</v>
      </c>
      <c r="X847" s="20">
        <f>SUM(Registro[[#This Row],[Trim I]],Registro[[#This Row],[Trim II]],Registro[[#This Row],[Trim III]],Registro[[#This Row],[Trim IV]])</f>
        <v>0</v>
      </c>
      <c r="Y847" s="22">
        <f>IFERROR((Registro[[#This Row],[Avance Total]]/Registro[[#This Row],[Meta]]),0)</f>
        <v>0</v>
      </c>
      <c r="Z847" s="22">
        <f>IFERROR((Registro[[#This Row],[Avance Total]]-Registro[[#This Row],[Línea Base 2025]])/Registro[[#This Row],[Línea Base 2025]],0)</f>
        <v>-1</v>
      </c>
      <c r="AA847" s="20">
        <v>2026</v>
      </c>
    </row>
    <row r="848" spans="1:27" hidden="1">
      <c r="A848" s="14">
        <v>1066</v>
      </c>
      <c r="B848" s="15" t="s">
        <v>97</v>
      </c>
      <c r="C848" s="16">
        <v>112</v>
      </c>
      <c r="D848" s="16" t="s">
        <v>173</v>
      </c>
      <c r="E848" s="17" t="s">
        <v>7</v>
      </c>
      <c r="F848" s="24">
        <v>10</v>
      </c>
      <c r="G848" s="19">
        <v>24</v>
      </c>
      <c r="H848" s="19">
        <v>0</v>
      </c>
      <c r="I848" s="19">
        <v>0</v>
      </c>
      <c r="T848" s="19">
        <f>Registro[[#This Row],[Mes 1]]+Registro[[#This Row],[Mes 2]]+Registro[[#This Row],[Mes 3]]</f>
        <v>0</v>
      </c>
      <c r="U848" s="19">
        <f>Registro[[#This Row],[Mes 4]]+Registro[[#This Row],[Mes 5]]+Registro[[#This Row],[Mes 6]]</f>
        <v>0</v>
      </c>
      <c r="V848" s="19">
        <f>Registro[[#This Row],[Mes 7]]+Registro[[#This Row],[Mes 8]]+Registro[[#This Row],[Mes 9]]</f>
        <v>0</v>
      </c>
      <c r="W848" s="20">
        <f>Registro[[#This Row],[Mes 10]]+Registro[[#This Row],[Mes 11]]+Registro[[#This Row],[Mes 12]]</f>
        <v>0</v>
      </c>
      <c r="X848" s="20">
        <f>SUM(Registro[[#This Row],[Trim I]],Registro[[#This Row],[Trim II]],Registro[[#This Row],[Trim III]],Registro[[#This Row],[Trim IV]])</f>
        <v>0</v>
      </c>
      <c r="Y848" s="22">
        <f>IFERROR((Registro[[#This Row],[Avance Total]]/Registro[[#This Row],[Meta]]),0)</f>
        <v>0</v>
      </c>
      <c r="Z848" s="22">
        <f>IFERROR((Registro[[#This Row],[Avance Total]]-Registro[[#This Row],[Línea Base 2025]])/Registro[[#This Row],[Línea Base 2025]],0)</f>
        <v>-1</v>
      </c>
      <c r="AA848" s="20">
        <v>2026</v>
      </c>
    </row>
    <row r="849" spans="1:27" hidden="1">
      <c r="A849" s="14">
        <v>1066</v>
      </c>
      <c r="B849" s="15" t="s">
        <v>97</v>
      </c>
      <c r="C849" s="16">
        <v>113</v>
      </c>
      <c r="D849" s="16" t="s">
        <v>179</v>
      </c>
      <c r="E849" s="17" t="s">
        <v>178</v>
      </c>
      <c r="F849" s="24">
        <v>7</v>
      </c>
      <c r="G849" s="19">
        <v>61</v>
      </c>
      <c r="H849" s="19">
        <v>0</v>
      </c>
      <c r="I849" s="19">
        <v>0</v>
      </c>
      <c r="T849" s="19">
        <f>Registro[[#This Row],[Mes 1]]+Registro[[#This Row],[Mes 2]]+Registro[[#This Row],[Mes 3]]</f>
        <v>0</v>
      </c>
      <c r="U849" s="19">
        <f>Registro[[#This Row],[Mes 4]]+Registro[[#This Row],[Mes 5]]+Registro[[#This Row],[Mes 6]]</f>
        <v>0</v>
      </c>
      <c r="V849" s="19">
        <f>Registro[[#This Row],[Mes 7]]+Registro[[#This Row],[Mes 8]]+Registro[[#This Row],[Mes 9]]</f>
        <v>0</v>
      </c>
      <c r="W849" s="20">
        <f>Registro[[#This Row],[Mes 10]]+Registro[[#This Row],[Mes 11]]+Registro[[#This Row],[Mes 12]]</f>
        <v>0</v>
      </c>
      <c r="X849" s="20">
        <f>SUM(Registro[[#This Row],[Trim I]],Registro[[#This Row],[Trim II]],Registro[[#This Row],[Trim III]],Registro[[#This Row],[Trim IV]])</f>
        <v>0</v>
      </c>
      <c r="Y849" s="22">
        <f>IFERROR((Registro[[#This Row],[Avance Total]]/Registro[[#This Row],[Meta]]),0)</f>
        <v>0</v>
      </c>
      <c r="Z849" s="22">
        <f>IFERROR((Registro[[#This Row],[Avance Total]]-Registro[[#This Row],[Línea Base 2025]])/Registro[[#This Row],[Línea Base 2025]],0)</f>
        <v>-1</v>
      </c>
      <c r="AA849" s="20">
        <v>2026</v>
      </c>
    </row>
    <row r="850" spans="1:27" hidden="1">
      <c r="A850" s="14">
        <v>1066</v>
      </c>
      <c r="B850" s="15" t="s">
        <v>97</v>
      </c>
      <c r="C850" s="16">
        <v>114</v>
      </c>
      <c r="D850" s="16" t="s">
        <v>181</v>
      </c>
      <c r="E850" s="17" t="s">
        <v>180</v>
      </c>
      <c r="F850" s="24">
        <v>1</v>
      </c>
      <c r="G850" s="19">
        <v>4</v>
      </c>
      <c r="H850" s="19">
        <v>0</v>
      </c>
      <c r="I850" s="19">
        <v>0</v>
      </c>
      <c r="T850" s="19">
        <f>Registro[[#This Row],[Mes 1]]+Registro[[#This Row],[Mes 2]]+Registro[[#This Row],[Mes 3]]</f>
        <v>0</v>
      </c>
      <c r="U850" s="19">
        <f>Registro[[#This Row],[Mes 4]]+Registro[[#This Row],[Mes 5]]+Registro[[#This Row],[Mes 6]]</f>
        <v>0</v>
      </c>
      <c r="V850" s="19">
        <f>Registro[[#This Row],[Mes 7]]+Registro[[#This Row],[Mes 8]]+Registro[[#This Row],[Mes 9]]</f>
        <v>0</v>
      </c>
      <c r="W850" s="20">
        <f>Registro[[#This Row],[Mes 10]]+Registro[[#This Row],[Mes 11]]+Registro[[#This Row],[Mes 12]]</f>
        <v>0</v>
      </c>
      <c r="X850" s="20">
        <f>SUM(Registro[[#This Row],[Trim I]],Registro[[#This Row],[Trim II]],Registro[[#This Row],[Trim III]],Registro[[#This Row],[Trim IV]])</f>
        <v>0</v>
      </c>
      <c r="Y850" s="22">
        <f>IFERROR((Registro[[#This Row],[Avance Total]]/Registro[[#This Row],[Meta]]),0)</f>
        <v>0</v>
      </c>
      <c r="Z850" s="22">
        <f>IFERROR((Registro[[#This Row],[Avance Total]]-Registro[[#This Row],[Línea Base 2025]])/Registro[[#This Row],[Línea Base 2025]],0)</f>
        <v>-1</v>
      </c>
      <c r="AA850" s="20">
        <v>2026</v>
      </c>
    </row>
    <row r="851" spans="1:27" hidden="1">
      <c r="A851" s="14">
        <v>1066</v>
      </c>
      <c r="B851" s="15" t="s">
        <v>97</v>
      </c>
      <c r="C851" s="16">
        <v>115</v>
      </c>
      <c r="D851" s="16" t="s">
        <v>183</v>
      </c>
      <c r="E851" s="17" t="s">
        <v>182</v>
      </c>
      <c r="F851" s="24">
        <v>0</v>
      </c>
      <c r="G851" s="19">
        <v>3</v>
      </c>
      <c r="H851" s="19">
        <v>0</v>
      </c>
      <c r="I851" s="19">
        <v>0</v>
      </c>
      <c r="T851" s="19">
        <f>Registro[[#This Row],[Mes 1]]+Registro[[#This Row],[Mes 2]]+Registro[[#This Row],[Mes 3]]</f>
        <v>0</v>
      </c>
      <c r="U851" s="19">
        <f>Registro[[#This Row],[Mes 4]]+Registro[[#This Row],[Mes 5]]+Registro[[#This Row],[Mes 6]]</f>
        <v>0</v>
      </c>
      <c r="V851" s="19">
        <f>Registro[[#This Row],[Mes 7]]+Registro[[#This Row],[Mes 8]]+Registro[[#This Row],[Mes 9]]</f>
        <v>0</v>
      </c>
      <c r="W851" s="20">
        <f>Registro[[#This Row],[Mes 10]]+Registro[[#This Row],[Mes 11]]+Registro[[#This Row],[Mes 12]]</f>
        <v>0</v>
      </c>
      <c r="X851" s="20">
        <f>SUM(Registro[[#This Row],[Trim I]],Registro[[#This Row],[Trim II]],Registro[[#This Row],[Trim III]],Registro[[#This Row],[Trim IV]])</f>
        <v>0</v>
      </c>
      <c r="Y851" s="22">
        <f>IFERROR((Registro[[#This Row],[Avance Total]]/Registro[[#This Row],[Meta]]),0)</f>
        <v>0</v>
      </c>
      <c r="Z851" s="22">
        <f>IFERROR((Registro[[#This Row],[Avance Total]]-Registro[[#This Row],[Línea Base 2025]])/Registro[[#This Row],[Línea Base 2025]],0)</f>
        <v>0</v>
      </c>
      <c r="AA851" s="20">
        <v>2026</v>
      </c>
    </row>
    <row r="852" spans="1:27">
      <c r="A852" s="14">
        <v>1066</v>
      </c>
      <c r="B852" s="15" t="s">
        <v>97</v>
      </c>
      <c r="C852" s="16">
        <v>116</v>
      </c>
      <c r="D852" s="16" t="s">
        <v>185</v>
      </c>
      <c r="E852" s="17" t="s">
        <v>184</v>
      </c>
      <c r="F852" s="24">
        <v>1</v>
      </c>
      <c r="G852" s="19">
        <v>0</v>
      </c>
      <c r="H852" s="19">
        <v>0</v>
      </c>
      <c r="I852" s="19">
        <v>0</v>
      </c>
      <c r="T852" s="19">
        <f>Registro[[#This Row],[Mes 1]]+Registro[[#This Row],[Mes 2]]+Registro[[#This Row],[Mes 3]]</f>
        <v>0</v>
      </c>
      <c r="U852" s="19">
        <f>Registro[[#This Row],[Mes 4]]+Registro[[#This Row],[Mes 5]]+Registro[[#This Row],[Mes 6]]</f>
        <v>0</v>
      </c>
      <c r="V852" s="19">
        <f>Registro[[#This Row],[Mes 7]]+Registro[[#This Row],[Mes 8]]+Registro[[#This Row],[Mes 9]]</f>
        <v>0</v>
      </c>
      <c r="W852" s="20">
        <f>Registro[[#This Row],[Mes 10]]+Registro[[#This Row],[Mes 11]]+Registro[[#This Row],[Mes 12]]</f>
        <v>0</v>
      </c>
      <c r="X852" s="20">
        <f>SUM(Registro[[#This Row],[Trim I]],Registro[[#This Row],[Trim II]],Registro[[#This Row],[Trim III]],Registro[[#This Row],[Trim IV]])</f>
        <v>0</v>
      </c>
      <c r="Y852" s="22">
        <f>IFERROR((Registro[[#This Row],[Avance Total]]/Registro[[#This Row],[Meta]]),0)</f>
        <v>0</v>
      </c>
      <c r="Z852" s="22">
        <f>IFERROR((Registro[[#This Row],[Avance Total]]-Registro[[#This Row],[Línea Base 2025]])/Registro[[#This Row],[Línea Base 2025]],0)</f>
        <v>-1</v>
      </c>
      <c r="AA852" s="20">
        <v>2026</v>
      </c>
    </row>
    <row r="853" spans="1:27" hidden="1">
      <c r="A853" s="14">
        <v>1066</v>
      </c>
      <c r="B853" s="15" t="s">
        <v>97</v>
      </c>
      <c r="C853" s="16">
        <v>117</v>
      </c>
      <c r="D853" s="16" t="s">
        <v>187</v>
      </c>
      <c r="E853" s="17" t="s">
        <v>186</v>
      </c>
      <c r="F853" s="24">
        <v>4</v>
      </c>
      <c r="G853" s="19">
        <v>2</v>
      </c>
      <c r="H853" s="19">
        <v>0</v>
      </c>
      <c r="I853" s="19">
        <v>0</v>
      </c>
      <c r="T853" s="19">
        <f>Registro[[#This Row],[Mes 1]]+Registro[[#This Row],[Mes 2]]+Registro[[#This Row],[Mes 3]]</f>
        <v>0</v>
      </c>
      <c r="U853" s="19">
        <f>Registro[[#This Row],[Mes 4]]+Registro[[#This Row],[Mes 5]]+Registro[[#This Row],[Mes 6]]</f>
        <v>0</v>
      </c>
      <c r="V853" s="19">
        <f>Registro[[#This Row],[Mes 7]]+Registro[[#This Row],[Mes 8]]+Registro[[#This Row],[Mes 9]]</f>
        <v>0</v>
      </c>
      <c r="W853" s="20">
        <f>Registro[[#This Row],[Mes 10]]+Registro[[#This Row],[Mes 11]]+Registro[[#This Row],[Mes 12]]</f>
        <v>0</v>
      </c>
      <c r="X853" s="20">
        <f>SUM(Registro[[#This Row],[Trim I]],Registro[[#This Row],[Trim II]],Registro[[#This Row],[Trim III]],Registro[[#This Row],[Trim IV]])</f>
        <v>0</v>
      </c>
      <c r="Y853" s="22">
        <f>IFERROR((Registro[[#This Row],[Avance Total]]/Registro[[#This Row],[Meta]]),0)</f>
        <v>0</v>
      </c>
      <c r="Z853" s="22">
        <f>IFERROR((Registro[[#This Row],[Avance Total]]-Registro[[#This Row],[Línea Base 2025]])/Registro[[#This Row],[Línea Base 2025]],0)</f>
        <v>-1</v>
      </c>
      <c r="AA853" s="20">
        <v>2026</v>
      </c>
    </row>
    <row r="854" spans="1:27" hidden="1">
      <c r="A854" s="14">
        <v>1066</v>
      </c>
      <c r="B854" s="15" t="s">
        <v>97</v>
      </c>
      <c r="C854" s="16">
        <v>118</v>
      </c>
      <c r="D854" s="16" t="s">
        <v>188</v>
      </c>
      <c r="E854" s="17" t="s">
        <v>9</v>
      </c>
      <c r="F854" s="24">
        <v>0</v>
      </c>
      <c r="G854" s="19">
        <v>30</v>
      </c>
      <c r="H854" s="19">
        <v>0</v>
      </c>
      <c r="I854" s="19">
        <v>0</v>
      </c>
      <c r="T854" s="19">
        <f>Registro[[#This Row],[Mes 1]]+Registro[[#This Row],[Mes 2]]+Registro[[#This Row],[Mes 3]]</f>
        <v>0</v>
      </c>
      <c r="U854" s="19">
        <f>Registro[[#This Row],[Mes 4]]+Registro[[#This Row],[Mes 5]]+Registro[[#This Row],[Mes 6]]</f>
        <v>0</v>
      </c>
      <c r="V854" s="19">
        <f>Registro[[#This Row],[Mes 7]]+Registro[[#This Row],[Mes 8]]+Registro[[#This Row],[Mes 9]]</f>
        <v>0</v>
      </c>
      <c r="W854" s="20">
        <f>Registro[[#This Row],[Mes 10]]+Registro[[#This Row],[Mes 11]]+Registro[[#This Row],[Mes 12]]</f>
        <v>0</v>
      </c>
      <c r="X854" s="20">
        <f>SUM(Registro[[#This Row],[Trim I]],Registro[[#This Row],[Trim II]],Registro[[#This Row],[Trim III]],Registro[[#This Row],[Trim IV]])</f>
        <v>0</v>
      </c>
      <c r="Y854" s="22">
        <f>IFERROR((Registro[[#This Row],[Avance Total]]/Registro[[#This Row],[Meta]]),0)</f>
        <v>0</v>
      </c>
      <c r="Z854" s="22">
        <f>IFERROR((Registro[[#This Row],[Avance Total]]-Registro[[#This Row],[Línea Base 2025]])/Registro[[#This Row],[Línea Base 2025]],0)</f>
        <v>0</v>
      </c>
      <c r="AA854" s="20">
        <v>2026</v>
      </c>
    </row>
    <row r="855" spans="1:27" hidden="1">
      <c r="A855" s="14">
        <v>1066</v>
      </c>
      <c r="B855" s="15" t="s">
        <v>97</v>
      </c>
      <c r="C855" s="16">
        <v>119</v>
      </c>
      <c r="D855" s="16" t="s">
        <v>190</v>
      </c>
      <c r="E855" s="17" t="s">
        <v>189</v>
      </c>
      <c r="F855" s="24">
        <v>0</v>
      </c>
      <c r="G855" s="19">
        <v>0</v>
      </c>
      <c r="H855" s="19">
        <v>0</v>
      </c>
      <c r="I855" s="19">
        <v>0</v>
      </c>
      <c r="T855" s="19">
        <f>Registro[[#This Row],[Mes 1]]+Registro[[#This Row],[Mes 2]]+Registro[[#This Row],[Mes 3]]</f>
        <v>0</v>
      </c>
      <c r="U855" s="19">
        <f>Registro[[#This Row],[Mes 4]]+Registro[[#This Row],[Mes 5]]+Registro[[#This Row],[Mes 6]]</f>
        <v>0</v>
      </c>
      <c r="V855" s="19">
        <f>Registro[[#This Row],[Mes 7]]+Registro[[#This Row],[Mes 8]]+Registro[[#This Row],[Mes 9]]</f>
        <v>0</v>
      </c>
      <c r="W855" s="20">
        <f>Registro[[#This Row],[Mes 10]]+Registro[[#This Row],[Mes 11]]+Registro[[#This Row],[Mes 12]]</f>
        <v>0</v>
      </c>
      <c r="X855" s="20">
        <f>SUM(Registro[[#This Row],[Trim I]],Registro[[#This Row],[Trim II]],Registro[[#This Row],[Trim III]],Registro[[#This Row],[Trim IV]])</f>
        <v>0</v>
      </c>
      <c r="Y855" s="22">
        <f>IFERROR((Registro[[#This Row],[Avance Total]]/Registro[[#This Row],[Meta]]),0)</f>
        <v>0</v>
      </c>
      <c r="Z855" s="22">
        <f>IFERROR((Registro[[#This Row],[Avance Total]]-Registro[[#This Row],[Línea Base 2025]])/Registro[[#This Row],[Línea Base 2025]],0)</f>
        <v>0</v>
      </c>
      <c r="AA855" s="20">
        <v>2026</v>
      </c>
    </row>
    <row r="856" spans="1:27" hidden="1">
      <c r="A856" s="14">
        <v>1066</v>
      </c>
      <c r="B856" s="15" t="s">
        <v>97</v>
      </c>
      <c r="C856" s="16">
        <v>120</v>
      </c>
      <c r="D856" s="16" t="s">
        <v>192</v>
      </c>
      <c r="E856" s="17" t="s">
        <v>191</v>
      </c>
      <c r="F856" s="24">
        <v>5</v>
      </c>
      <c r="G856" s="19">
        <v>8</v>
      </c>
      <c r="H856" s="19">
        <v>0</v>
      </c>
      <c r="I856" s="19">
        <v>0</v>
      </c>
      <c r="T856" s="19">
        <f>Registro[[#This Row],[Mes 1]]+Registro[[#This Row],[Mes 2]]+Registro[[#This Row],[Mes 3]]</f>
        <v>0</v>
      </c>
      <c r="U856" s="19">
        <f>Registro[[#This Row],[Mes 4]]+Registro[[#This Row],[Mes 5]]+Registro[[#This Row],[Mes 6]]</f>
        <v>0</v>
      </c>
      <c r="V856" s="19">
        <f>Registro[[#This Row],[Mes 7]]+Registro[[#This Row],[Mes 8]]+Registro[[#This Row],[Mes 9]]</f>
        <v>0</v>
      </c>
      <c r="W856" s="20">
        <f>Registro[[#This Row],[Mes 10]]+Registro[[#This Row],[Mes 11]]+Registro[[#This Row],[Mes 12]]</f>
        <v>0</v>
      </c>
      <c r="X856" s="20">
        <f>SUM(Registro[[#This Row],[Trim I]],Registro[[#This Row],[Trim II]],Registro[[#This Row],[Trim III]],Registro[[#This Row],[Trim IV]])</f>
        <v>0</v>
      </c>
      <c r="Y856" s="22">
        <f>IFERROR((Registro[[#This Row],[Avance Total]]/Registro[[#This Row],[Meta]]),0)</f>
        <v>0</v>
      </c>
      <c r="Z856" s="22">
        <f>IFERROR((Registro[[#This Row],[Avance Total]]-Registro[[#This Row],[Línea Base 2025]])/Registro[[#This Row],[Línea Base 2025]],0)</f>
        <v>-1</v>
      </c>
      <c r="AA856" s="20">
        <v>2026</v>
      </c>
    </row>
    <row r="857" spans="1:27" hidden="1">
      <c r="A857" s="14">
        <v>1066</v>
      </c>
      <c r="B857" s="15" t="s">
        <v>97</v>
      </c>
      <c r="C857" s="16">
        <v>121</v>
      </c>
      <c r="D857" s="16" t="s">
        <v>194</v>
      </c>
      <c r="E857" s="17" t="s">
        <v>193</v>
      </c>
      <c r="F857" s="24">
        <v>3</v>
      </c>
      <c r="G857" s="19">
        <v>7</v>
      </c>
      <c r="H857" s="19">
        <v>0</v>
      </c>
      <c r="I857" s="19">
        <v>0</v>
      </c>
      <c r="T857" s="19">
        <f>Registro[[#This Row],[Mes 1]]+Registro[[#This Row],[Mes 2]]+Registro[[#This Row],[Mes 3]]</f>
        <v>0</v>
      </c>
      <c r="U857" s="19">
        <f>Registro[[#This Row],[Mes 4]]+Registro[[#This Row],[Mes 5]]+Registro[[#This Row],[Mes 6]]</f>
        <v>0</v>
      </c>
      <c r="V857" s="19">
        <f>Registro[[#This Row],[Mes 7]]+Registro[[#This Row],[Mes 8]]+Registro[[#This Row],[Mes 9]]</f>
        <v>0</v>
      </c>
      <c r="W857" s="20">
        <f>Registro[[#This Row],[Mes 10]]+Registro[[#This Row],[Mes 11]]+Registro[[#This Row],[Mes 12]]</f>
        <v>0</v>
      </c>
      <c r="X857" s="20">
        <f>SUM(Registro[[#This Row],[Trim I]],Registro[[#This Row],[Trim II]],Registro[[#This Row],[Trim III]],Registro[[#This Row],[Trim IV]])</f>
        <v>0</v>
      </c>
      <c r="Y857" s="22">
        <f>IFERROR((Registro[[#This Row],[Avance Total]]/Registro[[#This Row],[Meta]]),0)</f>
        <v>0</v>
      </c>
      <c r="Z857" s="22">
        <f>IFERROR((Registro[[#This Row],[Avance Total]]-Registro[[#This Row],[Línea Base 2025]])/Registro[[#This Row],[Línea Base 2025]],0)</f>
        <v>-1</v>
      </c>
      <c r="AA857" s="20">
        <v>2026</v>
      </c>
    </row>
    <row r="858" spans="1:27" hidden="1">
      <c r="A858" s="14">
        <v>1066</v>
      </c>
      <c r="B858" s="15" t="s">
        <v>97</v>
      </c>
      <c r="C858" s="16">
        <v>122</v>
      </c>
      <c r="D858" s="16" t="s">
        <v>196</v>
      </c>
      <c r="E858" s="17" t="s">
        <v>195</v>
      </c>
      <c r="F858" s="24">
        <v>2</v>
      </c>
      <c r="G858" s="19">
        <v>3</v>
      </c>
      <c r="H858" s="19">
        <v>0</v>
      </c>
      <c r="I858" s="19">
        <v>0</v>
      </c>
      <c r="T858" s="19">
        <f>Registro[[#This Row],[Mes 1]]+Registro[[#This Row],[Mes 2]]+Registro[[#This Row],[Mes 3]]</f>
        <v>0</v>
      </c>
      <c r="U858" s="19">
        <f>Registro[[#This Row],[Mes 4]]+Registro[[#This Row],[Mes 5]]+Registro[[#This Row],[Mes 6]]</f>
        <v>0</v>
      </c>
      <c r="V858" s="19">
        <f>Registro[[#This Row],[Mes 7]]+Registro[[#This Row],[Mes 8]]+Registro[[#This Row],[Mes 9]]</f>
        <v>0</v>
      </c>
      <c r="W858" s="20">
        <f>Registro[[#This Row],[Mes 10]]+Registro[[#This Row],[Mes 11]]+Registro[[#This Row],[Mes 12]]</f>
        <v>0</v>
      </c>
      <c r="X858" s="20">
        <f>SUM(Registro[[#This Row],[Trim I]],Registro[[#This Row],[Trim II]],Registro[[#This Row],[Trim III]],Registro[[#This Row],[Trim IV]])</f>
        <v>0</v>
      </c>
      <c r="Y858" s="22">
        <f>IFERROR((Registro[[#This Row],[Avance Total]]/Registro[[#This Row],[Meta]]),0)</f>
        <v>0</v>
      </c>
      <c r="Z858" s="22">
        <f>IFERROR((Registro[[#This Row],[Avance Total]]-Registro[[#This Row],[Línea Base 2025]])/Registro[[#This Row],[Línea Base 2025]],0)</f>
        <v>-1</v>
      </c>
      <c r="AA858" s="20">
        <v>2026</v>
      </c>
    </row>
    <row r="859" spans="1:27" hidden="1">
      <c r="A859" s="14">
        <v>1066</v>
      </c>
      <c r="B859" s="15" t="s">
        <v>97</v>
      </c>
      <c r="C859" s="16">
        <v>123</v>
      </c>
      <c r="D859" s="16" t="s">
        <v>198</v>
      </c>
      <c r="E859" s="17" t="s">
        <v>197</v>
      </c>
      <c r="F859" s="24">
        <v>0</v>
      </c>
      <c r="G859" s="19">
        <v>1</v>
      </c>
      <c r="H859" s="19">
        <v>0</v>
      </c>
      <c r="I859" s="19">
        <v>0</v>
      </c>
      <c r="T859" s="19">
        <f>Registro[[#This Row],[Mes 1]]+Registro[[#This Row],[Mes 2]]+Registro[[#This Row],[Mes 3]]</f>
        <v>0</v>
      </c>
      <c r="U859" s="19">
        <f>Registro[[#This Row],[Mes 4]]+Registro[[#This Row],[Mes 5]]+Registro[[#This Row],[Mes 6]]</f>
        <v>0</v>
      </c>
      <c r="V859" s="19">
        <f>Registro[[#This Row],[Mes 7]]+Registro[[#This Row],[Mes 8]]+Registro[[#This Row],[Mes 9]]</f>
        <v>0</v>
      </c>
      <c r="W859" s="20">
        <f>Registro[[#This Row],[Mes 10]]+Registro[[#This Row],[Mes 11]]+Registro[[#This Row],[Mes 12]]</f>
        <v>0</v>
      </c>
      <c r="X859" s="20">
        <f>SUM(Registro[[#This Row],[Trim I]],Registro[[#This Row],[Trim II]],Registro[[#This Row],[Trim III]],Registro[[#This Row],[Trim IV]])</f>
        <v>0</v>
      </c>
      <c r="Y859" s="22">
        <f>IFERROR((Registro[[#This Row],[Avance Total]]/Registro[[#This Row],[Meta]]),0)</f>
        <v>0</v>
      </c>
      <c r="Z859" s="22">
        <f>IFERROR((Registro[[#This Row],[Avance Total]]-Registro[[#This Row],[Línea Base 2025]])/Registro[[#This Row],[Línea Base 2025]],0)</f>
        <v>0</v>
      </c>
      <c r="AA859" s="20">
        <v>2026</v>
      </c>
    </row>
    <row r="860" spans="1:27" hidden="1">
      <c r="A860" s="14">
        <v>1067</v>
      </c>
      <c r="B860" s="15" t="s">
        <v>98</v>
      </c>
      <c r="C860" s="16">
        <v>111</v>
      </c>
      <c r="D860" s="16" t="s">
        <v>171</v>
      </c>
      <c r="E860" s="17" t="s">
        <v>172</v>
      </c>
      <c r="F860" s="24">
        <v>4</v>
      </c>
      <c r="G860" s="19">
        <v>15</v>
      </c>
      <c r="H860" s="19">
        <v>2</v>
      </c>
      <c r="I860" s="19">
        <v>0</v>
      </c>
      <c r="T860" s="19">
        <f>Registro[[#This Row],[Mes 1]]+Registro[[#This Row],[Mes 2]]+Registro[[#This Row],[Mes 3]]</f>
        <v>2</v>
      </c>
      <c r="U860" s="19">
        <f>Registro[[#This Row],[Mes 4]]+Registro[[#This Row],[Mes 5]]+Registro[[#This Row],[Mes 6]]</f>
        <v>0</v>
      </c>
      <c r="V860" s="19">
        <f>Registro[[#This Row],[Mes 7]]+Registro[[#This Row],[Mes 8]]+Registro[[#This Row],[Mes 9]]</f>
        <v>0</v>
      </c>
      <c r="W860" s="20">
        <f>Registro[[#This Row],[Mes 10]]+Registro[[#This Row],[Mes 11]]+Registro[[#This Row],[Mes 12]]</f>
        <v>0</v>
      </c>
      <c r="X860" s="20">
        <f>SUM(Registro[[#This Row],[Trim I]],Registro[[#This Row],[Trim II]],Registro[[#This Row],[Trim III]],Registro[[#This Row],[Trim IV]])</f>
        <v>2</v>
      </c>
      <c r="Y860" s="22">
        <f>IFERROR((Registro[[#This Row],[Avance Total]]/Registro[[#This Row],[Meta]]),0)</f>
        <v>0.13333333333333333</v>
      </c>
      <c r="Z860" s="22">
        <f>IFERROR((Registro[[#This Row],[Avance Total]]-Registro[[#This Row],[Línea Base 2025]])/Registro[[#This Row],[Línea Base 2025]],0)</f>
        <v>-0.5</v>
      </c>
      <c r="AA860" s="20">
        <v>2026</v>
      </c>
    </row>
    <row r="861" spans="1:27" hidden="1">
      <c r="A861" s="14">
        <v>1067</v>
      </c>
      <c r="B861" s="15" t="s">
        <v>98</v>
      </c>
      <c r="C861" s="16">
        <v>112</v>
      </c>
      <c r="D861" s="16" t="s">
        <v>173</v>
      </c>
      <c r="E861" s="17" t="s">
        <v>7</v>
      </c>
      <c r="F861" s="24">
        <v>0</v>
      </c>
      <c r="G861" s="19">
        <v>7</v>
      </c>
      <c r="H861" s="19">
        <v>0</v>
      </c>
      <c r="I861" s="19">
        <v>0</v>
      </c>
      <c r="T861" s="19">
        <f>Registro[[#This Row],[Mes 1]]+Registro[[#This Row],[Mes 2]]+Registro[[#This Row],[Mes 3]]</f>
        <v>0</v>
      </c>
      <c r="U861" s="19">
        <f>Registro[[#This Row],[Mes 4]]+Registro[[#This Row],[Mes 5]]+Registro[[#This Row],[Mes 6]]</f>
        <v>0</v>
      </c>
      <c r="V861" s="19">
        <f>Registro[[#This Row],[Mes 7]]+Registro[[#This Row],[Mes 8]]+Registro[[#This Row],[Mes 9]]</f>
        <v>0</v>
      </c>
      <c r="W861" s="20">
        <f>Registro[[#This Row],[Mes 10]]+Registro[[#This Row],[Mes 11]]+Registro[[#This Row],[Mes 12]]</f>
        <v>0</v>
      </c>
      <c r="X861" s="20">
        <f>SUM(Registro[[#This Row],[Trim I]],Registro[[#This Row],[Trim II]],Registro[[#This Row],[Trim III]],Registro[[#This Row],[Trim IV]])</f>
        <v>0</v>
      </c>
      <c r="Y861" s="22">
        <f>IFERROR((Registro[[#This Row],[Avance Total]]/Registro[[#This Row],[Meta]]),0)</f>
        <v>0</v>
      </c>
      <c r="Z861" s="22">
        <f>IFERROR((Registro[[#This Row],[Avance Total]]-Registro[[#This Row],[Línea Base 2025]])/Registro[[#This Row],[Línea Base 2025]],0)</f>
        <v>0</v>
      </c>
      <c r="AA861" s="20">
        <v>2026</v>
      </c>
    </row>
    <row r="862" spans="1:27" hidden="1">
      <c r="A862" s="14">
        <v>1067</v>
      </c>
      <c r="B862" s="15" t="s">
        <v>98</v>
      </c>
      <c r="C862" s="16">
        <v>113</v>
      </c>
      <c r="D862" s="16" t="s">
        <v>179</v>
      </c>
      <c r="E862" s="17" t="s">
        <v>178</v>
      </c>
      <c r="F862" s="24">
        <v>2</v>
      </c>
      <c r="G862" s="19">
        <v>43</v>
      </c>
      <c r="H862" s="19">
        <v>1</v>
      </c>
      <c r="I862" s="19">
        <v>1</v>
      </c>
      <c r="T862" s="19">
        <f>Registro[[#This Row],[Mes 1]]+Registro[[#This Row],[Mes 2]]+Registro[[#This Row],[Mes 3]]</f>
        <v>2</v>
      </c>
      <c r="U862" s="19">
        <f>Registro[[#This Row],[Mes 4]]+Registro[[#This Row],[Mes 5]]+Registro[[#This Row],[Mes 6]]</f>
        <v>0</v>
      </c>
      <c r="V862" s="19">
        <f>Registro[[#This Row],[Mes 7]]+Registro[[#This Row],[Mes 8]]+Registro[[#This Row],[Mes 9]]</f>
        <v>0</v>
      </c>
      <c r="W862" s="20">
        <f>Registro[[#This Row],[Mes 10]]+Registro[[#This Row],[Mes 11]]+Registro[[#This Row],[Mes 12]]</f>
        <v>0</v>
      </c>
      <c r="X862" s="20">
        <f>SUM(Registro[[#This Row],[Trim I]],Registro[[#This Row],[Trim II]],Registro[[#This Row],[Trim III]],Registro[[#This Row],[Trim IV]])</f>
        <v>2</v>
      </c>
      <c r="Y862" s="22">
        <f>IFERROR((Registro[[#This Row],[Avance Total]]/Registro[[#This Row],[Meta]]),0)</f>
        <v>4.6511627906976744E-2</v>
      </c>
      <c r="Z862" s="22">
        <f>IFERROR((Registro[[#This Row],[Avance Total]]-Registro[[#This Row],[Línea Base 2025]])/Registro[[#This Row],[Línea Base 2025]],0)</f>
        <v>0</v>
      </c>
      <c r="AA862" s="20">
        <v>2026</v>
      </c>
    </row>
    <row r="863" spans="1:27" hidden="1">
      <c r="A863" s="14">
        <v>1067</v>
      </c>
      <c r="B863" s="15" t="s">
        <v>98</v>
      </c>
      <c r="C863" s="16">
        <v>114</v>
      </c>
      <c r="D863" s="16" t="s">
        <v>181</v>
      </c>
      <c r="E863" s="17" t="s">
        <v>180</v>
      </c>
      <c r="F863" s="24">
        <v>0</v>
      </c>
      <c r="G863" s="19">
        <v>44</v>
      </c>
      <c r="H863" s="19">
        <v>25</v>
      </c>
      <c r="I863" s="19">
        <v>0</v>
      </c>
      <c r="T863" s="19">
        <f>Registro[[#This Row],[Mes 1]]+Registro[[#This Row],[Mes 2]]+Registro[[#This Row],[Mes 3]]</f>
        <v>25</v>
      </c>
      <c r="U863" s="19">
        <f>Registro[[#This Row],[Mes 4]]+Registro[[#This Row],[Mes 5]]+Registro[[#This Row],[Mes 6]]</f>
        <v>0</v>
      </c>
      <c r="V863" s="19">
        <f>Registro[[#This Row],[Mes 7]]+Registro[[#This Row],[Mes 8]]+Registro[[#This Row],[Mes 9]]</f>
        <v>0</v>
      </c>
      <c r="W863" s="20">
        <f>Registro[[#This Row],[Mes 10]]+Registro[[#This Row],[Mes 11]]+Registro[[#This Row],[Mes 12]]</f>
        <v>0</v>
      </c>
      <c r="X863" s="20">
        <f>SUM(Registro[[#This Row],[Trim I]],Registro[[#This Row],[Trim II]],Registro[[#This Row],[Trim III]],Registro[[#This Row],[Trim IV]])</f>
        <v>25</v>
      </c>
      <c r="Y863" s="22">
        <f>IFERROR((Registro[[#This Row],[Avance Total]]/Registro[[#This Row],[Meta]]),0)</f>
        <v>0.56818181818181823</v>
      </c>
      <c r="Z863" s="22">
        <f>IFERROR((Registro[[#This Row],[Avance Total]]-Registro[[#This Row],[Línea Base 2025]])/Registro[[#This Row],[Línea Base 2025]],0)</f>
        <v>0</v>
      </c>
      <c r="AA863" s="20">
        <v>2026</v>
      </c>
    </row>
    <row r="864" spans="1:27" hidden="1">
      <c r="A864" s="14">
        <v>1067</v>
      </c>
      <c r="B864" s="15" t="s">
        <v>98</v>
      </c>
      <c r="C864" s="16">
        <v>115</v>
      </c>
      <c r="D864" s="16" t="s">
        <v>183</v>
      </c>
      <c r="E864" s="17" t="s">
        <v>182</v>
      </c>
      <c r="F864" s="24">
        <v>0</v>
      </c>
      <c r="G864" s="19">
        <v>3</v>
      </c>
      <c r="H864" s="19">
        <v>0</v>
      </c>
      <c r="I864" s="19">
        <v>0</v>
      </c>
      <c r="T864" s="19">
        <f>Registro[[#This Row],[Mes 1]]+Registro[[#This Row],[Mes 2]]+Registro[[#This Row],[Mes 3]]</f>
        <v>0</v>
      </c>
      <c r="U864" s="19">
        <f>Registro[[#This Row],[Mes 4]]+Registro[[#This Row],[Mes 5]]+Registro[[#This Row],[Mes 6]]</f>
        <v>0</v>
      </c>
      <c r="V864" s="19">
        <f>Registro[[#This Row],[Mes 7]]+Registro[[#This Row],[Mes 8]]+Registro[[#This Row],[Mes 9]]</f>
        <v>0</v>
      </c>
      <c r="W864" s="20">
        <f>Registro[[#This Row],[Mes 10]]+Registro[[#This Row],[Mes 11]]+Registro[[#This Row],[Mes 12]]</f>
        <v>0</v>
      </c>
      <c r="X864" s="20">
        <f>SUM(Registro[[#This Row],[Trim I]],Registro[[#This Row],[Trim II]],Registro[[#This Row],[Trim III]],Registro[[#This Row],[Trim IV]])</f>
        <v>0</v>
      </c>
      <c r="Y864" s="22">
        <f>IFERROR((Registro[[#This Row],[Avance Total]]/Registro[[#This Row],[Meta]]),0)</f>
        <v>0</v>
      </c>
      <c r="Z864" s="22">
        <f>IFERROR((Registro[[#This Row],[Avance Total]]-Registro[[#This Row],[Línea Base 2025]])/Registro[[#This Row],[Línea Base 2025]],0)</f>
        <v>0</v>
      </c>
      <c r="AA864" s="20">
        <v>2026</v>
      </c>
    </row>
    <row r="865" spans="1:27">
      <c r="A865" s="14">
        <v>1067</v>
      </c>
      <c r="B865" s="15" t="s">
        <v>98</v>
      </c>
      <c r="C865" s="16">
        <v>116</v>
      </c>
      <c r="D865" s="16" t="s">
        <v>185</v>
      </c>
      <c r="E865" s="17" t="s">
        <v>184</v>
      </c>
      <c r="F865" s="24">
        <v>1</v>
      </c>
      <c r="G865" s="19">
        <v>0</v>
      </c>
      <c r="H865" s="19">
        <v>0</v>
      </c>
      <c r="I865" s="19">
        <v>0</v>
      </c>
      <c r="T865" s="19">
        <f>Registro[[#This Row],[Mes 1]]+Registro[[#This Row],[Mes 2]]+Registro[[#This Row],[Mes 3]]</f>
        <v>0</v>
      </c>
      <c r="U865" s="19">
        <f>Registro[[#This Row],[Mes 4]]+Registro[[#This Row],[Mes 5]]+Registro[[#This Row],[Mes 6]]</f>
        <v>0</v>
      </c>
      <c r="V865" s="19">
        <f>Registro[[#This Row],[Mes 7]]+Registro[[#This Row],[Mes 8]]+Registro[[#This Row],[Mes 9]]</f>
        <v>0</v>
      </c>
      <c r="W865" s="20">
        <f>Registro[[#This Row],[Mes 10]]+Registro[[#This Row],[Mes 11]]+Registro[[#This Row],[Mes 12]]</f>
        <v>0</v>
      </c>
      <c r="X865" s="20">
        <f>SUM(Registro[[#This Row],[Trim I]],Registro[[#This Row],[Trim II]],Registro[[#This Row],[Trim III]],Registro[[#This Row],[Trim IV]])</f>
        <v>0</v>
      </c>
      <c r="Y865" s="22">
        <f>IFERROR((Registro[[#This Row],[Avance Total]]/Registro[[#This Row],[Meta]]),0)</f>
        <v>0</v>
      </c>
      <c r="Z865" s="22">
        <f>IFERROR((Registro[[#This Row],[Avance Total]]-Registro[[#This Row],[Línea Base 2025]])/Registro[[#This Row],[Línea Base 2025]],0)</f>
        <v>-1</v>
      </c>
      <c r="AA865" s="20">
        <v>2026</v>
      </c>
    </row>
    <row r="866" spans="1:27" hidden="1">
      <c r="A866" s="14">
        <v>1067</v>
      </c>
      <c r="B866" s="15" t="s">
        <v>98</v>
      </c>
      <c r="C866" s="16">
        <v>117</v>
      </c>
      <c r="D866" s="16" t="s">
        <v>187</v>
      </c>
      <c r="E866" s="17" t="s">
        <v>186</v>
      </c>
      <c r="F866" s="24">
        <v>0</v>
      </c>
      <c r="G866" s="19">
        <v>1</v>
      </c>
      <c r="H866" s="19">
        <v>0</v>
      </c>
      <c r="I866" s="19">
        <v>0</v>
      </c>
      <c r="T866" s="19">
        <f>Registro[[#This Row],[Mes 1]]+Registro[[#This Row],[Mes 2]]+Registro[[#This Row],[Mes 3]]</f>
        <v>0</v>
      </c>
      <c r="U866" s="19">
        <f>Registro[[#This Row],[Mes 4]]+Registro[[#This Row],[Mes 5]]+Registro[[#This Row],[Mes 6]]</f>
        <v>0</v>
      </c>
      <c r="V866" s="19">
        <f>Registro[[#This Row],[Mes 7]]+Registro[[#This Row],[Mes 8]]+Registro[[#This Row],[Mes 9]]</f>
        <v>0</v>
      </c>
      <c r="W866" s="20">
        <f>Registro[[#This Row],[Mes 10]]+Registro[[#This Row],[Mes 11]]+Registro[[#This Row],[Mes 12]]</f>
        <v>0</v>
      </c>
      <c r="X866" s="20">
        <f>SUM(Registro[[#This Row],[Trim I]],Registro[[#This Row],[Trim II]],Registro[[#This Row],[Trim III]],Registro[[#This Row],[Trim IV]])</f>
        <v>0</v>
      </c>
      <c r="Y866" s="22">
        <f>IFERROR((Registro[[#This Row],[Avance Total]]/Registro[[#This Row],[Meta]]),0)</f>
        <v>0</v>
      </c>
      <c r="Z866" s="22">
        <f>IFERROR((Registro[[#This Row],[Avance Total]]-Registro[[#This Row],[Línea Base 2025]])/Registro[[#This Row],[Línea Base 2025]],0)</f>
        <v>0</v>
      </c>
      <c r="AA866" s="20">
        <v>2026</v>
      </c>
    </row>
    <row r="867" spans="1:27" hidden="1">
      <c r="A867" s="14">
        <v>1067</v>
      </c>
      <c r="B867" s="15" t="s">
        <v>98</v>
      </c>
      <c r="C867" s="16">
        <v>118</v>
      </c>
      <c r="D867" s="16" t="s">
        <v>188</v>
      </c>
      <c r="E867" s="17" t="s">
        <v>9</v>
      </c>
      <c r="F867" s="24">
        <v>0</v>
      </c>
      <c r="G867" s="19">
        <v>1</v>
      </c>
      <c r="H867" s="19">
        <v>0</v>
      </c>
      <c r="I867" s="19">
        <v>0</v>
      </c>
      <c r="T867" s="19">
        <f>Registro[[#This Row],[Mes 1]]+Registro[[#This Row],[Mes 2]]+Registro[[#This Row],[Mes 3]]</f>
        <v>0</v>
      </c>
      <c r="U867" s="19">
        <f>Registro[[#This Row],[Mes 4]]+Registro[[#This Row],[Mes 5]]+Registro[[#This Row],[Mes 6]]</f>
        <v>0</v>
      </c>
      <c r="V867" s="19">
        <f>Registro[[#This Row],[Mes 7]]+Registro[[#This Row],[Mes 8]]+Registro[[#This Row],[Mes 9]]</f>
        <v>0</v>
      </c>
      <c r="W867" s="20">
        <f>Registro[[#This Row],[Mes 10]]+Registro[[#This Row],[Mes 11]]+Registro[[#This Row],[Mes 12]]</f>
        <v>0</v>
      </c>
      <c r="X867" s="20">
        <f>SUM(Registro[[#This Row],[Trim I]],Registro[[#This Row],[Trim II]],Registro[[#This Row],[Trim III]],Registro[[#This Row],[Trim IV]])</f>
        <v>0</v>
      </c>
      <c r="Y867" s="22">
        <f>IFERROR((Registro[[#This Row],[Avance Total]]/Registro[[#This Row],[Meta]]),0)</f>
        <v>0</v>
      </c>
      <c r="Z867" s="22">
        <f>IFERROR((Registro[[#This Row],[Avance Total]]-Registro[[#This Row],[Línea Base 2025]])/Registro[[#This Row],[Línea Base 2025]],0)</f>
        <v>0</v>
      </c>
      <c r="AA867" s="20">
        <v>2026</v>
      </c>
    </row>
    <row r="868" spans="1:27" hidden="1">
      <c r="A868" s="14">
        <v>1067</v>
      </c>
      <c r="B868" s="15" t="s">
        <v>98</v>
      </c>
      <c r="C868" s="16">
        <v>119</v>
      </c>
      <c r="D868" s="16" t="s">
        <v>190</v>
      </c>
      <c r="E868" s="17" t="s">
        <v>189</v>
      </c>
      <c r="F868" s="24">
        <v>0</v>
      </c>
      <c r="G868" s="19">
        <v>0</v>
      </c>
      <c r="H868" s="19">
        <v>0</v>
      </c>
      <c r="I868" s="19">
        <v>0</v>
      </c>
      <c r="T868" s="19">
        <f>Registro[[#This Row],[Mes 1]]+Registro[[#This Row],[Mes 2]]+Registro[[#This Row],[Mes 3]]</f>
        <v>0</v>
      </c>
      <c r="U868" s="19">
        <f>Registro[[#This Row],[Mes 4]]+Registro[[#This Row],[Mes 5]]+Registro[[#This Row],[Mes 6]]</f>
        <v>0</v>
      </c>
      <c r="V868" s="19">
        <f>Registro[[#This Row],[Mes 7]]+Registro[[#This Row],[Mes 8]]+Registro[[#This Row],[Mes 9]]</f>
        <v>0</v>
      </c>
      <c r="W868" s="20">
        <f>Registro[[#This Row],[Mes 10]]+Registro[[#This Row],[Mes 11]]+Registro[[#This Row],[Mes 12]]</f>
        <v>0</v>
      </c>
      <c r="X868" s="20">
        <f>SUM(Registro[[#This Row],[Trim I]],Registro[[#This Row],[Trim II]],Registro[[#This Row],[Trim III]],Registro[[#This Row],[Trim IV]])</f>
        <v>0</v>
      </c>
      <c r="Y868" s="22">
        <f>IFERROR((Registro[[#This Row],[Avance Total]]/Registro[[#This Row],[Meta]]),0)</f>
        <v>0</v>
      </c>
      <c r="Z868" s="22">
        <f>IFERROR((Registro[[#This Row],[Avance Total]]-Registro[[#This Row],[Línea Base 2025]])/Registro[[#This Row],[Línea Base 2025]],0)</f>
        <v>0</v>
      </c>
      <c r="AA868" s="20">
        <v>2026</v>
      </c>
    </row>
    <row r="869" spans="1:27" hidden="1">
      <c r="A869" s="14">
        <v>1067</v>
      </c>
      <c r="B869" s="15" t="s">
        <v>98</v>
      </c>
      <c r="C869" s="16">
        <v>120</v>
      </c>
      <c r="D869" s="16" t="s">
        <v>192</v>
      </c>
      <c r="E869" s="17" t="s">
        <v>191</v>
      </c>
      <c r="F869" s="24">
        <v>2</v>
      </c>
      <c r="G869" s="19">
        <v>72</v>
      </c>
      <c r="H869" s="19">
        <v>3</v>
      </c>
      <c r="I869" s="19">
        <v>48</v>
      </c>
      <c r="T869" s="19">
        <f>Registro[[#This Row],[Mes 1]]+Registro[[#This Row],[Mes 2]]+Registro[[#This Row],[Mes 3]]</f>
        <v>51</v>
      </c>
      <c r="U869" s="19">
        <f>Registro[[#This Row],[Mes 4]]+Registro[[#This Row],[Mes 5]]+Registro[[#This Row],[Mes 6]]</f>
        <v>0</v>
      </c>
      <c r="V869" s="19">
        <f>Registro[[#This Row],[Mes 7]]+Registro[[#This Row],[Mes 8]]+Registro[[#This Row],[Mes 9]]</f>
        <v>0</v>
      </c>
      <c r="W869" s="20">
        <f>Registro[[#This Row],[Mes 10]]+Registro[[#This Row],[Mes 11]]+Registro[[#This Row],[Mes 12]]</f>
        <v>0</v>
      </c>
      <c r="X869" s="20">
        <f>SUM(Registro[[#This Row],[Trim I]],Registro[[#This Row],[Trim II]],Registro[[#This Row],[Trim III]],Registro[[#This Row],[Trim IV]])</f>
        <v>51</v>
      </c>
      <c r="Y869" s="22">
        <f>IFERROR((Registro[[#This Row],[Avance Total]]/Registro[[#This Row],[Meta]]),0)</f>
        <v>0.70833333333333337</v>
      </c>
      <c r="Z869" s="22">
        <f>IFERROR((Registro[[#This Row],[Avance Total]]-Registro[[#This Row],[Línea Base 2025]])/Registro[[#This Row],[Línea Base 2025]],0)</f>
        <v>24.5</v>
      </c>
      <c r="AA869" s="20">
        <v>2026</v>
      </c>
    </row>
    <row r="870" spans="1:27" hidden="1">
      <c r="A870" s="14">
        <v>1067</v>
      </c>
      <c r="B870" s="15" t="s">
        <v>98</v>
      </c>
      <c r="C870" s="16">
        <v>121</v>
      </c>
      <c r="D870" s="16" t="s">
        <v>194</v>
      </c>
      <c r="E870" s="17" t="s">
        <v>193</v>
      </c>
      <c r="F870" s="24">
        <v>0</v>
      </c>
      <c r="G870" s="19">
        <v>4</v>
      </c>
      <c r="H870" s="19">
        <v>0</v>
      </c>
      <c r="I870" s="19">
        <v>0</v>
      </c>
      <c r="T870" s="19">
        <f>Registro[[#This Row],[Mes 1]]+Registro[[#This Row],[Mes 2]]+Registro[[#This Row],[Mes 3]]</f>
        <v>0</v>
      </c>
      <c r="U870" s="19">
        <f>Registro[[#This Row],[Mes 4]]+Registro[[#This Row],[Mes 5]]+Registro[[#This Row],[Mes 6]]</f>
        <v>0</v>
      </c>
      <c r="V870" s="19">
        <f>Registro[[#This Row],[Mes 7]]+Registro[[#This Row],[Mes 8]]+Registro[[#This Row],[Mes 9]]</f>
        <v>0</v>
      </c>
      <c r="W870" s="20">
        <f>Registro[[#This Row],[Mes 10]]+Registro[[#This Row],[Mes 11]]+Registro[[#This Row],[Mes 12]]</f>
        <v>0</v>
      </c>
      <c r="X870" s="20">
        <f>SUM(Registro[[#This Row],[Trim I]],Registro[[#This Row],[Trim II]],Registro[[#This Row],[Trim III]],Registro[[#This Row],[Trim IV]])</f>
        <v>0</v>
      </c>
      <c r="Y870" s="22">
        <f>IFERROR((Registro[[#This Row],[Avance Total]]/Registro[[#This Row],[Meta]]),0)</f>
        <v>0</v>
      </c>
      <c r="Z870" s="22">
        <f>IFERROR((Registro[[#This Row],[Avance Total]]-Registro[[#This Row],[Línea Base 2025]])/Registro[[#This Row],[Línea Base 2025]],0)</f>
        <v>0</v>
      </c>
      <c r="AA870" s="20">
        <v>2026</v>
      </c>
    </row>
    <row r="871" spans="1:27" hidden="1">
      <c r="A871" s="14">
        <v>1067</v>
      </c>
      <c r="B871" s="15" t="s">
        <v>98</v>
      </c>
      <c r="C871" s="16">
        <v>122</v>
      </c>
      <c r="D871" s="16" t="s">
        <v>196</v>
      </c>
      <c r="E871" s="17" t="s">
        <v>195</v>
      </c>
      <c r="F871" s="24">
        <v>4</v>
      </c>
      <c r="G871" s="19">
        <v>4</v>
      </c>
      <c r="H871" s="19">
        <v>0</v>
      </c>
      <c r="I871" s="19">
        <v>0</v>
      </c>
      <c r="T871" s="19">
        <f>Registro[[#This Row],[Mes 1]]+Registro[[#This Row],[Mes 2]]+Registro[[#This Row],[Mes 3]]</f>
        <v>0</v>
      </c>
      <c r="U871" s="19">
        <f>Registro[[#This Row],[Mes 4]]+Registro[[#This Row],[Mes 5]]+Registro[[#This Row],[Mes 6]]</f>
        <v>0</v>
      </c>
      <c r="V871" s="19">
        <f>Registro[[#This Row],[Mes 7]]+Registro[[#This Row],[Mes 8]]+Registro[[#This Row],[Mes 9]]</f>
        <v>0</v>
      </c>
      <c r="W871" s="20">
        <f>Registro[[#This Row],[Mes 10]]+Registro[[#This Row],[Mes 11]]+Registro[[#This Row],[Mes 12]]</f>
        <v>0</v>
      </c>
      <c r="X871" s="20">
        <f>SUM(Registro[[#This Row],[Trim I]],Registro[[#This Row],[Trim II]],Registro[[#This Row],[Trim III]],Registro[[#This Row],[Trim IV]])</f>
        <v>0</v>
      </c>
      <c r="Y871" s="22">
        <f>IFERROR((Registro[[#This Row],[Avance Total]]/Registro[[#This Row],[Meta]]),0)</f>
        <v>0</v>
      </c>
      <c r="Z871" s="22">
        <f>IFERROR((Registro[[#This Row],[Avance Total]]-Registro[[#This Row],[Línea Base 2025]])/Registro[[#This Row],[Línea Base 2025]],0)</f>
        <v>-1</v>
      </c>
      <c r="AA871" s="20">
        <v>2026</v>
      </c>
    </row>
    <row r="872" spans="1:27" hidden="1">
      <c r="A872" s="14">
        <v>1067</v>
      </c>
      <c r="B872" s="15" t="s">
        <v>98</v>
      </c>
      <c r="C872" s="16">
        <v>123</v>
      </c>
      <c r="D872" s="16" t="s">
        <v>198</v>
      </c>
      <c r="E872" s="17" t="s">
        <v>197</v>
      </c>
      <c r="F872" s="24">
        <v>0</v>
      </c>
      <c r="G872" s="19">
        <v>1</v>
      </c>
      <c r="H872" s="19">
        <v>0</v>
      </c>
      <c r="I872" s="19">
        <v>0</v>
      </c>
      <c r="T872" s="19">
        <f>Registro[[#This Row],[Mes 1]]+Registro[[#This Row],[Mes 2]]+Registro[[#This Row],[Mes 3]]</f>
        <v>0</v>
      </c>
      <c r="U872" s="19">
        <f>Registro[[#This Row],[Mes 4]]+Registro[[#This Row],[Mes 5]]+Registro[[#This Row],[Mes 6]]</f>
        <v>0</v>
      </c>
      <c r="V872" s="19">
        <f>Registro[[#This Row],[Mes 7]]+Registro[[#This Row],[Mes 8]]+Registro[[#This Row],[Mes 9]]</f>
        <v>0</v>
      </c>
      <c r="W872" s="20">
        <f>Registro[[#This Row],[Mes 10]]+Registro[[#This Row],[Mes 11]]+Registro[[#This Row],[Mes 12]]</f>
        <v>0</v>
      </c>
      <c r="X872" s="20">
        <f>SUM(Registro[[#This Row],[Trim I]],Registro[[#This Row],[Trim II]],Registro[[#This Row],[Trim III]],Registro[[#This Row],[Trim IV]])</f>
        <v>0</v>
      </c>
      <c r="Y872" s="22">
        <f>IFERROR((Registro[[#This Row],[Avance Total]]/Registro[[#This Row],[Meta]]),0)</f>
        <v>0</v>
      </c>
      <c r="Z872" s="22">
        <f>IFERROR((Registro[[#This Row],[Avance Total]]-Registro[[#This Row],[Línea Base 2025]])/Registro[[#This Row],[Línea Base 2025]],0)</f>
        <v>0</v>
      </c>
      <c r="AA872" s="20">
        <v>2026</v>
      </c>
    </row>
    <row r="873" spans="1:27" hidden="1">
      <c r="A873" s="14">
        <v>1068</v>
      </c>
      <c r="B873" s="15" t="s">
        <v>13</v>
      </c>
      <c r="C873" s="16">
        <v>111</v>
      </c>
      <c r="D873" s="16" t="s">
        <v>171</v>
      </c>
      <c r="E873" s="17" t="s">
        <v>172</v>
      </c>
      <c r="F873" s="24">
        <v>4</v>
      </c>
      <c r="G873" s="19">
        <v>152</v>
      </c>
      <c r="H873" s="19">
        <v>0</v>
      </c>
      <c r="I873" s="19">
        <v>0</v>
      </c>
      <c r="T873" s="19">
        <f>Registro[[#This Row],[Mes 1]]+Registro[[#This Row],[Mes 2]]+Registro[[#This Row],[Mes 3]]</f>
        <v>0</v>
      </c>
      <c r="U873" s="19">
        <f>Registro[[#This Row],[Mes 4]]+Registro[[#This Row],[Mes 5]]+Registro[[#This Row],[Mes 6]]</f>
        <v>0</v>
      </c>
      <c r="V873" s="19">
        <f>Registro[[#This Row],[Mes 7]]+Registro[[#This Row],[Mes 8]]+Registro[[#This Row],[Mes 9]]</f>
        <v>0</v>
      </c>
      <c r="W873" s="20">
        <f>Registro[[#This Row],[Mes 10]]+Registro[[#This Row],[Mes 11]]+Registro[[#This Row],[Mes 12]]</f>
        <v>0</v>
      </c>
      <c r="X873" s="20">
        <f>SUM(Registro[[#This Row],[Trim I]],Registro[[#This Row],[Trim II]],Registro[[#This Row],[Trim III]],Registro[[#This Row],[Trim IV]])</f>
        <v>0</v>
      </c>
      <c r="Y873" s="22">
        <f>IFERROR((Registro[[#This Row],[Avance Total]]/Registro[[#This Row],[Meta]]),0)</f>
        <v>0</v>
      </c>
      <c r="Z873" s="22">
        <f>IFERROR((Registro[[#This Row],[Avance Total]]-Registro[[#This Row],[Línea Base 2025]])/Registro[[#This Row],[Línea Base 2025]],0)</f>
        <v>-1</v>
      </c>
      <c r="AA873" s="20">
        <v>2026</v>
      </c>
    </row>
    <row r="874" spans="1:27" hidden="1">
      <c r="A874" s="14">
        <v>1068</v>
      </c>
      <c r="B874" s="15" t="s">
        <v>13</v>
      </c>
      <c r="C874" s="16">
        <v>112</v>
      </c>
      <c r="D874" s="16" t="s">
        <v>173</v>
      </c>
      <c r="E874" s="17" t="s">
        <v>7</v>
      </c>
      <c r="F874" s="24">
        <v>1</v>
      </c>
      <c r="G874" s="19">
        <v>0</v>
      </c>
      <c r="H874" s="19">
        <v>0</v>
      </c>
      <c r="I874" s="19">
        <v>0</v>
      </c>
      <c r="T874" s="19">
        <f>Registro[[#This Row],[Mes 1]]+Registro[[#This Row],[Mes 2]]+Registro[[#This Row],[Mes 3]]</f>
        <v>0</v>
      </c>
      <c r="U874" s="19">
        <f>Registro[[#This Row],[Mes 4]]+Registro[[#This Row],[Mes 5]]+Registro[[#This Row],[Mes 6]]</f>
        <v>0</v>
      </c>
      <c r="V874" s="19">
        <f>Registro[[#This Row],[Mes 7]]+Registro[[#This Row],[Mes 8]]+Registro[[#This Row],[Mes 9]]</f>
        <v>0</v>
      </c>
      <c r="W874" s="20">
        <f>Registro[[#This Row],[Mes 10]]+Registro[[#This Row],[Mes 11]]+Registro[[#This Row],[Mes 12]]</f>
        <v>0</v>
      </c>
      <c r="X874" s="20">
        <f>SUM(Registro[[#This Row],[Trim I]],Registro[[#This Row],[Trim II]],Registro[[#This Row],[Trim III]],Registro[[#This Row],[Trim IV]])</f>
        <v>0</v>
      </c>
      <c r="Y874" s="22">
        <f>IFERROR((Registro[[#This Row],[Avance Total]]/Registro[[#This Row],[Meta]]),0)</f>
        <v>0</v>
      </c>
      <c r="Z874" s="22">
        <f>IFERROR((Registro[[#This Row],[Avance Total]]-Registro[[#This Row],[Línea Base 2025]])/Registro[[#This Row],[Línea Base 2025]],0)</f>
        <v>-1</v>
      </c>
      <c r="AA874" s="20">
        <v>2026</v>
      </c>
    </row>
    <row r="875" spans="1:27" hidden="1">
      <c r="A875" s="14">
        <v>1068</v>
      </c>
      <c r="B875" s="15" t="s">
        <v>13</v>
      </c>
      <c r="C875" s="16">
        <v>113</v>
      </c>
      <c r="D875" s="16" t="s">
        <v>179</v>
      </c>
      <c r="E875" s="17" t="s">
        <v>178</v>
      </c>
      <c r="F875" s="24">
        <v>3</v>
      </c>
      <c r="G875" s="19">
        <v>97</v>
      </c>
      <c r="H875" s="19">
        <v>0</v>
      </c>
      <c r="I875" s="19">
        <v>0</v>
      </c>
      <c r="T875" s="19">
        <f>Registro[[#This Row],[Mes 1]]+Registro[[#This Row],[Mes 2]]+Registro[[#This Row],[Mes 3]]</f>
        <v>0</v>
      </c>
      <c r="U875" s="19">
        <f>Registro[[#This Row],[Mes 4]]+Registro[[#This Row],[Mes 5]]+Registro[[#This Row],[Mes 6]]</f>
        <v>0</v>
      </c>
      <c r="V875" s="19">
        <f>Registro[[#This Row],[Mes 7]]+Registro[[#This Row],[Mes 8]]+Registro[[#This Row],[Mes 9]]</f>
        <v>0</v>
      </c>
      <c r="W875" s="20">
        <f>Registro[[#This Row],[Mes 10]]+Registro[[#This Row],[Mes 11]]+Registro[[#This Row],[Mes 12]]</f>
        <v>0</v>
      </c>
      <c r="X875" s="20">
        <f>SUM(Registro[[#This Row],[Trim I]],Registro[[#This Row],[Trim II]],Registro[[#This Row],[Trim III]],Registro[[#This Row],[Trim IV]])</f>
        <v>0</v>
      </c>
      <c r="Y875" s="22">
        <f>IFERROR((Registro[[#This Row],[Avance Total]]/Registro[[#This Row],[Meta]]),0)</f>
        <v>0</v>
      </c>
      <c r="Z875" s="22">
        <f>IFERROR((Registro[[#This Row],[Avance Total]]-Registro[[#This Row],[Línea Base 2025]])/Registro[[#This Row],[Línea Base 2025]],0)</f>
        <v>-1</v>
      </c>
      <c r="AA875" s="20">
        <v>2026</v>
      </c>
    </row>
    <row r="876" spans="1:27" hidden="1">
      <c r="A876" s="14">
        <v>1068</v>
      </c>
      <c r="B876" s="15" t="s">
        <v>13</v>
      </c>
      <c r="C876" s="16">
        <v>114</v>
      </c>
      <c r="D876" s="16" t="s">
        <v>181</v>
      </c>
      <c r="E876" s="17" t="s">
        <v>180</v>
      </c>
      <c r="F876" s="24">
        <v>0</v>
      </c>
      <c r="G876" s="19">
        <v>0</v>
      </c>
      <c r="H876" s="19">
        <v>0</v>
      </c>
      <c r="I876" s="19">
        <v>0</v>
      </c>
      <c r="T876" s="19">
        <f>Registro[[#This Row],[Mes 1]]+Registro[[#This Row],[Mes 2]]+Registro[[#This Row],[Mes 3]]</f>
        <v>0</v>
      </c>
      <c r="U876" s="19">
        <f>Registro[[#This Row],[Mes 4]]+Registro[[#This Row],[Mes 5]]+Registro[[#This Row],[Mes 6]]</f>
        <v>0</v>
      </c>
      <c r="V876" s="19">
        <f>Registro[[#This Row],[Mes 7]]+Registro[[#This Row],[Mes 8]]+Registro[[#This Row],[Mes 9]]</f>
        <v>0</v>
      </c>
      <c r="W876" s="20">
        <f>Registro[[#This Row],[Mes 10]]+Registro[[#This Row],[Mes 11]]+Registro[[#This Row],[Mes 12]]</f>
        <v>0</v>
      </c>
      <c r="X876" s="20">
        <f>SUM(Registro[[#This Row],[Trim I]],Registro[[#This Row],[Trim II]],Registro[[#This Row],[Trim III]],Registro[[#This Row],[Trim IV]])</f>
        <v>0</v>
      </c>
      <c r="Y876" s="22">
        <f>IFERROR((Registro[[#This Row],[Avance Total]]/Registro[[#This Row],[Meta]]),0)</f>
        <v>0</v>
      </c>
      <c r="Z876" s="22">
        <f>IFERROR((Registro[[#This Row],[Avance Total]]-Registro[[#This Row],[Línea Base 2025]])/Registro[[#This Row],[Línea Base 2025]],0)</f>
        <v>0</v>
      </c>
      <c r="AA876" s="20">
        <v>2026</v>
      </c>
    </row>
    <row r="877" spans="1:27" hidden="1">
      <c r="A877" s="14">
        <v>1068</v>
      </c>
      <c r="B877" s="15" t="s">
        <v>13</v>
      </c>
      <c r="C877" s="16">
        <v>115</v>
      </c>
      <c r="D877" s="16" t="s">
        <v>183</v>
      </c>
      <c r="E877" s="17" t="s">
        <v>182</v>
      </c>
      <c r="F877" s="24">
        <v>0</v>
      </c>
      <c r="G877" s="19">
        <v>0</v>
      </c>
      <c r="H877" s="19">
        <v>0</v>
      </c>
      <c r="I877" s="19">
        <v>0</v>
      </c>
      <c r="T877" s="19">
        <f>Registro[[#This Row],[Mes 1]]+Registro[[#This Row],[Mes 2]]+Registro[[#This Row],[Mes 3]]</f>
        <v>0</v>
      </c>
      <c r="U877" s="19">
        <f>Registro[[#This Row],[Mes 4]]+Registro[[#This Row],[Mes 5]]+Registro[[#This Row],[Mes 6]]</f>
        <v>0</v>
      </c>
      <c r="V877" s="19">
        <f>Registro[[#This Row],[Mes 7]]+Registro[[#This Row],[Mes 8]]+Registro[[#This Row],[Mes 9]]</f>
        <v>0</v>
      </c>
      <c r="W877" s="20">
        <f>Registro[[#This Row],[Mes 10]]+Registro[[#This Row],[Mes 11]]+Registro[[#This Row],[Mes 12]]</f>
        <v>0</v>
      </c>
      <c r="X877" s="20">
        <f>SUM(Registro[[#This Row],[Trim I]],Registro[[#This Row],[Trim II]],Registro[[#This Row],[Trim III]],Registro[[#This Row],[Trim IV]])</f>
        <v>0</v>
      </c>
      <c r="Y877" s="22">
        <f>IFERROR((Registro[[#This Row],[Avance Total]]/Registro[[#This Row],[Meta]]),0)</f>
        <v>0</v>
      </c>
      <c r="Z877" s="22">
        <f>IFERROR((Registro[[#This Row],[Avance Total]]-Registro[[#This Row],[Línea Base 2025]])/Registro[[#This Row],[Línea Base 2025]],0)</f>
        <v>0</v>
      </c>
      <c r="AA877" s="20">
        <v>2026</v>
      </c>
    </row>
    <row r="878" spans="1:27">
      <c r="A878" s="14">
        <v>1068</v>
      </c>
      <c r="B878" s="15" t="s">
        <v>13</v>
      </c>
      <c r="C878" s="16">
        <v>116</v>
      </c>
      <c r="D878" s="16" t="s">
        <v>185</v>
      </c>
      <c r="E878" s="17" t="s">
        <v>184</v>
      </c>
      <c r="F878" s="24">
        <v>0</v>
      </c>
      <c r="G878" s="19">
        <v>1</v>
      </c>
      <c r="H878" s="19">
        <v>0</v>
      </c>
      <c r="I878" s="19">
        <v>0</v>
      </c>
      <c r="T878" s="19">
        <f>Registro[[#This Row],[Mes 1]]+Registro[[#This Row],[Mes 2]]+Registro[[#This Row],[Mes 3]]</f>
        <v>0</v>
      </c>
      <c r="U878" s="19">
        <f>Registro[[#This Row],[Mes 4]]+Registro[[#This Row],[Mes 5]]+Registro[[#This Row],[Mes 6]]</f>
        <v>0</v>
      </c>
      <c r="V878" s="19">
        <f>Registro[[#This Row],[Mes 7]]+Registro[[#This Row],[Mes 8]]+Registro[[#This Row],[Mes 9]]</f>
        <v>0</v>
      </c>
      <c r="W878" s="20">
        <f>Registro[[#This Row],[Mes 10]]+Registro[[#This Row],[Mes 11]]+Registro[[#This Row],[Mes 12]]</f>
        <v>0</v>
      </c>
      <c r="X878" s="20">
        <f>SUM(Registro[[#This Row],[Trim I]],Registro[[#This Row],[Trim II]],Registro[[#This Row],[Trim III]],Registro[[#This Row],[Trim IV]])</f>
        <v>0</v>
      </c>
      <c r="Y878" s="22">
        <f>IFERROR((Registro[[#This Row],[Avance Total]]/Registro[[#This Row],[Meta]]),0)</f>
        <v>0</v>
      </c>
      <c r="Z878" s="22">
        <f>IFERROR((Registro[[#This Row],[Avance Total]]-Registro[[#This Row],[Línea Base 2025]])/Registro[[#This Row],[Línea Base 2025]],0)</f>
        <v>0</v>
      </c>
      <c r="AA878" s="20">
        <v>2026</v>
      </c>
    </row>
    <row r="879" spans="1:27" hidden="1">
      <c r="A879" s="14">
        <v>1068</v>
      </c>
      <c r="B879" s="15" t="s">
        <v>13</v>
      </c>
      <c r="C879" s="16">
        <v>117</v>
      </c>
      <c r="D879" s="16" t="s">
        <v>187</v>
      </c>
      <c r="E879" s="17" t="s">
        <v>186</v>
      </c>
      <c r="F879" s="24">
        <v>0</v>
      </c>
      <c r="G879" s="19">
        <v>0</v>
      </c>
      <c r="H879" s="19">
        <v>0</v>
      </c>
      <c r="I879" s="19">
        <v>0</v>
      </c>
      <c r="T879" s="19">
        <f>Registro[[#This Row],[Mes 1]]+Registro[[#This Row],[Mes 2]]+Registro[[#This Row],[Mes 3]]</f>
        <v>0</v>
      </c>
      <c r="U879" s="19">
        <f>Registro[[#This Row],[Mes 4]]+Registro[[#This Row],[Mes 5]]+Registro[[#This Row],[Mes 6]]</f>
        <v>0</v>
      </c>
      <c r="V879" s="19">
        <f>Registro[[#This Row],[Mes 7]]+Registro[[#This Row],[Mes 8]]+Registro[[#This Row],[Mes 9]]</f>
        <v>0</v>
      </c>
      <c r="W879" s="20">
        <f>Registro[[#This Row],[Mes 10]]+Registro[[#This Row],[Mes 11]]+Registro[[#This Row],[Mes 12]]</f>
        <v>0</v>
      </c>
      <c r="X879" s="20">
        <f>SUM(Registro[[#This Row],[Trim I]],Registro[[#This Row],[Trim II]],Registro[[#This Row],[Trim III]],Registro[[#This Row],[Trim IV]])</f>
        <v>0</v>
      </c>
      <c r="Y879" s="22">
        <f>IFERROR((Registro[[#This Row],[Avance Total]]/Registro[[#This Row],[Meta]]),0)</f>
        <v>0</v>
      </c>
      <c r="Z879" s="22">
        <f>IFERROR((Registro[[#This Row],[Avance Total]]-Registro[[#This Row],[Línea Base 2025]])/Registro[[#This Row],[Línea Base 2025]],0)</f>
        <v>0</v>
      </c>
      <c r="AA879" s="20">
        <v>2026</v>
      </c>
    </row>
    <row r="880" spans="1:27" hidden="1">
      <c r="A880" s="14">
        <v>1068</v>
      </c>
      <c r="B880" s="15" t="s">
        <v>13</v>
      </c>
      <c r="C880" s="16">
        <v>118</v>
      </c>
      <c r="D880" s="16" t="s">
        <v>188</v>
      </c>
      <c r="E880" s="17" t="s">
        <v>9</v>
      </c>
      <c r="F880" s="24">
        <v>0</v>
      </c>
      <c r="G880" s="19">
        <v>0</v>
      </c>
      <c r="H880" s="19">
        <v>0</v>
      </c>
      <c r="I880" s="19">
        <v>0</v>
      </c>
      <c r="T880" s="19">
        <f>Registro[[#This Row],[Mes 1]]+Registro[[#This Row],[Mes 2]]+Registro[[#This Row],[Mes 3]]</f>
        <v>0</v>
      </c>
      <c r="U880" s="19">
        <f>Registro[[#This Row],[Mes 4]]+Registro[[#This Row],[Mes 5]]+Registro[[#This Row],[Mes 6]]</f>
        <v>0</v>
      </c>
      <c r="V880" s="19">
        <f>Registro[[#This Row],[Mes 7]]+Registro[[#This Row],[Mes 8]]+Registro[[#This Row],[Mes 9]]</f>
        <v>0</v>
      </c>
      <c r="W880" s="20">
        <f>Registro[[#This Row],[Mes 10]]+Registro[[#This Row],[Mes 11]]+Registro[[#This Row],[Mes 12]]</f>
        <v>0</v>
      </c>
      <c r="X880" s="20">
        <f>SUM(Registro[[#This Row],[Trim I]],Registro[[#This Row],[Trim II]],Registro[[#This Row],[Trim III]],Registro[[#This Row],[Trim IV]])</f>
        <v>0</v>
      </c>
      <c r="Y880" s="22">
        <f>IFERROR((Registro[[#This Row],[Avance Total]]/Registro[[#This Row],[Meta]]),0)</f>
        <v>0</v>
      </c>
      <c r="Z880" s="22">
        <f>IFERROR((Registro[[#This Row],[Avance Total]]-Registro[[#This Row],[Línea Base 2025]])/Registro[[#This Row],[Línea Base 2025]],0)</f>
        <v>0</v>
      </c>
      <c r="AA880" s="20">
        <v>2026</v>
      </c>
    </row>
    <row r="881" spans="1:27" hidden="1">
      <c r="A881" s="14">
        <v>1068</v>
      </c>
      <c r="B881" s="15" t="s">
        <v>13</v>
      </c>
      <c r="C881" s="16">
        <v>119</v>
      </c>
      <c r="D881" s="16" t="s">
        <v>190</v>
      </c>
      <c r="E881" s="17" t="s">
        <v>189</v>
      </c>
      <c r="F881" s="24">
        <v>0</v>
      </c>
      <c r="G881" s="19">
        <v>1</v>
      </c>
      <c r="H881" s="19">
        <v>0</v>
      </c>
      <c r="I881" s="19">
        <v>0</v>
      </c>
      <c r="T881" s="19">
        <f>Registro[[#This Row],[Mes 1]]+Registro[[#This Row],[Mes 2]]+Registro[[#This Row],[Mes 3]]</f>
        <v>0</v>
      </c>
      <c r="U881" s="19">
        <f>Registro[[#This Row],[Mes 4]]+Registro[[#This Row],[Mes 5]]+Registro[[#This Row],[Mes 6]]</f>
        <v>0</v>
      </c>
      <c r="V881" s="19">
        <f>Registro[[#This Row],[Mes 7]]+Registro[[#This Row],[Mes 8]]+Registro[[#This Row],[Mes 9]]</f>
        <v>0</v>
      </c>
      <c r="W881" s="20">
        <f>Registro[[#This Row],[Mes 10]]+Registro[[#This Row],[Mes 11]]+Registro[[#This Row],[Mes 12]]</f>
        <v>0</v>
      </c>
      <c r="X881" s="20">
        <f>SUM(Registro[[#This Row],[Trim I]],Registro[[#This Row],[Trim II]],Registro[[#This Row],[Trim III]],Registro[[#This Row],[Trim IV]])</f>
        <v>0</v>
      </c>
      <c r="Y881" s="22">
        <f>IFERROR((Registro[[#This Row],[Avance Total]]/Registro[[#This Row],[Meta]]),0)</f>
        <v>0</v>
      </c>
      <c r="Z881" s="22">
        <f>IFERROR((Registro[[#This Row],[Avance Total]]-Registro[[#This Row],[Línea Base 2025]])/Registro[[#This Row],[Línea Base 2025]],0)</f>
        <v>0</v>
      </c>
      <c r="AA881" s="20">
        <v>2026</v>
      </c>
    </row>
    <row r="882" spans="1:27" hidden="1">
      <c r="A882" s="14">
        <v>1068</v>
      </c>
      <c r="B882" s="15" t="s">
        <v>13</v>
      </c>
      <c r="C882" s="16">
        <v>120</v>
      </c>
      <c r="D882" s="16" t="s">
        <v>192</v>
      </c>
      <c r="E882" s="17" t="s">
        <v>191</v>
      </c>
      <c r="F882" s="24">
        <v>0</v>
      </c>
      <c r="G882" s="19">
        <v>0</v>
      </c>
      <c r="H882" s="19">
        <v>0</v>
      </c>
      <c r="I882" s="19">
        <v>0</v>
      </c>
      <c r="T882" s="19">
        <f>Registro[[#This Row],[Mes 1]]+Registro[[#This Row],[Mes 2]]+Registro[[#This Row],[Mes 3]]</f>
        <v>0</v>
      </c>
      <c r="U882" s="19">
        <f>Registro[[#This Row],[Mes 4]]+Registro[[#This Row],[Mes 5]]+Registro[[#This Row],[Mes 6]]</f>
        <v>0</v>
      </c>
      <c r="V882" s="19">
        <f>Registro[[#This Row],[Mes 7]]+Registro[[#This Row],[Mes 8]]+Registro[[#This Row],[Mes 9]]</f>
        <v>0</v>
      </c>
      <c r="W882" s="20">
        <f>Registro[[#This Row],[Mes 10]]+Registro[[#This Row],[Mes 11]]+Registro[[#This Row],[Mes 12]]</f>
        <v>0</v>
      </c>
      <c r="X882" s="20">
        <f>SUM(Registro[[#This Row],[Trim I]],Registro[[#This Row],[Trim II]],Registro[[#This Row],[Trim III]],Registro[[#This Row],[Trim IV]])</f>
        <v>0</v>
      </c>
      <c r="Y882" s="22">
        <f>IFERROR((Registro[[#This Row],[Avance Total]]/Registro[[#This Row],[Meta]]),0)</f>
        <v>0</v>
      </c>
      <c r="Z882" s="22">
        <f>IFERROR((Registro[[#This Row],[Avance Total]]-Registro[[#This Row],[Línea Base 2025]])/Registro[[#This Row],[Línea Base 2025]],0)</f>
        <v>0</v>
      </c>
      <c r="AA882" s="20">
        <v>2026</v>
      </c>
    </row>
    <row r="883" spans="1:27" hidden="1">
      <c r="A883" s="14">
        <v>1068</v>
      </c>
      <c r="B883" s="15" t="s">
        <v>13</v>
      </c>
      <c r="C883" s="16">
        <v>121</v>
      </c>
      <c r="D883" s="16" t="s">
        <v>194</v>
      </c>
      <c r="E883" s="17" t="s">
        <v>193</v>
      </c>
      <c r="F883" s="24">
        <v>0</v>
      </c>
      <c r="G883" s="19">
        <v>0</v>
      </c>
      <c r="H883" s="19">
        <v>0</v>
      </c>
      <c r="I883" s="19">
        <v>2</v>
      </c>
      <c r="T883" s="19">
        <f>Registro[[#This Row],[Mes 1]]+Registro[[#This Row],[Mes 2]]+Registro[[#This Row],[Mes 3]]</f>
        <v>2</v>
      </c>
      <c r="U883" s="19">
        <f>Registro[[#This Row],[Mes 4]]+Registro[[#This Row],[Mes 5]]+Registro[[#This Row],[Mes 6]]</f>
        <v>0</v>
      </c>
      <c r="V883" s="19">
        <f>Registro[[#This Row],[Mes 7]]+Registro[[#This Row],[Mes 8]]+Registro[[#This Row],[Mes 9]]</f>
        <v>0</v>
      </c>
      <c r="W883" s="20">
        <f>Registro[[#This Row],[Mes 10]]+Registro[[#This Row],[Mes 11]]+Registro[[#This Row],[Mes 12]]</f>
        <v>0</v>
      </c>
      <c r="X883" s="20">
        <f>SUM(Registro[[#This Row],[Trim I]],Registro[[#This Row],[Trim II]],Registro[[#This Row],[Trim III]],Registro[[#This Row],[Trim IV]])</f>
        <v>2</v>
      </c>
      <c r="Y883" s="22">
        <f>IFERROR((Registro[[#This Row],[Avance Total]]/Registro[[#This Row],[Meta]]),0)</f>
        <v>0</v>
      </c>
      <c r="Z883" s="22">
        <f>IFERROR((Registro[[#This Row],[Avance Total]]-Registro[[#This Row],[Línea Base 2025]])/Registro[[#This Row],[Línea Base 2025]],0)</f>
        <v>0</v>
      </c>
      <c r="AA883" s="20">
        <v>2026</v>
      </c>
    </row>
    <row r="884" spans="1:27" hidden="1">
      <c r="A884" s="14">
        <v>1068</v>
      </c>
      <c r="B884" s="15" t="s">
        <v>13</v>
      </c>
      <c r="C884" s="16">
        <v>122</v>
      </c>
      <c r="D884" s="16" t="s">
        <v>196</v>
      </c>
      <c r="E884" s="17" t="s">
        <v>195</v>
      </c>
      <c r="F884" s="24">
        <v>0</v>
      </c>
      <c r="G884" s="19">
        <v>0</v>
      </c>
      <c r="H884" s="19">
        <v>0</v>
      </c>
      <c r="I884" s="19">
        <v>0</v>
      </c>
      <c r="T884" s="19">
        <f>Registro[[#This Row],[Mes 1]]+Registro[[#This Row],[Mes 2]]+Registro[[#This Row],[Mes 3]]</f>
        <v>0</v>
      </c>
      <c r="U884" s="19">
        <f>Registro[[#This Row],[Mes 4]]+Registro[[#This Row],[Mes 5]]+Registro[[#This Row],[Mes 6]]</f>
        <v>0</v>
      </c>
      <c r="V884" s="19">
        <f>Registro[[#This Row],[Mes 7]]+Registro[[#This Row],[Mes 8]]+Registro[[#This Row],[Mes 9]]</f>
        <v>0</v>
      </c>
      <c r="W884" s="20">
        <f>Registro[[#This Row],[Mes 10]]+Registro[[#This Row],[Mes 11]]+Registro[[#This Row],[Mes 12]]</f>
        <v>0</v>
      </c>
      <c r="X884" s="20">
        <f>SUM(Registro[[#This Row],[Trim I]],Registro[[#This Row],[Trim II]],Registro[[#This Row],[Trim III]],Registro[[#This Row],[Trim IV]])</f>
        <v>0</v>
      </c>
      <c r="Y884" s="22">
        <f>IFERROR((Registro[[#This Row],[Avance Total]]/Registro[[#This Row],[Meta]]),0)</f>
        <v>0</v>
      </c>
      <c r="Z884" s="22">
        <f>IFERROR((Registro[[#This Row],[Avance Total]]-Registro[[#This Row],[Línea Base 2025]])/Registro[[#This Row],[Línea Base 2025]],0)</f>
        <v>0</v>
      </c>
      <c r="AA884" s="20">
        <v>2026</v>
      </c>
    </row>
    <row r="885" spans="1:27" hidden="1">
      <c r="A885" s="14">
        <v>1068</v>
      </c>
      <c r="B885" s="15" t="s">
        <v>13</v>
      </c>
      <c r="C885" s="16">
        <v>123</v>
      </c>
      <c r="D885" s="16" t="s">
        <v>198</v>
      </c>
      <c r="E885" s="17" t="s">
        <v>197</v>
      </c>
      <c r="F885" s="24">
        <v>0</v>
      </c>
      <c r="G885" s="19">
        <v>0</v>
      </c>
      <c r="H885" s="19">
        <v>0</v>
      </c>
      <c r="I885" s="19">
        <v>0</v>
      </c>
      <c r="T885" s="19">
        <f>Registro[[#This Row],[Mes 1]]+Registro[[#This Row],[Mes 2]]+Registro[[#This Row],[Mes 3]]</f>
        <v>0</v>
      </c>
      <c r="U885" s="19">
        <f>Registro[[#This Row],[Mes 4]]+Registro[[#This Row],[Mes 5]]+Registro[[#This Row],[Mes 6]]</f>
        <v>0</v>
      </c>
      <c r="V885" s="19">
        <f>Registro[[#This Row],[Mes 7]]+Registro[[#This Row],[Mes 8]]+Registro[[#This Row],[Mes 9]]</f>
        <v>0</v>
      </c>
      <c r="W885" s="20">
        <f>Registro[[#This Row],[Mes 10]]+Registro[[#This Row],[Mes 11]]+Registro[[#This Row],[Mes 12]]</f>
        <v>0</v>
      </c>
      <c r="X885" s="20">
        <f>SUM(Registro[[#This Row],[Trim I]],Registro[[#This Row],[Trim II]],Registro[[#This Row],[Trim III]],Registro[[#This Row],[Trim IV]])</f>
        <v>0</v>
      </c>
      <c r="Y885" s="22">
        <f>IFERROR((Registro[[#This Row],[Avance Total]]/Registro[[#This Row],[Meta]]),0)</f>
        <v>0</v>
      </c>
      <c r="Z885" s="22">
        <f>IFERROR((Registro[[#This Row],[Avance Total]]-Registro[[#This Row],[Línea Base 2025]])/Registro[[#This Row],[Línea Base 2025]],0)</f>
        <v>0</v>
      </c>
      <c r="AA885" s="20">
        <v>2026</v>
      </c>
    </row>
    <row r="886" spans="1:27" hidden="1">
      <c r="A886" s="14">
        <v>1069</v>
      </c>
      <c r="B886" s="15" t="s">
        <v>99</v>
      </c>
      <c r="C886" s="16">
        <v>111</v>
      </c>
      <c r="D886" s="16" t="s">
        <v>171</v>
      </c>
      <c r="E886" s="17" t="s">
        <v>172</v>
      </c>
      <c r="F886" s="24">
        <v>11</v>
      </c>
      <c r="G886" s="19">
        <v>0</v>
      </c>
      <c r="H886" s="19">
        <v>0</v>
      </c>
      <c r="I886" s="19">
        <v>5</v>
      </c>
      <c r="T886" s="19">
        <f>Registro[[#This Row],[Mes 1]]+Registro[[#This Row],[Mes 2]]+Registro[[#This Row],[Mes 3]]</f>
        <v>5</v>
      </c>
      <c r="U886" s="19">
        <f>Registro[[#This Row],[Mes 4]]+Registro[[#This Row],[Mes 5]]+Registro[[#This Row],[Mes 6]]</f>
        <v>0</v>
      </c>
      <c r="V886" s="19">
        <f>Registro[[#This Row],[Mes 7]]+Registro[[#This Row],[Mes 8]]+Registro[[#This Row],[Mes 9]]</f>
        <v>0</v>
      </c>
      <c r="W886" s="20">
        <f>Registro[[#This Row],[Mes 10]]+Registro[[#This Row],[Mes 11]]+Registro[[#This Row],[Mes 12]]</f>
        <v>0</v>
      </c>
      <c r="X886" s="20">
        <f>SUM(Registro[[#This Row],[Trim I]],Registro[[#This Row],[Trim II]],Registro[[#This Row],[Trim III]],Registro[[#This Row],[Trim IV]])</f>
        <v>5</v>
      </c>
      <c r="Y886" s="22">
        <f>IFERROR((Registro[[#This Row],[Avance Total]]/Registro[[#This Row],[Meta]]),0)</f>
        <v>0</v>
      </c>
      <c r="Z886" s="22">
        <f>IFERROR((Registro[[#This Row],[Avance Total]]-Registro[[#This Row],[Línea Base 2025]])/Registro[[#This Row],[Línea Base 2025]],0)</f>
        <v>-0.54545454545454541</v>
      </c>
      <c r="AA886" s="20">
        <v>2026</v>
      </c>
    </row>
    <row r="887" spans="1:27" hidden="1">
      <c r="A887" s="14">
        <v>1069</v>
      </c>
      <c r="B887" s="15" t="s">
        <v>99</v>
      </c>
      <c r="C887" s="16">
        <v>112</v>
      </c>
      <c r="D887" s="16" t="s">
        <v>173</v>
      </c>
      <c r="E887" s="17" t="s">
        <v>7</v>
      </c>
      <c r="F887" s="24">
        <v>3</v>
      </c>
      <c r="G887" s="19">
        <v>22</v>
      </c>
      <c r="H887" s="19">
        <v>0</v>
      </c>
      <c r="I887" s="19">
        <v>0</v>
      </c>
      <c r="T887" s="19">
        <f>Registro[[#This Row],[Mes 1]]+Registro[[#This Row],[Mes 2]]+Registro[[#This Row],[Mes 3]]</f>
        <v>0</v>
      </c>
      <c r="U887" s="19">
        <f>Registro[[#This Row],[Mes 4]]+Registro[[#This Row],[Mes 5]]+Registro[[#This Row],[Mes 6]]</f>
        <v>0</v>
      </c>
      <c r="V887" s="19">
        <f>Registro[[#This Row],[Mes 7]]+Registro[[#This Row],[Mes 8]]+Registro[[#This Row],[Mes 9]]</f>
        <v>0</v>
      </c>
      <c r="W887" s="20">
        <f>Registro[[#This Row],[Mes 10]]+Registro[[#This Row],[Mes 11]]+Registro[[#This Row],[Mes 12]]</f>
        <v>0</v>
      </c>
      <c r="X887" s="20">
        <f>SUM(Registro[[#This Row],[Trim I]],Registro[[#This Row],[Trim II]],Registro[[#This Row],[Trim III]],Registro[[#This Row],[Trim IV]])</f>
        <v>0</v>
      </c>
      <c r="Y887" s="22">
        <f>IFERROR((Registro[[#This Row],[Avance Total]]/Registro[[#This Row],[Meta]]),0)</f>
        <v>0</v>
      </c>
      <c r="Z887" s="22">
        <f>IFERROR((Registro[[#This Row],[Avance Total]]-Registro[[#This Row],[Línea Base 2025]])/Registro[[#This Row],[Línea Base 2025]],0)</f>
        <v>-1</v>
      </c>
      <c r="AA887" s="20">
        <v>2026</v>
      </c>
    </row>
    <row r="888" spans="1:27" hidden="1">
      <c r="A888" s="14">
        <v>1069</v>
      </c>
      <c r="B888" s="15" t="s">
        <v>99</v>
      </c>
      <c r="C888" s="16">
        <v>113</v>
      </c>
      <c r="D888" s="16" t="s">
        <v>179</v>
      </c>
      <c r="E888" s="17" t="s">
        <v>178</v>
      </c>
      <c r="F888" s="24">
        <v>7</v>
      </c>
      <c r="G888" s="19">
        <v>33</v>
      </c>
      <c r="H888" s="19">
        <v>0</v>
      </c>
      <c r="I888" s="19">
        <v>1</v>
      </c>
      <c r="T888" s="19">
        <f>Registro[[#This Row],[Mes 1]]+Registro[[#This Row],[Mes 2]]+Registro[[#This Row],[Mes 3]]</f>
        <v>1</v>
      </c>
      <c r="U888" s="19">
        <f>Registro[[#This Row],[Mes 4]]+Registro[[#This Row],[Mes 5]]+Registro[[#This Row],[Mes 6]]</f>
        <v>0</v>
      </c>
      <c r="V888" s="19">
        <f>Registro[[#This Row],[Mes 7]]+Registro[[#This Row],[Mes 8]]+Registro[[#This Row],[Mes 9]]</f>
        <v>0</v>
      </c>
      <c r="W888" s="20">
        <f>Registro[[#This Row],[Mes 10]]+Registro[[#This Row],[Mes 11]]+Registro[[#This Row],[Mes 12]]</f>
        <v>0</v>
      </c>
      <c r="X888" s="20">
        <f>SUM(Registro[[#This Row],[Trim I]],Registro[[#This Row],[Trim II]],Registro[[#This Row],[Trim III]],Registro[[#This Row],[Trim IV]])</f>
        <v>1</v>
      </c>
      <c r="Y888" s="22">
        <f>IFERROR((Registro[[#This Row],[Avance Total]]/Registro[[#This Row],[Meta]]),0)</f>
        <v>3.0303030303030304E-2</v>
      </c>
      <c r="Z888" s="22">
        <f>IFERROR((Registro[[#This Row],[Avance Total]]-Registro[[#This Row],[Línea Base 2025]])/Registro[[#This Row],[Línea Base 2025]],0)</f>
        <v>-0.8571428571428571</v>
      </c>
      <c r="AA888" s="20">
        <v>2026</v>
      </c>
    </row>
    <row r="889" spans="1:27" hidden="1">
      <c r="A889" s="14">
        <v>1069</v>
      </c>
      <c r="B889" s="15" t="s">
        <v>99</v>
      </c>
      <c r="C889" s="16">
        <v>114</v>
      </c>
      <c r="D889" s="16" t="s">
        <v>181</v>
      </c>
      <c r="E889" s="17" t="s">
        <v>180</v>
      </c>
      <c r="F889" s="24">
        <v>15</v>
      </c>
      <c r="G889" s="19">
        <v>19</v>
      </c>
      <c r="H889" s="19">
        <v>9</v>
      </c>
      <c r="I889" s="19">
        <v>0</v>
      </c>
      <c r="T889" s="19">
        <f>Registro[[#This Row],[Mes 1]]+Registro[[#This Row],[Mes 2]]+Registro[[#This Row],[Mes 3]]</f>
        <v>9</v>
      </c>
      <c r="U889" s="19">
        <f>Registro[[#This Row],[Mes 4]]+Registro[[#This Row],[Mes 5]]+Registro[[#This Row],[Mes 6]]</f>
        <v>0</v>
      </c>
      <c r="V889" s="19">
        <f>Registro[[#This Row],[Mes 7]]+Registro[[#This Row],[Mes 8]]+Registro[[#This Row],[Mes 9]]</f>
        <v>0</v>
      </c>
      <c r="W889" s="20">
        <f>Registro[[#This Row],[Mes 10]]+Registro[[#This Row],[Mes 11]]+Registro[[#This Row],[Mes 12]]</f>
        <v>0</v>
      </c>
      <c r="X889" s="20">
        <f>SUM(Registro[[#This Row],[Trim I]],Registro[[#This Row],[Trim II]],Registro[[#This Row],[Trim III]],Registro[[#This Row],[Trim IV]])</f>
        <v>9</v>
      </c>
      <c r="Y889" s="22">
        <f>IFERROR((Registro[[#This Row],[Avance Total]]/Registro[[#This Row],[Meta]]),0)</f>
        <v>0.47368421052631576</v>
      </c>
      <c r="Z889" s="22">
        <f>IFERROR((Registro[[#This Row],[Avance Total]]-Registro[[#This Row],[Línea Base 2025]])/Registro[[#This Row],[Línea Base 2025]],0)</f>
        <v>-0.4</v>
      </c>
      <c r="AA889" s="20">
        <v>2026</v>
      </c>
    </row>
    <row r="890" spans="1:27" hidden="1">
      <c r="A890" s="14">
        <v>1069</v>
      </c>
      <c r="B890" s="15" t="s">
        <v>99</v>
      </c>
      <c r="C890" s="16">
        <v>115</v>
      </c>
      <c r="D890" s="16" t="s">
        <v>183</v>
      </c>
      <c r="E890" s="17" t="s">
        <v>182</v>
      </c>
      <c r="F890" s="24">
        <v>5</v>
      </c>
      <c r="G890" s="19">
        <v>10</v>
      </c>
      <c r="H890" s="19">
        <v>0</v>
      </c>
      <c r="I890" s="19">
        <v>1</v>
      </c>
      <c r="T890" s="19">
        <f>Registro[[#This Row],[Mes 1]]+Registro[[#This Row],[Mes 2]]+Registro[[#This Row],[Mes 3]]</f>
        <v>1</v>
      </c>
      <c r="U890" s="19">
        <f>Registro[[#This Row],[Mes 4]]+Registro[[#This Row],[Mes 5]]+Registro[[#This Row],[Mes 6]]</f>
        <v>0</v>
      </c>
      <c r="V890" s="19">
        <f>Registro[[#This Row],[Mes 7]]+Registro[[#This Row],[Mes 8]]+Registro[[#This Row],[Mes 9]]</f>
        <v>0</v>
      </c>
      <c r="W890" s="20">
        <f>Registro[[#This Row],[Mes 10]]+Registro[[#This Row],[Mes 11]]+Registro[[#This Row],[Mes 12]]</f>
        <v>0</v>
      </c>
      <c r="X890" s="20">
        <f>SUM(Registro[[#This Row],[Trim I]],Registro[[#This Row],[Trim II]],Registro[[#This Row],[Trim III]],Registro[[#This Row],[Trim IV]])</f>
        <v>1</v>
      </c>
      <c r="Y890" s="22">
        <f>IFERROR((Registro[[#This Row],[Avance Total]]/Registro[[#This Row],[Meta]]),0)</f>
        <v>0.1</v>
      </c>
      <c r="Z890" s="22">
        <f>IFERROR((Registro[[#This Row],[Avance Total]]-Registro[[#This Row],[Línea Base 2025]])/Registro[[#This Row],[Línea Base 2025]],0)</f>
        <v>-0.8</v>
      </c>
      <c r="AA890" s="20">
        <v>2026</v>
      </c>
    </row>
    <row r="891" spans="1:27">
      <c r="A891" s="14">
        <v>1069</v>
      </c>
      <c r="B891" s="15" t="s">
        <v>99</v>
      </c>
      <c r="C891" s="16">
        <v>116</v>
      </c>
      <c r="D891" s="16" t="s">
        <v>185</v>
      </c>
      <c r="E891" s="17" t="s">
        <v>184</v>
      </c>
      <c r="F891" s="24">
        <v>2</v>
      </c>
      <c r="G891" s="19">
        <v>1</v>
      </c>
      <c r="H891" s="19">
        <v>0</v>
      </c>
      <c r="I891" s="19">
        <v>0</v>
      </c>
      <c r="T891" s="19">
        <f>Registro[[#This Row],[Mes 1]]+Registro[[#This Row],[Mes 2]]+Registro[[#This Row],[Mes 3]]</f>
        <v>0</v>
      </c>
      <c r="U891" s="19">
        <f>Registro[[#This Row],[Mes 4]]+Registro[[#This Row],[Mes 5]]+Registro[[#This Row],[Mes 6]]</f>
        <v>0</v>
      </c>
      <c r="V891" s="19">
        <f>Registro[[#This Row],[Mes 7]]+Registro[[#This Row],[Mes 8]]+Registro[[#This Row],[Mes 9]]</f>
        <v>0</v>
      </c>
      <c r="W891" s="20">
        <f>Registro[[#This Row],[Mes 10]]+Registro[[#This Row],[Mes 11]]+Registro[[#This Row],[Mes 12]]</f>
        <v>0</v>
      </c>
      <c r="X891" s="20">
        <f>SUM(Registro[[#This Row],[Trim I]],Registro[[#This Row],[Trim II]],Registro[[#This Row],[Trim III]],Registro[[#This Row],[Trim IV]])</f>
        <v>0</v>
      </c>
      <c r="Y891" s="22">
        <f>IFERROR((Registro[[#This Row],[Avance Total]]/Registro[[#This Row],[Meta]]),0)</f>
        <v>0</v>
      </c>
      <c r="Z891" s="22">
        <f>IFERROR((Registro[[#This Row],[Avance Total]]-Registro[[#This Row],[Línea Base 2025]])/Registro[[#This Row],[Línea Base 2025]],0)</f>
        <v>-1</v>
      </c>
      <c r="AA891" s="20">
        <v>2026</v>
      </c>
    </row>
    <row r="892" spans="1:27" hidden="1">
      <c r="A892" s="14">
        <v>1069</v>
      </c>
      <c r="B892" s="15" t="s">
        <v>99</v>
      </c>
      <c r="C892" s="16">
        <v>117</v>
      </c>
      <c r="D892" s="16" t="s">
        <v>187</v>
      </c>
      <c r="E892" s="17" t="s">
        <v>186</v>
      </c>
      <c r="F892" s="24">
        <v>1</v>
      </c>
      <c r="G892" s="19">
        <v>3</v>
      </c>
      <c r="H892" s="19">
        <v>0</v>
      </c>
      <c r="I892" s="19">
        <v>0</v>
      </c>
      <c r="T892" s="19">
        <f>Registro[[#This Row],[Mes 1]]+Registro[[#This Row],[Mes 2]]+Registro[[#This Row],[Mes 3]]</f>
        <v>0</v>
      </c>
      <c r="U892" s="19">
        <f>Registro[[#This Row],[Mes 4]]+Registro[[#This Row],[Mes 5]]+Registro[[#This Row],[Mes 6]]</f>
        <v>0</v>
      </c>
      <c r="V892" s="19">
        <f>Registro[[#This Row],[Mes 7]]+Registro[[#This Row],[Mes 8]]+Registro[[#This Row],[Mes 9]]</f>
        <v>0</v>
      </c>
      <c r="W892" s="20">
        <f>Registro[[#This Row],[Mes 10]]+Registro[[#This Row],[Mes 11]]+Registro[[#This Row],[Mes 12]]</f>
        <v>0</v>
      </c>
      <c r="X892" s="20">
        <f>SUM(Registro[[#This Row],[Trim I]],Registro[[#This Row],[Trim II]],Registro[[#This Row],[Trim III]],Registro[[#This Row],[Trim IV]])</f>
        <v>0</v>
      </c>
      <c r="Y892" s="22">
        <f>IFERROR((Registro[[#This Row],[Avance Total]]/Registro[[#This Row],[Meta]]),0)</f>
        <v>0</v>
      </c>
      <c r="Z892" s="22">
        <f>IFERROR((Registro[[#This Row],[Avance Total]]-Registro[[#This Row],[Línea Base 2025]])/Registro[[#This Row],[Línea Base 2025]],0)</f>
        <v>-1</v>
      </c>
      <c r="AA892" s="20">
        <v>2026</v>
      </c>
    </row>
    <row r="893" spans="1:27" hidden="1">
      <c r="A893" s="14">
        <v>1069</v>
      </c>
      <c r="B893" s="15" t="s">
        <v>99</v>
      </c>
      <c r="C893" s="16">
        <v>118</v>
      </c>
      <c r="D893" s="16" t="s">
        <v>188</v>
      </c>
      <c r="E893" s="17" t="s">
        <v>9</v>
      </c>
      <c r="F893" s="24">
        <v>0</v>
      </c>
      <c r="G893" s="19">
        <v>10</v>
      </c>
      <c r="H893" s="19">
        <v>0</v>
      </c>
      <c r="I893" s="19">
        <v>0</v>
      </c>
      <c r="T893" s="19">
        <f>Registro[[#This Row],[Mes 1]]+Registro[[#This Row],[Mes 2]]+Registro[[#This Row],[Mes 3]]</f>
        <v>0</v>
      </c>
      <c r="U893" s="19">
        <f>Registro[[#This Row],[Mes 4]]+Registro[[#This Row],[Mes 5]]+Registro[[#This Row],[Mes 6]]</f>
        <v>0</v>
      </c>
      <c r="V893" s="19">
        <f>Registro[[#This Row],[Mes 7]]+Registro[[#This Row],[Mes 8]]+Registro[[#This Row],[Mes 9]]</f>
        <v>0</v>
      </c>
      <c r="W893" s="20">
        <f>Registro[[#This Row],[Mes 10]]+Registro[[#This Row],[Mes 11]]+Registro[[#This Row],[Mes 12]]</f>
        <v>0</v>
      </c>
      <c r="X893" s="20">
        <f>SUM(Registro[[#This Row],[Trim I]],Registro[[#This Row],[Trim II]],Registro[[#This Row],[Trim III]],Registro[[#This Row],[Trim IV]])</f>
        <v>0</v>
      </c>
      <c r="Y893" s="22">
        <f>IFERROR((Registro[[#This Row],[Avance Total]]/Registro[[#This Row],[Meta]]),0)</f>
        <v>0</v>
      </c>
      <c r="Z893" s="22">
        <f>IFERROR((Registro[[#This Row],[Avance Total]]-Registro[[#This Row],[Línea Base 2025]])/Registro[[#This Row],[Línea Base 2025]],0)</f>
        <v>0</v>
      </c>
      <c r="AA893" s="20">
        <v>2026</v>
      </c>
    </row>
    <row r="894" spans="1:27" hidden="1">
      <c r="A894" s="14">
        <v>1069</v>
      </c>
      <c r="B894" s="15" t="s">
        <v>99</v>
      </c>
      <c r="C894" s="16">
        <v>119</v>
      </c>
      <c r="D894" s="16" t="s">
        <v>190</v>
      </c>
      <c r="E894" s="17" t="s">
        <v>189</v>
      </c>
      <c r="F894" s="24">
        <v>0</v>
      </c>
      <c r="G894" s="19">
        <v>1</v>
      </c>
      <c r="H894" s="19">
        <v>0</v>
      </c>
      <c r="I894" s="19">
        <v>0</v>
      </c>
      <c r="T894" s="19">
        <f>Registro[[#This Row],[Mes 1]]+Registro[[#This Row],[Mes 2]]+Registro[[#This Row],[Mes 3]]</f>
        <v>0</v>
      </c>
      <c r="U894" s="19">
        <f>Registro[[#This Row],[Mes 4]]+Registro[[#This Row],[Mes 5]]+Registro[[#This Row],[Mes 6]]</f>
        <v>0</v>
      </c>
      <c r="V894" s="19">
        <f>Registro[[#This Row],[Mes 7]]+Registro[[#This Row],[Mes 8]]+Registro[[#This Row],[Mes 9]]</f>
        <v>0</v>
      </c>
      <c r="W894" s="20">
        <f>Registro[[#This Row],[Mes 10]]+Registro[[#This Row],[Mes 11]]+Registro[[#This Row],[Mes 12]]</f>
        <v>0</v>
      </c>
      <c r="X894" s="20">
        <f>SUM(Registro[[#This Row],[Trim I]],Registro[[#This Row],[Trim II]],Registro[[#This Row],[Trim III]],Registro[[#This Row],[Trim IV]])</f>
        <v>0</v>
      </c>
      <c r="Y894" s="22">
        <f>IFERROR((Registro[[#This Row],[Avance Total]]/Registro[[#This Row],[Meta]]),0)</f>
        <v>0</v>
      </c>
      <c r="Z894" s="22">
        <f>IFERROR((Registro[[#This Row],[Avance Total]]-Registro[[#This Row],[Línea Base 2025]])/Registro[[#This Row],[Línea Base 2025]],0)</f>
        <v>0</v>
      </c>
      <c r="AA894" s="20">
        <v>2026</v>
      </c>
    </row>
    <row r="895" spans="1:27" hidden="1">
      <c r="A895" s="14">
        <v>1069</v>
      </c>
      <c r="B895" s="15" t="s">
        <v>99</v>
      </c>
      <c r="C895" s="16">
        <v>120</v>
      </c>
      <c r="D895" s="16" t="s">
        <v>192</v>
      </c>
      <c r="E895" s="17" t="s">
        <v>191</v>
      </c>
      <c r="F895" s="24">
        <v>59</v>
      </c>
      <c r="G895" s="19">
        <v>17</v>
      </c>
      <c r="H895" s="19">
        <v>0</v>
      </c>
      <c r="I895" s="19">
        <v>0</v>
      </c>
      <c r="T895" s="19">
        <f>Registro[[#This Row],[Mes 1]]+Registro[[#This Row],[Mes 2]]+Registro[[#This Row],[Mes 3]]</f>
        <v>0</v>
      </c>
      <c r="U895" s="19">
        <f>Registro[[#This Row],[Mes 4]]+Registro[[#This Row],[Mes 5]]+Registro[[#This Row],[Mes 6]]</f>
        <v>0</v>
      </c>
      <c r="V895" s="19">
        <f>Registro[[#This Row],[Mes 7]]+Registro[[#This Row],[Mes 8]]+Registro[[#This Row],[Mes 9]]</f>
        <v>0</v>
      </c>
      <c r="W895" s="20">
        <f>Registro[[#This Row],[Mes 10]]+Registro[[#This Row],[Mes 11]]+Registro[[#This Row],[Mes 12]]</f>
        <v>0</v>
      </c>
      <c r="X895" s="20">
        <f>SUM(Registro[[#This Row],[Trim I]],Registro[[#This Row],[Trim II]],Registro[[#This Row],[Trim III]],Registro[[#This Row],[Trim IV]])</f>
        <v>0</v>
      </c>
      <c r="Y895" s="22">
        <f>IFERROR((Registro[[#This Row],[Avance Total]]/Registro[[#This Row],[Meta]]),0)</f>
        <v>0</v>
      </c>
      <c r="Z895" s="22">
        <f>IFERROR((Registro[[#This Row],[Avance Total]]-Registro[[#This Row],[Línea Base 2025]])/Registro[[#This Row],[Línea Base 2025]],0)</f>
        <v>-1</v>
      </c>
      <c r="AA895" s="20">
        <v>2026</v>
      </c>
    </row>
    <row r="896" spans="1:27" hidden="1">
      <c r="A896" s="14">
        <v>1069</v>
      </c>
      <c r="B896" s="15" t="s">
        <v>99</v>
      </c>
      <c r="C896" s="16">
        <v>121</v>
      </c>
      <c r="D896" s="16" t="s">
        <v>194</v>
      </c>
      <c r="E896" s="17" t="s">
        <v>193</v>
      </c>
      <c r="F896" s="24">
        <v>0</v>
      </c>
      <c r="G896" s="19">
        <v>10</v>
      </c>
      <c r="H896" s="19">
        <v>0</v>
      </c>
      <c r="I896" s="19">
        <v>2</v>
      </c>
      <c r="T896" s="19">
        <f>Registro[[#This Row],[Mes 1]]+Registro[[#This Row],[Mes 2]]+Registro[[#This Row],[Mes 3]]</f>
        <v>2</v>
      </c>
      <c r="U896" s="19">
        <f>Registro[[#This Row],[Mes 4]]+Registro[[#This Row],[Mes 5]]+Registro[[#This Row],[Mes 6]]</f>
        <v>0</v>
      </c>
      <c r="V896" s="19">
        <f>Registro[[#This Row],[Mes 7]]+Registro[[#This Row],[Mes 8]]+Registro[[#This Row],[Mes 9]]</f>
        <v>0</v>
      </c>
      <c r="W896" s="20">
        <f>Registro[[#This Row],[Mes 10]]+Registro[[#This Row],[Mes 11]]+Registro[[#This Row],[Mes 12]]</f>
        <v>0</v>
      </c>
      <c r="X896" s="20">
        <f>SUM(Registro[[#This Row],[Trim I]],Registro[[#This Row],[Trim II]],Registro[[#This Row],[Trim III]],Registro[[#This Row],[Trim IV]])</f>
        <v>2</v>
      </c>
      <c r="Y896" s="22">
        <f>IFERROR((Registro[[#This Row],[Avance Total]]/Registro[[#This Row],[Meta]]),0)</f>
        <v>0.2</v>
      </c>
      <c r="Z896" s="22">
        <f>IFERROR((Registro[[#This Row],[Avance Total]]-Registro[[#This Row],[Línea Base 2025]])/Registro[[#This Row],[Línea Base 2025]],0)</f>
        <v>0</v>
      </c>
      <c r="AA896" s="20">
        <v>2026</v>
      </c>
    </row>
    <row r="897" spans="1:27" hidden="1">
      <c r="A897" s="14">
        <v>1069</v>
      </c>
      <c r="B897" s="15" t="s">
        <v>99</v>
      </c>
      <c r="C897" s="16">
        <v>122</v>
      </c>
      <c r="D897" s="16" t="s">
        <v>196</v>
      </c>
      <c r="E897" s="17" t="s">
        <v>195</v>
      </c>
      <c r="F897" s="24">
        <v>3</v>
      </c>
      <c r="G897" s="19">
        <v>6</v>
      </c>
      <c r="H897" s="19">
        <v>0</v>
      </c>
      <c r="I897" s="19">
        <v>0</v>
      </c>
      <c r="T897" s="19">
        <f>Registro[[#This Row],[Mes 1]]+Registro[[#This Row],[Mes 2]]+Registro[[#This Row],[Mes 3]]</f>
        <v>0</v>
      </c>
      <c r="U897" s="19">
        <f>Registro[[#This Row],[Mes 4]]+Registro[[#This Row],[Mes 5]]+Registro[[#This Row],[Mes 6]]</f>
        <v>0</v>
      </c>
      <c r="V897" s="19">
        <f>Registro[[#This Row],[Mes 7]]+Registro[[#This Row],[Mes 8]]+Registro[[#This Row],[Mes 9]]</f>
        <v>0</v>
      </c>
      <c r="W897" s="20">
        <f>Registro[[#This Row],[Mes 10]]+Registro[[#This Row],[Mes 11]]+Registro[[#This Row],[Mes 12]]</f>
        <v>0</v>
      </c>
      <c r="X897" s="20">
        <f>SUM(Registro[[#This Row],[Trim I]],Registro[[#This Row],[Trim II]],Registro[[#This Row],[Trim III]],Registro[[#This Row],[Trim IV]])</f>
        <v>0</v>
      </c>
      <c r="Y897" s="22">
        <f>IFERROR((Registro[[#This Row],[Avance Total]]/Registro[[#This Row],[Meta]]),0)</f>
        <v>0</v>
      </c>
      <c r="Z897" s="22">
        <f>IFERROR((Registro[[#This Row],[Avance Total]]-Registro[[#This Row],[Línea Base 2025]])/Registro[[#This Row],[Línea Base 2025]],0)</f>
        <v>-1</v>
      </c>
      <c r="AA897" s="20">
        <v>2026</v>
      </c>
    </row>
    <row r="898" spans="1:27" hidden="1">
      <c r="A898" s="14">
        <v>1069</v>
      </c>
      <c r="B898" s="15" t="s">
        <v>99</v>
      </c>
      <c r="C898" s="16">
        <v>123</v>
      </c>
      <c r="D898" s="16" t="s">
        <v>198</v>
      </c>
      <c r="E898" s="17" t="s">
        <v>197</v>
      </c>
      <c r="F898" s="24">
        <v>0</v>
      </c>
      <c r="G898" s="19">
        <v>4</v>
      </c>
      <c r="H898" s="19">
        <v>0</v>
      </c>
      <c r="I898" s="19">
        <v>0</v>
      </c>
      <c r="T898" s="19">
        <f>Registro[[#This Row],[Mes 1]]+Registro[[#This Row],[Mes 2]]+Registro[[#This Row],[Mes 3]]</f>
        <v>0</v>
      </c>
      <c r="U898" s="19">
        <f>Registro[[#This Row],[Mes 4]]+Registro[[#This Row],[Mes 5]]+Registro[[#This Row],[Mes 6]]</f>
        <v>0</v>
      </c>
      <c r="V898" s="19">
        <f>Registro[[#This Row],[Mes 7]]+Registro[[#This Row],[Mes 8]]+Registro[[#This Row],[Mes 9]]</f>
        <v>0</v>
      </c>
      <c r="W898" s="20">
        <f>Registro[[#This Row],[Mes 10]]+Registro[[#This Row],[Mes 11]]+Registro[[#This Row],[Mes 12]]</f>
        <v>0</v>
      </c>
      <c r="X898" s="20">
        <f>SUM(Registro[[#This Row],[Trim I]],Registro[[#This Row],[Trim II]],Registro[[#This Row],[Trim III]],Registro[[#This Row],[Trim IV]])</f>
        <v>0</v>
      </c>
      <c r="Y898" s="22">
        <f>IFERROR((Registro[[#This Row],[Avance Total]]/Registro[[#This Row],[Meta]]),0)</f>
        <v>0</v>
      </c>
      <c r="Z898" s="22">
        <f>IFERROR((Registro[[#This Row],[Avance Total]]-Registro[[#This Row],[Línea Base 2025]])/Registro[[#This Row],[Línea Base 2025]],0)</f>
        <v>0</v>
      </c>
      <c r="AA898" s="20">
        <v>2026</v>
      </c>
    </row>
    <row r="899" spans="1:27" hidden="1">
      <c r="A899" s="14">
        <v>1070</v>
      </c>
      <c r="B899" s="15" t="s">
        <v>100</v>
      </c>
      <c r="C899" s="16">
        <v>111</v>
      </c>
      <c r="D899" s="16" t="s">
        <v>171</v>
      </c>
      <c r="E899" s="17" t="s">
        <v>172</v>
      </c>
      <c r="F899" s="24">
        <v>2</v>
      </c>
      <c r="G899" s="19">
        <v>15</v>
      </c>
      <c r="H899" s="19">
        <v>0</v>
      </c>
      <c r="I899" s="19">
        <v>1</v>
      </c>
      <c r="T899" s="19">
        <f>Registro[[#This Row],[Mes 1]]+Registro[[#This Row],[Mes 2]]+Registro[[#This Row],[Mes 3]]</f>
        <v>1</v>
      </c>
      <c r="U899" s="19">
        <f>Registro[[#This Row],[Mes 4]]+Registro[[#This Row],[Mes 5]]+Registro[[#This Row],[Mes 6]]</f>
        <v>0</v>
      </c>
      <c r="V899" s="19">
        <f>Registro[[#This Row],[Mes 7]]+Registro[[#This Row],[Mes 8]]+Registro[[#This Row],[Mes 9]]</f>
        <v>0</v>
      </c>
      <c r="W899" s="20">
        <f>Registro[[#This Row],[Mes 10]]+Registro[[#This Row],[Mes 11]]+Registro[[#This Row],[Mes 12]]</f>
        <v>0</v>
      </c>
      <c r="X899" s="20">
        <f>SUM(Registro[[#This Row],[Trim I]],Registro[[#This Row],[Trim II]],Registro[[#This Row],[Trim III]],Registro[[#This Row],[Trim IV]])</f>
        <v>1</v>
      </c>
      <c r="Y899" s="22">
        <f>IFERROR((Registro[[#This Row],[Avance Total]]/Registro[[#This Row],[Meta]]),0)</f>
        <v>6.6666666666666666E-2</v>
      </c>
      <c r="Z899" s="22">
        <f>IFERROR((Registro[[#This Row],[Avance Total]]-Registro[[#This Row],[Línea Base 2025]])/Registro[[#This Row],[Línea Base 2025]],0)</f>
        <v>-0.5</v>
      </c>
      <c r="AA899" s="20">
        <v>2026</v>
      </c>
    </row>
    <row r="900" spans="1:27" hidden="1">
      <c r="A900" s="14">
        <v>1070</v>
      </c>
      <c r="B900" s="15" t="s">
        <v>100</v>
      </c>
      <c r="C900" s="16">
        <v>112</v>
      </c>
      <c r="D900" s="16" t="s">
        <v>173</v>
      </c>
      <c r="E900" s="17" t="s">
        <v>7</v>
      </c>
      <c r="F900" s="24">
        <v>1</v>
      </c>
      <c r="G900" s="19">
        <v>12</v>
      </c>
      <c r="H900" s="19">
        <v>0</v>
      </c>
      <c r="I900" s="19">
        <v>0</v>
      </c>
      <c r="T900" s="19">
        <f>Registro[[#This Row],[Mes 1]]+Registro[[#This Row],[Mes 2]]+Registro[[#This Row],[Mes 3]]</f>
        <v>0</v>
      </c>
      <c r="U900" s="19">
        <f>Registro[[#This Row],[Mes 4]]+Registro[[#This Row],[Mes 5]]+Registro[[#This Row],[Mes 6]]</f>
        <v>0</v>
      </c>
      <c r="V900" s="19">
        <f>Registro[[#This Row],[Mes 7]]+Registro[[#This Row],[Mes 8]]+Registro[[#This Row],[Mes 9]]</f>
        <v>0</v>
      </c>
      <c r="W900" s="20">
        <f>Registro[[#This Row],[Mes 10]]+Registro[[#This Row],[Mes 11]]+Registro[[#This Row],[Mes 12]]</f>
        <v>0</v>
      </c>
      <c r="X900" s="20">
        <f>SUM(Registro[[#This Row],[Trim I]],Registro[[#This Row],[Trim II]],Registro[[#This Row],[Trim III]],Registro[[#This Row],[Trim IV]])</f>
        <v>0</v>
      </c>
      <c r="Y900" s="22">
        <f>IFERROR((Registro[[#This Row],[Avance Total]]/Registro[[#This Row],[Meta]]),0)</f>
        <v>0</v>
      </c>
      <c r="Z900" s="22">
        <f>IFERROR((Registro[[#This Row],[Avance Total]]-Registro[[#This Row],[Línea Base 2025]])/Registro[[#This Row],[Línea Base 2025]],0)</f>
        <v>-1</v>
      </c>
      <c r="AA900" s="20">
        <v>2026</v>
      </c>
    </row>
    <row r="901" spans="1:27" hidden="1">
      <c r="A901" s="14">
        <v>1070</v>
      </c>
      <c r="B901" s="15" t="s">
        <v>100</v>
      </c>
      <c r="C901" s="16">
        <v>113</v>
      </c>
      <c r="D901" s="16" t="s">
        <v>179</v>
      </c>
      <c r="E901" s="17" t="s">
        <v>178</v>
      </c>
      <c r="F901" s="24">
        <v>1</v>
      </c>
      <c r="G901" s="19">
        <v>28</v>
      </c>
      <c r="H901" s="19">
        <v>0</v>
      </c>
      <c r="I901" s="19">
        <v>1</v>
      </c>
      <c r="T901" s="19">
        <f>Registro[[#This Row],[Mes 1]]+Registro[[#This Row],[Mes 2]]+Registro[[#This Row],[Mes 3]]</f>
        <v>1</v>
      </c>
      <c r="U901" s="19">
        <f>Registro[[#This Row],[Mes 4]]+Registro[[#This Row],[Mes 5]]+Registro[[#This Row],[Mes 6]]</f>
        <v>0</v>
      </c>
      <c r="V901" s="19">
        <f>Registro[[#This Row],[Mes 7]]+Registro[[#This Row],[Mes 8]]+Registro[[#This Row],[Mes 9]]</f>
        <v>0</v>
      </c>
      <c r="W901" s="20">
        <f>Registro[[#This Row],[Mes 10]]+Registro[[#This Row],[Mes 11]]+Registro[[#This Row],[Mes 12]]</f>
        <v>0</v>
      </c>
      <c r="X901" s="20">
        <f>SUM(Registro[[#This Row],[Trim I]],Registro[[#This Row],[Trim II]],Registro[[#This Row],[Trim III]],Registro[[#This Row],[Trim IV]])</f>
        <v>1</v>
      </c>
      <c r="Y901" s="22">
        <f>IFERROR((Registro[[#This Row],[Avance Total]]/Registro[[#This Row],[Meta]]),0)</f>
        <v>3.5714285714285712E-2</v>
      </c>
      <c r="Z901" s="22">
        <f>IFERROR((Registro[[#This Row],[Avance Total]]-Registro[[#This Row],[Línea Base 2025]])/Registro[[#This Row],[Línea Base 2025]],0)</f>
        <v>0</v>
      </c>
      <c r="AA901" s="20">
        <v>2026</v>
      </c>
    </row>
    <row r="902" spans="1:27" hidden="1">
      <c r="A902" s="14">
        <v>1070</v>
      </c>
      <c r="B902" s="15" t="s">
        <v>100</v>
      </c>
      <c r="C902" s="16">
        <v>114</v>
      </c>
      <c r="D902" s="16" t="s">
        <v>181</v>
      </c>
      <c r="E902" s="17" t="s">
        <v>180</v>
      </c>
      <c r="F902" s="24">
        <v>12</v>
      </c>
      <c r="G902" s="19">
        <v>17</v>
      </c>
      <c r="H902" s="19">
        <v>9</v>
      </c>
      <c r="I902" s="19">
        <v>0</v>
      </c>
      <c r="T902" s="19">
        <f>Registro[[#This Row],[Mes 1]]+Registro[[#This Row],[Mes 2]]+Registro[[#This Row],[Mes 3]]</f>
        <v>9</v>
      </c>
      <c r="U902" s="19">
        <f>Registro[[#This Row],[Mes 4]]+Registro[[#This Row],[Mes 5]]+Registro[[#This Row],[Mes 6]]</f>
        <v>0</v>
      </c>
      <c r="V902" s="19">
        <f>Registro[[#This Row],[Mes 7]]+Registro[[#This Row],[Mes 8]]+Registro[[#This Row],[Mes 9]]</f>
        <v>0</v>
      </c>
      <c r="W902" s="20">
        <f>Registro[[#This Row],[Mes 10]]+Registro[[#This Row],[Mes 11]]+Registro[[#This Row],[Mes 12]]</f>
        <v>0</v>
      </c>
      <c r="X902" s="20">
        <f>SUM(Registro[[#This Row],[Trim I]],Registro[[#This Row],[Trim II]],Registro[[#This Row],[Trim III]],Registro[[#This Row],[Trim IV]])</f>
        <v>9</v>
      </c>
      <c r="Y902" s="22">
        <f>IFERROR((Registro[[#This Row],[Avance Total]]/Registro[[#This Row],[Meta]]),0)</f>
        <v>0.52941176470588236</v>
      </c>
      <c r="Z902" s="22">
        <f>IFERROR((Registro[[#This Row],[Avance Total]]-Registro[[#This Row],[Línea Base 2025]])/Registro[[#This Row],[Línea Base 2025]],0)</f>
        <v>-0.25</v>
      </c>
      <c r="AA902" s="20">
        <v>2026</v>
      </c>
    </row>
    <row r="903" spans="1:27" hidden="1">
      <c r="A903" s="14">
        <v>1070</v>
      </c>
      <c r="B903" s="15" t="s">
        <v>100</v>
      </c>
      <c r="C903" s="16">
        <v>115</v>
      </c>
      <c r="D903" s="16" t="s">
        <v>183</v>
      </c>
      <c r="E903" s="17" t="s">
        <v>182</v>
      </c>
      <c r="F903" s="24">
        <v>0</v>
      </c>
      <c r="G903" s="19">
        <v>2</v>
      </c>
      <c r="H903" s="19">
        <v>0</v>
      </c>
      <c r="I903" s="19">
        <v>0</v>
      </c>
      <c r="T903" s="19">
        <f>Registro[[#This Row],[Mes 1]]+Registro[[#This Row],[Mes 2]]+Registro[[#This Row],[Mes 3]]</f>
        <v>0</v>
      </c>
      <c r="U903" s="19">
        <f>Registro[[#This Row],[Mes 4]]+Registro[[#This Row],[Mes 5]]+Registro[[#This Row],[Mes 6]]</f>
        <v>0</v>
      </c>
      <c r="V903" s="19">
        <f>Registro[[#This Row],[Mes 7]]+Registro[[#This Row],[Mes 8]]+Registro[[#This Row],[Mes 9]]</f>
        <v>0</v>
      </c>
      <c r="W903" s="20">
        <f>Registro[[#This Row],[Mes 10]]+Registro[[#This Row],[Mes 11]]+Registro[[#This Row],[Mes 12]]</f>
        <v>0</v>
      </c>
      <c r="X903" s="20">
        <f>SUM(Registro[[#This Row],[Trim I]],Registro[[#This Row],[Trim II]],Registro[[#This Row],[Trim III]],Registro[[#This Row],[Trim IV]])</f>
        <v>0</v>
      </c>
      <c r="Y903" s="22">
        <f>IFERROR((Registro[[#This Row],[Avance Total]]/Registro[[#This Row],[Meta]]),0)</f>
        <v>0</v>
      </c>
      <c r="Z903" s="22">
        <f>IFERROR((Registro[[#This Row],[Avance Total]]-Registro[[#This Row],[Línea Base 2025]])/Registro[[#This Row],[Línea Base 2025]],0)</f>
        <v>0</v>
      </c>
      <c r="AA903" s="20">
        <v>2026</v>
      </c>
    </row>
    <row r="904" spans="1:27">
      <c r="A904" s="14">
        <v>1070</v>
      </c>
      <c r="B904" s="15" t="s">
        <v>100</v>
      </c>
      <c r="C904" s="16">
        <v>116</v>
      </c>
      <c r="D904" s="16" t="s">
        <v>185</v>
      </c>
      <c r="E904" s="17" t="s">
        <v>184</v>
      </c>
      <c r="F904" s="24">
        <v>0</v>
      </c>
      <c r="G904" s="19">
        <v>0</v>
      </c>
      <c r="H904" s="19">
        <v>0</v>
      </c>
      <c r="I904" s="19">
        <v>0</v>
      </c>
      <c r="T904" s="19">
        <f>Registro[[#This Row],[Mes 1]]+Registro[[#This Row],[Mes 2]]+Registro[[#This Row],[Mes 3]]</f>
        <v>0</v>
      </c>
      <c r="U904" s="19">
        <f>Registro[[#This Row],[Mes 4]]+Registro[[#This Row],[Mes 5]]+Registro[[#This Row],[Mes 6]]</f>
        <v>0</v>
      </c>
      <c r="V904" s="19">
        <f>Registro[[#This Row],[Mes 7]]+Registro[[#This Row],[Mes 8]]+Registro[[#This Row],[Mes 9]]</f>
        <v>0</v>
      </c>
      <c r="W904" s="20">
        <f>Registro[[#This Row],[Mes 10]]+Registro[[#This Row],[Mes 11]]+Registro[[#This Row],[Mes 12]]</f>
        <v>0</v>
      </c>
      <c r="X904" s="20">
        <f>SUM(Registro[[#This Row],[Trim I]],Registro[[#This Row],[Trim II]],Registro[[#This Row],[Trim III]],Registro[[#This Row],[Trim IV]])</f>
        <v>0</v>
      </c>
      <c r="Y904" s="22">
        <f>IFERROR((Registro[[#This Row],[Avance Total]]/Registro[[#This Row],[Meta]]),0)</f>
        <v>0</v>
      </c>
      <c r="Z904" s="22">
        <f>IFERROR((Registro[[#This Row],[Avance Total]]-Registro[[#This Row],[Línea Base 2025]])/Registro[[#This Row],[Línea Base 2025]],0)</f>
        <v>0</v>
      </c>
      <c r="AA904" s="20">
        <v>2026</v>
      </c>
    </row>
    <row r="905" spans="1:27" hidden="1">
      <c r="A905" s="14">
        <v>1070</v>
      </c>
      <c r="B905" s="15" t="s">
        <v>100</v>
      </c>
      <c r="C905" s="16">
        <v>117</v>
      </c>
      <c r="D905" s="16" t="s">
        <v>187</v>
      </c>
      <c r="E905" s="17" t="s">
        <v>186</v>
      </c>
      <c r="F905" s="24">
        <v>0</v>
      </c>
      <c r="G905" s="19">
        <v>1</v>
      </c>
      <c r="H905" s="19">
        <v>0</v>
      </c>
      <c r="I905" s="19">
        <v>0</v>
      </c>
      <c r="T905" s="19">
        <f>Registro[[#This Row],[Mes 1]]+Registro[[#This Row],[Mes 2]]+Registro[[#This Row],[Mes 3]]</f>
        <v>0</v>
      </c>
      <c r="U905" s="19">
        <f>Registro[[#This Row],[Mes 4]]+Registro[[#This Row],[Mes 5]]+Registro[[#This Row],[Mes 6]]</f>
        <v>0</v>
      </c>
      <c r="V905" s="19">
        <f>Registro[[#This Row],[Mes 7]]+Registro[[#This Row],[Mes 8]]+Registro[[#This Row],[Mes 9]]</f>
        <v>0</v>
      </c>
      <c r="W905" s="20">
        <f>Registro[[#This Row],[Mes 10]]+Registro[[#This Row],[Mes 11]]+Registro[[#This Row],[Mes 12]]</f>
        <v>0</v>
      </c>
      <c r="X905" s="20">
        <f>SUM(Registro[[#This Row],[Trim I]],Registro[[#This Row],[Trim II]],Registro[[#This Row],[Trim III]],Registro[[#This Row],[Trim IV]])</f>
        <v>0</v>
      </c>
      <c r="Y905" s="22">
        <f>IFERROR((Registro[[#This Row],[Avance Total]]/Registro[[#This Row],[Meta]]),0)</f>
        <v>0</v>
      </c>
      <c r="Z905" s="22">
        <f>IFERROR((Registro[[#This Row],[Avance Total]]-Registro[[#This Row],[Línea Base 2025]])/Registro[[#This Row],[Línea Base 2025]],0)</f>
        <v>0</v>
      </c>
      <c r="AA905" s="20">
        <v>2026</v>
      </c>
    </row>
    <row r="906" spans="1:27" hidden="1">
      <c r="A906" s="14">
        <v>1070</v>
      </c>
      <c r="B906" s="15" t="s">
        <v>100</v>
      </c>
      <c r="C906" s="16">
        <v>118</v>
      </c>
      <c r="D906" s="16" t="s">
        <v>188</v>
      </c>
      <c r="E906" s="17" t="s">
        <v>9</v>
      </c>
      <c r="F906" s="24">
        <v>0</v>
      </c>
      <c r="G906" s="19">
        <v>0</v>
      </c>
      <c r="H906" s="19">
        <v>0</v>
      </c>
      <c r="I906" s="19">
        <v>0</v>
      </c>
      <c r="T906" s="19">
        <f>Registro[[#This Row],[Mes 1]]+Registro[[#This Row],[Mes 2]]+Registro[[#This Row],[Mes 3]]</f>
        <v>0</v>
      </c>
      <c r="U906" s="19">
        <f>Registro[[#This Row],[Mes 4]]+Registro[[#This Row],[Mes 5]]+Registro[[#This Row],[Mes 6]]</f>
        <v>0</v>
      </c>
      <c r="V906" s="19">
        <f>Registro[[#This Row],[Mes 7]]+Registro[[#This Row],[Mes 8]]+Registro[[#This Row],[Mes 9]]</f>
        <v>0</v>
      </c>
      <c r="W906" s="20">
        <f>Registro[[#This Row],[Mes 10]]+Registro[[#This Row],[Mes 11]]+Registro[[#This Row],[Mes 12]]</f>
        <v>0</v>
      </c>
      <c r="X906" s="20">
        <f>SUM(Registro[[#This Row],[Trim I]],Registro[[#This Row],[Trim II]],Registro[[#This Row],[Trim III]],Registro[[#This Row],[Trim IV]])</f>
        <v>0</v>
      </c>
      <c r="Y906" s="22">
        <f>IFERROR((Registro[[#This Row],[Avance Total]]/Registro[[#This Row],[Meta]]),0)</f>
        <v>0</v>
      </c>
      <c r="Z906" s="22">
        <f>IFERROR((Registro[[#This Row],[Avance Total]]-Registro[[#This Row],[Línea Base 2025]])/Registro[[#This Row],[Línea Base 2025]],0)</f>
        <v>0</v>
      </c>
      <c r="AA906" s="20">
        <v>2026</v>
      </c>
    </row>
    <row r="907" spans="1:27" hidden="1">
      <c r="A907" s="14">
        <v>1070</v>
      </c>
      <c r="B907" s="15" t="s">
        <v>100</v>
      </c>
      <c r="C907" s="16">
        <v>119</v>
      </c>
      <c r="D907" s="16" t="s">
        <v>190</v>
      </c>
      <c r="E907" s="17" t="s">
        <v>189</v>
      </c>
      <c r="F907" s="24">
        <v>0</v>
      </c>
      <c r="G907" s="19">
        <v>0</v>
      </c>
      <c r="H907" s="19">
        <v>0</v>
      </c>
      <c r="I907" s="19">
        <v>0</v>
      </c>
      <c r="T907" s="19">
        <f>Registro[[#This Row],[Mes 1]]+Registro[[#This Row],[Mes 2]]+Registro[[#This Row],[Mes 3]]</f>
        <v>0</v>
      </c>
      <c r="U907" s="19">
        <f>Registro[[#This Row],[Mes 4]]+Registro[[#This Row],[Mes 5]]+Registro[[#This Row],[Mes 6]]</f>
        <v>0</v>
      </c>
      <c r="V907" s="19">
        <f>Registro[[#This Row],[Mes 7]]+Registro[[#This Row],[Mes 8]]+Registro[[#This Row],[Mes 9]]</f>
        <v>0</v>
      </c>
      <c r="W907" s="20">
        <f>Registro[[#This Row],[Mes 10]]+Registro[[#This Row],[Mes 11]]+Registro[[#This Row],[Mes 12]]</f>
        <v>0</v>
      </c>
      <c r="X907" s="20">
        <f>SUM(Registro[[#This Row],[Trim I]],Registro[[#This Row],[Trim II]],Registro[[#This Row],[Trim III]],Registro[[#This Row],[Trim IV]])</f>
        <v>0</v>
      </c>
      <c r="Y907" s="22">
        <f>IFERROR((Registro[[#This Row],[Avance Total]]/Registro[[#This Row],[Meta]]),0)</f>
        <v>0</v>
      </c>
      <c r="Z907" s="22">
        <f>IFERROR((Registro[[#This Row],[Avance Total]]-Registro[[#This Row],[Línea Base 2025]])/Registro[[#This Row],[Línea Base 2025]],0)</f>
        <v>0</v>
      </c>
      <c r="AA907" s="20">
        <v>2026</v>
      </c>
    </row>
    <row r="908" spans="1:27" hidden="1">
      <c r="A908" s="14">
        <v>1070</v>
      </c>
      <c r="B908" s="15" t="s">
        <v>100</v>
      </c>
      <c r="C908" s="16">
        <v>120</v>
      </c>
      <c r="D908" s="16" t="s">
        <v>192</v>
      </c>
      <c r="E908" s="17" t="s">
        <v>191</v>
      </c>
      <c r="F908" s="24">
        <v>0</v>
      </c>
      <c r="G908" s="19">
        <v>3</v>
      </c>
      <c r="H908" s="19">
        <v>0</v>
      </c>
      <c r="I908" s="19">
        <v>2</v>
      </c>
      <c r="T908" s="19">
        <f>Registro[[#This Row],[Mes 1]]+Registro[[#This Row],[Mes 2]]+Registro[[#This Row],[Mes 3]]</f>
        <v>2</v>
      </c>
      <c r="U908" s="19">
        <f>Registro[[#This Row],[Mes 4]]+Registro[[#This Row],[Mes 5]]+Registro[[#This Row],[Mes 6]]</f>
        <v>0</v>
      </c>
      <c r="V908" s="19">
        <f>Registro[[#This Row],[Mes 7]]+Registro[[#This Row],[Mes 8]]+Registro[[#This Row],[Mes 9]]</f>
        <v>0</v>
      </c>
      <c r="W908" s="20">
        <f>Registro[[#This Row],[Mes 10]]+Registro[[#This Row],[Mes 11]]+Registro[[#This Row],[Mes 12]]</f>
        <v>0</v>
      </c>
      <c r="X908" s="20">
        <f>SUM(Registro[[#This Row],[Trim I]],Registro[[#This Row],[Trim II]],Registro[[#This Row],[Trim III]],Registro[[#This Row],[Trim IV]])</f>
        <v>2</v>
      </c>
      <c r="Y908" s="22">
        <f>IFERROR((Registro[[#This Row],[Avance Total]]/Registro[[#This Row],[Meta]]),0)</f>
        <v>0.66666666666666663</v>
      </c>
      <c r="Z908" s="22">
        <f>IFERROR((Registro[[#This Row],[Avance Total]]-Registro[[#This Row],[Línea Base 2025]])/Registro[[#This Row],[Línea Base 2025]],0)</f>
        <v>0</v>
      </c>
      <c r="AA908" s="20">
        <v>2026</v>
      </c>
    </row>
    <row r="909" spans="1:27" hidden="1">
      <c r="A909" s="14">
        <v>1070</v>
      </c>
      <c r="B909" s="15" t="s">
        <v>100</v>
      </c>
      <c r="C909" s="16">
        <v>121</v>
      </c>
      <c r="D909" s="16" t="s">
        <v>194</v>
      </c>
      <c r="E909" s="17" t="s">
        <v>193</v>
      </c>
      <c r="F909" s="24">
        <v>0</v>
      </c>
      <c r="G909" s="19">
        <v>0</v>
      </c>
      <c r="H909" s="19">
        <v>0</v>
      </c>
      <c r="I909" s="19">
        <v>0</v>
      </c>
      <c r="T909" s="19">
        <f>Registro[[#This Row],[Mes 1]]+Registro[[#This Row],[Mes 2]]+Registro[[#This Row],[Mes 3]]</f>
        <v>0</v>
      </c>
      <c r="U909" s="19">
        <f>Registro[[#This Row],[Mes 4]]+Registro[[#This Row],[Mes 5]]+Registro[[#This Row],[Mes 6]]</f>
        <v>0</v>
      </c>
      <c r="V909" s="19">
        <f>Registro[[#This Row],[Mes 7]]+Registro[[#This Row],[Mes 8]]+Registro[[#This Row],[Mes 9]]</f>
        <v>0</v>
      </c>
      <c r="W909" s="20">
        <f>Registro[[#This Row],[Mes 10]]+Registro[[#This Row],[Mes 11]]+Registro[[#This Row],[Mes 12]]</f>
        <v>0</v>
      </c>
      <c r="X909" s="20">
        <f>SUM(Registro[[#This Row],[Trim I]],Registro[[#This Row],[Trim II]],Registro[[#This Row],[Trim III]],Registro[[#This Row],[Trim IV]])</f>
        <v>0</v>
      </c>
      <c r="Y909" s="22">
        <f>IFERROR((Registro[[#This Row],[Avance Total]]/Registro[[#This Row],[Meta]]),0)</f>
        <v>0</v>
      </c>
      <c r="Z909" s="22">
        <f>IFERROR((Registro[[#This Row],[Avance Total]]-Registro[[#This Row],[Línea Base 2025]])/Registro[[#This Row],[Línea Base 2025]],0)</f>
        <v>0</v>
      </c>
      <c r="AA909" s="20">
        <v>2026</v>
      </c>
    </row>
    <row r="910" spans="1:27" hidden="1">
      <c r="A910" s="14">
        <v>1070</v>
      </c>
      <c r="B910" s="15" t="s">
        <v>100</v>
      </c>
      <c r="C910" s="16">
        <v>122</v>
      </c>
      <c r="D910" s="16" t="s">
        <v>196</v>
      </c>
      <c r="E910" s="17" t="s">
        <v>195</v>
      </c>
      <c r="F910" s="24">
        <v>1</v>
      </c>
      <c r="G910" s="19">
        <v>2</v>
      </c>
      <c r="H910" s="19">
        <v>0</v>
      </c>
      <c r="I910" s="19">
        <v>0</v>
      </c>
      <c r="T910" s="19">
        <f>Registro[[#This Row],[Mes 1]]+Registro[[#This Row],[Mes 2]]+Registro[[#This Row],[Mes 3]]</f>
        <v>0</v>
      </c>
      <c r="U910" s="19">
        <f>Registro[[#This Row],[Mes 4]]+Registro[[#This Row],[Mes 5]]+Registro[[#This Row],[Mes 6]]</f>
        <v>0</v>
      </c>
      <c r="V910" s="19">
        <f>Registro[[#This Row],[Mes 7]]+Registro[[#This Row],[Mes 8]]+Registro[[#This Row],[Mes 9]]</f>
        <v>0</v>
      </c>
      <c r="W910" s="20">
        <f>Registro[[#This Row],[Mes 10]]+Registro[[#This Row],[Mes 11]]+Registro[[#This Row],[Mes 12]]</f>
        <v>0</v>
      </c>
      <c r="X910" s="20">
        <f>SUM(Registro[[#This Row],[Trim I]],Registro[[#This Row],[Trim II]],Registro[[#This Row],[Trim III]],Registro[[#This Row],[Trim IV]])</f>
        <v>0</v>
      </c>
      <c r="Y910" s="22">
        <f>IFERROR((Registro[[#This Row],[Avance Total]]/Registro[[#This Row],[Meta]]),0)</f>
        <v>0</v>
      </c>
      <c r="Z910" s="22">
        <f>IFERROR((Registro[[#This Row],[Avance Total]]-Registro[[#This Row],[Línea Base 2025]])/Registro[[#This Row],[Línea Base 2025]],0)</f>
        <v>-1</v>
      </c>
      <c r="AA910" s="20">
        <v>2026</v>
      </c>
    </row>
    <row r="911" spans="1:27" hidden="1">
      <c r="A911" s="14">
        <v>1070</v>
      </c>
      <c r="B911" s="15" t="s">
        <v>100</v>
      </c>
      <c r="C911" s="16">
        <v>123</v>
      </c>
      <c r="D911" s="16" t="s">
        <v>198</v>
      </c>
      <c r="E911" s="17" t="s">
        <v>197</v>
      </c>
      <c r="F911" s="24">
        <v>0</v>
      </c>
      <c r="G911" s="19">
        <v>1</v>
      </c>
      <c r="H911" s="19">
        <v>0</v>
      </c>
      <c r="I911" s="19">
        <v>0</v>
      </c>
      <c r="T911" s="19">
        <f>Registro[[#This Row],[Mes 1]]+Registro[[#This Row],[Mes 2]]+Registro[[#This Row],[Mes 3]]</f>
        <v>0</v>
      </c>
      <c r="U911" s="19">
        <f>Registro[[#This Row],[Mes 4]]+Registro[[#This Row],[Mes 5]]+Registro[[#This Row],[Mes 6]]</f>
        <v>0</v>
      </c>
      <c r="V911" s="19">
        <f>Registro[[#This Row],[Mes 7]]+Registro[[#This Row],[Mes 8]]+Registro[[#This Row],[Mes 9]]</f>
        <v>0</v>
      </c>
      <c r="W911" s="20">
        <f>Registro[[#This Row],[Mes 10]]+Registro[[#This Row],[Mes 11]]+Registro[[#This Row],[Mes 12]]</f>
        <v>0</v>
      </c>
      <c r="X911" s="20">
        <f>SUM(Registro[[#This Row],[Trim I]],Registro[[#This Row],[Trim II]],Registro[[#This Row],[Trim III]],Registro[[#This Row],[Trim IV]])</f>
        <v>0</v>
      </c>
      <c r="Y911" s="22">
        <f>IFERROR((Registro[[#This Row],[Avance Total]]/Registro[[#This Row],[Meta]]),0)</f>
        <v>0</v>
      </c>
      <c r="Z911" s="22">
        <f>IFERROR((Registro[[#This Row],[Avance Total]]-Registro[[#This Row],[Línea Base 2025]])/Registro[[#This Row],[Línea Base 2025]],0)</f>
        <v>0</v>
      </c>
      <c r="AA911" s="20">
        <v>2026</v>
      </c>
    </row>
    <row r="912" spans="1:27" hidden="1">
      <c r="A912" s="14">
        <v>1071</v>
      </c>
      <c r="B912" s="15" t="s">
        <v>101</v>
      </c>
      <c r="C912" s="16">
        <v>111</v>
      </c>
      <c r="D912" s="16" t="s">
        <v>171</v>
      </c>
      <c r="E912" s="17" t="s">
        <v>172</v>
      </c>
      <c r="F912" s="24">
        <v>11</v>
      </c>
      <c r="G912" s="19">
        <v>35</v>
      </c>
      <c r="H912" s="19">
        <v>0</v>
      </c>
      <c r="I912" s="19">
        <v>1</v>
      </c>
      <c r="T912" s="19">
        <f>Registro[[#This Row],[Mes 1]]+Registro[[#This Row],[Mes 2]]+Registro[[#This Row],[Mes 3]]</f>
        <v>1</v>
      </c>
      <c r="U912" s="19">
        <f>Registro[[#This Row],[Mes 4]]+Registro[[#This Row],[Mes 5]]+Registro[[#This Row],[Mes 6]]</f>
        <v>0</v>
      </c>
      <c r="V912" s="19">
        <f>Registro[[#This Row],[Mes 7]]+Registro[[#This Row],[Mes 8]]+Registro[[#This Row],[Mes 9]]</f>
        <v>0</v>
      </c>
      <c r="W912" s="20">
        <f>Registro[[#This Row],[Mes 10]]+Registro[[#This Row],[Mes 11]]+Registro[[#This Row],[Mes 12]]</f>
        <v>0</v>
      </c>
      <c r="X912" s="20">
        <f>SUM(Registro[[#This Row],[Trim I]],Registro[[#This Row],[Trim II]],Registro[[#This Row],[Trim III]],Registro[[#This Row],[Trim IV]])</f>
        <v>1</v>
      </c>
      <c r="Y912" s="22">
        <f>IFERROR((Registro[[#This Row],[Avance Total]]/Registro[[#This Row],[Meta]]),0)</f>
        <v>2.8571428571428571E-2</v>
      </c>
      <c r="Z912" s="22">
        <f>IFERROR((Registro[[#This Row],[Avance Total]]-Registro[[#This Row],[Línea Base 2025]])/Registro[[#This Row],[Línea Base 2025]],0)</f>
        <v>-0.90909090909090906</v>
      </c>
      <c r="AA912" s="20">
        <v>2026</v>
      </c>
    </row>
    <row r="913" spans="1:27" hidden="1">
      <c r="A913" s="14">
        <v>1071</v>
      </c>
      <c r="B913" s="15" t="s">
        <v>101</v>
      </c>
      <c r="C913" s="16">
        <v>112</v>
      </c>
      <c r="D913" s="16" t="s">
        <v>173</v>
      </c>
      <c r="E913" s="17" t="s">
        <v>7</v>
      </c>
      <c r="F913" s="24">
        <v>6</v>
      </c>
      <c r="G913" s="19">
        <v>18</v>
      </c>
      <c r="H913" s="19">
        <v>0</v>
      </c>
      <c r="I913" s="19">
        <v>0</v>
      </c>
      <c r="T913" s="19">
        <f>Registro[[#This Row],[Mes 1]]+Registro[[#This Row],[Mes 2]]+Registro[[#This Row],[Mes 3]]</f>
        <v>0</v>
      </c>
      <c r="U913" s="19">
        <f>Registro[[#This Row],[Mes 4]]+Registro[[#This Row],[Mes 5]]+Registro[[#This Row],[Mes 6]]</f>
        <v>0</v>
      </c>
      <c r="V913" s="19">
        <f>Registro[[#This Row],[Mes 7]]+Registro[[#This Row],[Mes 8]]+Registro[[#This Row],[Mes 9]]</f>
        <v>0</v>
      </c>
      <c r="W913" s="20">
        <f>Registro[[#This Row],[Mes 10]]+Registro[[#This Row],[Mes 11]]+Registro[[#This Row],[Mes 12]]</f>
        <v>0</v>
      </c>
      <c r="X913" s="20">
        <f>SUM(Registro[[#This Row],[Trim I]],Registro[[#This Row],[Trim II]],Registro[[#This Row],[Trim III]],Registro[[#This Row],[Trim IV]])</f>
        <v>0</v>
      </c>
      <c r="Y913" s="22">
        <f>IFERROR((Registro[[#This Row],[Avance Total]]/Registro[[#This Row],[Meta]]),0)</f>
        <v>0</v>
      </c>
      <c r="Z913" s="22">
        <f>IFERROR((Registro[[#This Row],[Avance Total]]-Registro[[#This Row],[Línea Base 2025]])/Registro[[#This Row],[Línea Base 2025]],0)</f>
        <v>-1</v>
      </c>
      <c r="AA913" s="20">
        <v>2026</v>
      </c>
    </row>
    <row r="914" spans="1:27" hidden="1">
      <c r="A914" s="14">
        <v>1071</v>
      </c>
      <c r="B914" s="15" t="s">
        <v>101</v>
      </c>
      <c r="C914" s="16">
        <v>113</v>
      </c>
      <c r="D914" s="16" t="s">
        <v>179</v>
      </c>
      <c r="E914" s="17" t="s">
        <v>178</v>
      </c>
      <c r="F914" s="24">
        <v>11</v>
      </c>
      <c r="G914" s="19">
        <v>55</v>
      </c>
      <c r="H914" s="19">
        <v>0</v>
      </c>
      <c r="I914" s="19">
        <v>0</v>
      </c>
      <c r="T914" s="19">
        <f>Registro[[#This Row],[Mes 1]]+Registro[[#This Row],[Mes 2]]+Registro[[#This Row],[Mes 3]]</f>
        <v>0</v>
      </c>
      <c r="U914" s="19">
        <f>Registro[[#This Row],[Mes 4]]+Registro[[#This Row],[Mes 5]]+Registro[[#This Row],[Mes 6]]</f>
        <v>0</v>
      </c>
      <c r="V914" s="19">
        <f>Registro[[#This Row],[Mes 7]]+Registro[[#This Row],[Mes 8]]+Registro[[#This Row],[Mes 9]]</f>
        <v>0</v>
      </c>
      <c r="W914" s="20">
        <f>Registro[[#This Row],[Mes 10]]+Registro[[#This Row],[Mes 11]]+Registro[[#This Row],[Mes 12]]</f>
        <v>0</v>
      </c>
      <c r="X914" s="20">
        <f>SUM(Registro[[#This Row],[Trim I]],Registro[[#This Row],[Trim II]],Registro[[#This Row],[Trim III]],Registro[[#This Row],[Trim IV]])</f>
        <v>0</v>
      </c>
      <c r="Y914" s="22">
        <f>IFERROR((Registro[[#This Row],[Avance Total]]/Registro[[#This Row],[Meta]]),0)</f>
        <v>0</v>
      </c>
      <c r="Z914" s="22">
        <f>IFERROR((Registro[[#This Row],[Avance Total]]-Registro[[#This Row],[Línea Base 2025]])/Registro[[#This Row],[Línea Base 2025]],0)</f>
        <v>-1</v>
      </c>
      <c r="AA914" s="20">
        <v>2026</v>
      </c>
    </row>
    <row r="915" spans="1:27" hidden="1">
      <c r="A915" s="14">
        <v>1071</v>
      </c>
      <c r="B915" s="15" t="s">
        <v>101</v>
      </c>
      <c r="C915" s="16">
        <v>114</v>
      </c>
      <c r="D915" s="16" t="s">
        <v>181</v>
      </c>
      <c r="E915" s="17" t="s">
        <v>180</v>
      </c>
      <c r="F915" s="24">
        <v>1</v>
      </c>
      <c r="G915" s="19">
        <v>1</v>
      </c>
      <c r="H915" s="19">
        <v>0</v>
      </c>
      <c r="I915" s="19">
        <v>0</v>
      </c>
      <c r="T915" s="19">
        <f>Registro[[#This Row],[Mes 1]]+Registro[[#This Row],[Mes 2]]+Registro[[#This Row],[Mes 3]]</f>
        <v>0</v>
      </c>
      <c r="U915" s="19">
        <f>Registro[[#This Row],[Mes 4]]+Registro[[#This Row],[Mes 5]]+Registro[[#This Row],[Mes 6]]</f>
        <v>0</v>
      </c>
      <c r="V915" s="19">
        <f>Registro[[#This Row],[Mes 7]]+Registro[[#This Row],[Mes 8]]+Registro[[#This Row],[Mes 9]]</f>
        <v>0</v>
      </c>
      <c r="W915" s="20">
        <f>Registro[[#This Row],[Mes 10]]+Registro[[#This Row],[Mes 11]]+Registro[[#This Row],[Mes 12]]</f>
        <v>0</v>
      </c>
      <c r="X915" s="20">
        <f>SUM(Registro[[#This Row],[Trim I]],Registro[[#This Row],[Trim II]],Registro[[#This Row],[Trim III]],Registro[[#This Row],[Trim IV]])</f>
        <v>0</v>
      </c>
      <c r="Y915" s="22">
        <f>IFERROR((Registro[[#This Row],[Avance Total]]/Registro[[#This Row],[Meta]]),0)</f>
        <v>0</v>
      </c>
      <c r="Z915" s="22">
        <f>IFERROR((Registro[[#This Row],[Avance Total]]-Registro[[#This Row],[Línea Base 2025]])/Registro[[#This Row],[Línea Base 2025]],0)</f>
        <v>-1</v>
      </c>
      <c r="AA915" s="20">
        <v>2026</v>
      </c>
    </row>
    <row r="916" spans="1:27" hidden="1">
      <c r="A916" s="14">
        <v>1071</v>
      </c>
      <c r="B916" s="15" t="s">
        <v>101</v>
      </c>
      <c r="C916" s="16">
        <v>115</v>
      </c>
      <c r="D916" s="16" t="s">
        <v>183</v>
      </c>
      <c r="E916" s="17" t="s">
        <v>182</v>
      </c>
      <c r="F916" s="24">
        <v>0</v>
      </c>
      <c r="G916" s="19">
        <v>1</v>
      </c>
      <c r="H916" s="19">
        <v>0</v>
      </c>
      <c r="I916" s="19">
        <v>0</v>
      </c>
      <c r="T916" s="19">
        <f>Registro[[#This Row],[Mes 1]]+Registro[[#This Row],[Mes 2]]+Registro[[#This Row],[Mes 3]]</f>
        <v>0</v>
      </c>
      <c r="U916" s="19">
        <f>Registro[[#This Row],[Mes 4]]+Registro[[#This Row],[Mes 5]]+Registro[[#This Row],[Mes 6]]</f>
        <v>0</v>
      </c>
      <c r="V916" s="19">
        <f>Registro[[#This Row],[Mes 7]]+Registro[[#This Row],[Mes 8]]+Registro[[#This Row],[Mes 9]]</f>
        <v>0</v>
      </c>
      <c r="W916" s="20">
        <f>Registro[[#This Row],[Mes 10]]+Registro[[#This Row],[Mes 11]]+Registro[[#This Row],[Mes 12]]</f>
        <v>0</v>
      </c>
      <c r="X916" s="20">
        <f>SUM(Registro[[#This Row],[Trim I]],Registro[[#This Row],[Trim II]],Registro[[#This Row],[Trim III]],Registro[[#This Row],[Trim IV]])</f>
        <v>0</v>
      </c>
      <c r="Y916" s="22">
        <f>IFERROR((Registro[[#This Row],[Avance Total]]/Registro[[#This Row],[Meta]]),0)</f>
        <v>0</v>
      </c>
      <c r="Z916" s="22">
        <f>IFERROR((Registro[[#This Row],[Avance Total]]-Registro[[#This Row],[Línea Base 2025]])/Registro[[#This Row],[Línea Base 2025]],0)</f>
        <v>0</v>
      </c>
      <c r="AA916" s="20">
        <v>2026</v>
      </c>
    </row>
    <row r="917" spans="1:27">
      <c r="A917" s="14">
        <v>1071</v>
      </c>
      <c r="B917" s="15" t="s">
        <v>101</v>
      </c>
      <c r="C917" s="16">
        <v>116</v>
      </c>
      <c r="D917" s="16" t="s">
        <v>185</v>
      </c>
      <c r="E917" s="17" t="s">
        <v>184</v>
      </c>
      <c r="F917" s="24">
        <v>0</v>
      </c>
      <c r="G917" s="19">
        <v>2</v>
      </c>
      <c r="H917" s="19">
        <v>0</v>
      </c>
      <c r="I917" s="19">
        <v>0</v>
      </c>
      <c r="T917" s="19">
        <f>Registro[[#This Row],[Mes 1]]+Registro[[#This Row],[Mes 2]]+Registro[[#This Row],[Mes 3]]</f>
        <v>0</v>
      </c>
      <c r="U917" s="19">
        <f>Registro[[#This Row],[Mes 4]]+Registro[[#This Row],[Mes 5]]+Registro[[#This Row],[Mes 6]]</f>
        <v>0</v>
      </c>
      <c r="V917" s="19">
        <f>Registro[[#This Row],[Mes 7]]+Registro[[#This Row],[Mes 8]]+Registro[[#This Row],[Mes 9]]</f>
        <v>0</v>
      </c>
      <c r="W917" s="20">
        <f>Registro[[#This Row],[Mes 10]]+Registro[[#This Row],[Mes 11]]+Registro[[#This Row],[Mes 12]]</f>
        <v>0</v>
      </c>
      <c r="X917" s="20">
        <f>SUM(Registro[[#This Row],[Trim I]],Registro[[#This Row],[Trim II]],Registro[[#This Row],[Trim III]],Registro[[#This Row],[Trim IV]])</f>
        <v>0</v>
      </c>
      <c r="Y917" s="22">
        <f>IFERROR((Registro[[#This Row],[Avance Total]]/Registro[[#This Row],[Meta]]),0)</f>
        <v>0</v>
      </c>
      <c r="Z917" s="22">
        <f>IFERROR((Registro[[#This Row],[Avance Total]]-Registro[[#This Row],[Línea Base 2025]])/Registro[[#This Row],[Línea Base 2025]],0)</f>
        <v>0</v>
      </c>
      <c r="AA917" s="20">
        <v>2026</v>
      </c>
    </row>
    <row r="918" spans="1:27" hidden="1">
      <c r="A918" s="14">
        <v>1071</v>
      </c>
      <c r="B918" s="15" t="s">
        <v>101</v>
      </c>
      <c r="C918" s="16">
        <v>117</v>
      </c>
      <c r="D918" s="16" t="s">
        <v>187</v>
      </c>
      <c r="E918" s="17" t="s">
        <v>186</v>
      </c>
      <c r="F918" s="24">
        <v>0</v>
      </c>
      <c r="G918" s="19">
        <v>2</v>
      </c>
      <c r="H918" s="19">
        <v>0</v>
      </c>
      <c r="I918" s="19">
        <v>0</v>
      </c>
      <c r="T918" s="19">
        <f>Registro[[#This Row],[Mes 1]]+Registro[[#This Row],[Mes 2]]+Registro[[#This Row],[Mes 3]]</f>
        <v>0</v>
      </c>
      <c r="U918" s="19">
        <f>Registro[[#This Row],[Mes 4]]+Registro[[#This Row],[Mes 5]]+Registro[[#This Row],[Mes 6]]</f>
        <v>0</v>
      </c>
      <c r="V918" s="19">
        <f>Registro[[#This Row],[Mes 7]]+Registro[[#This Row],[Mes 8]]+Registro[[#This Row],[Mes 9]]</f>
        <v>0</v>
      </c>
      <c r="W918" s="20">
        <f>Registro[[#This Row],[Mes 10]]+Registro[[#This Row],[Mes 11]]+Registro[[#This Row],[Mes 12]]</f>
        <v>0</v>
      </c>
      <c r="X918" s="20">
        <f>SUM(Registro[[#This Row],[Trim I]],Registro[[#This Row],[Trim II]],Registro[[#This Row],[Trim III]],Registro[[#This Row],[Trim IV]])</f>
        <v>0</v>
      </c>
      <c r="Y918" s="22">
        <f>IFERROR((Registro[[#This Row],[Avance Total]]/Registro[[#This Row],[Meta]]),0)</f>
        <v>0</v>
      </c>
      <c r="Z918" s="22">
        <f>IFERROR((Registro[[#This Row],[Avance Total]]-Registro[[#This Row],[Línea Base 2025]])/Registro[[#This Row],[Línea Base 2025]],0)</f>
        <v>0</v>
      </c>
      <c r="AA918" s="20">
        <v>2026</v>
      </c>
    </row>
    <row r="919" spans="1:27" hidden="1">
      <c r="A919" s="14">
        <v>1071</v>
      </c>
      <c r="B919" s="15" t="s">
        <v>101</v>
      </c>
      <c r="C919" s="16">
        <v>118</v>
      </c>
      <c r="D919" s="16" t="s">
        <v>188</v>
      </c>
      <c r="E919" s="17" t="s">
        <v>9</v>
      </c>
      <c r="F919" s="24">
        <v>0</v>
      </c>
      <c r="G919" s="19">
        <v>2</v>
      </c>
      <c r="H919" s="19">
        <v>0</v>
      </c>
      <c r="I919" s="19">
        <v>0</v>
      </c>
      <c r="T919" s="19">
        <f>Registro[[#This Row],[Mes 1]]+Registro[[#This Row],[Mes 2]]+Registro[[#This Row],[Mes 3]]</f>
        <v>0</v>
      </c>
      <c r="U919" s="19">
        <f>Registro[[#This Row],[Mes 4]]+Registro[[#This Row],[Mes 5]]+Registro[[#This Row],[Mes 6]]</f>
        <v>0</v>
      </c>
      <c r="V919" s="19">
        <f>Registro[[#This Row],[Mes 7]]+Registro[[#This Row],[Mes 8]]+Registro[[#This Row],[Mes 9]]</f>
        <v>0</v>
      </c>
      <c r="W919" s="20">
        <f>Registro[[#This Row],[Mes 10]]+Registro[[#This Row],[Mes 11]]+Registro[[#This Row],[Mes 12]]</f>
        <v>0</v>
      </c>
      <c r="X919" s="20">
        <f>SUM(Registro[[#This Row],[Trim I]],Registro[[#This Row],[Trim II]],Registro[[#This Row],[Trim III]],Registro[[#This Row],[Trim IV]])</f>
        <v>0</v>
      </c>
      <c r="Y919" s="22">
        <f>IFERROR((Registro[[#This Row],[Avance Total]]/Registro[[#This Row],[Meta]]),0)</f>
        <v>0</v>
      </c>
      <c r="Z919" s="22">
        <f>IFERROR((Registro[[#This Row],[Avance Total]]-Registro[[#This Row],[Línea Base 2025]])/Registro[[#This Row],[Línea Base 2025]],0)</f>
        <v>0</v>
      </c>
      <c r="AA919" s="20">
        <v>2026</v>
      </c>
    </row>
    <row r="920" spans="1:27" hidden="1">
      <c r="A920" s="14">
        <v>1071</v>
      </c>
      <c r="B920" s="15" t="s">
        <v>101</v>
      </c>
      <c r="C920" s="16">
        <v>119</v>
      </c>
      <c r="D920" s="16" t="s">
        <v>190</v>
      </c>
      <c r="E920" s="17" t="s">
        <v>189</v>
      </c>
      <c r="F920" s="24">
        <v>0</v>
      </c>
      <c r="G920" s="19">
        <v>2</v>
      </c>
      <c r="H920" s="19">
        <v>0</v>
      </c>
      <c r="I920" s="19">
        <v>0</v>
      </c>
      <c r="T920" s="19">
        <f>Registro[[#This Row],[Mes 1]]+Registro[[#This Row],[Mes 2]]+Registro[[#This Row],[Mes 3]]</f>
        <v>0</v>
      </c>
      <c r="U920" s="19">
        <f>Registro[[#This Row],[Mes 4]]+Registro[[#This Row],[Mes 5]]+Registro[[#This Row],[Mes 6]]</f>
        <v>0</v>
      </c>
      <c r="V920" s="19">
        <f>Registro[[#This Row],[Mes 7]]+Registro[[#This Row],[Mes 8]]+Registro[[#This Row],[Mes 9]]</f>
        <v>0</v>
      </c>
      <c r="W920" s="20">
        <f>Registro[[#This Row],[Mes 10]]+Registro[[#This Row],[Mes 11]]+Registro[[#This Row],[Mes 12]]</f>
        <v>0</v>
      </c>
      <c r="X920" s="20">
        <f>SUM(Registro[[#This Row],[Trim I]],Registro[[#This Row],[Trim II]],Registro[[#This Row],[Trim III]],Registro[[#This Row],[Trim IV]])</f>
        <v>0</v>
      </c>
      <c r="Y920" s="22">
        <f>IFERROR((Registro[[#This Row],[Avance Total]]/Registro[[#This Row],[Meta]]),0)</f>
        <v>0</v>
      </c>
      <c r="Z920" s="22">
        <f>IFERROR((Registro[[#This Row],[Avance Total]]-Registro[[#This Row],[Línea Base 2025]])/Registro[[#This Row],[Línea Base 2025]],0)</f>
        <v>0</v>
      </c>
      <c r="AA920" s="20">
        <v>2026</v>
      </c>
    </row>
    <row r="921" spans="1:27" hidden="1">
      <c r="A921" s="14">
        <v>1071</v>
      </c>
      <c r="B921" s="15" t="s">
        <v>101</v>
      </c>
      <c r="C921" s="16">
        <v>120</v>
      </c>
      <c r="D921" s="16" t="s">
        <v>192</v>
      </c>
      <c r="E921" s="17" t="s">
        <v>191</v>
      </c>
      <c r="F921" s="24">
        <v>0</v>
      </c>
      <c r="G921" s="19">
        <v>14</v>
      </c>
      <c r="H921" s="19">
        <v>0</v>
      </c>
      <c r="I921" s="19">
        <v>0</v>
      </c>
      <c r="T921" s="19">
        <f>Registro[[#This Row],[Mes 1]]+Registro[[#This Row],[Mes 2]]+Registro[[#This Row],[Mes 3]]</f>
        <v>0</v>
      </c>
      <c r="U921" s="19">
        <f>Registro[[#This Row],[Mes 4]]+Registro[[#This Row],[Mes 5]]+Registro[[#This Row],[Mes 6]]</f>
        <v>0</v>
      </c>
      <c r="V921" s="19">
        <f>Registro[[#This Row],[Mes 7]]+Registro[[#This Row],[Mes 8]]+Registro[[#This Row],[Mes 9]]</f>
        <v>0</v>
      </c>
      <c r="W921" s="20">
        <f>Registro[[#This Row],[Mes 10]]+Registro[[#This Row],[Mes 11]]+Registro[[#This Row],[Mes 12]]</f>
        <v>0</v>
      </c>
      <c r="X921" s="20">
        <f>SUM(Registro[[#This Row],[Trim I]],Registro[[#This Row],[Trim II]],Registro[[#This Row],[Trim III]],Registro[[#This Row],[Trim IV]])</f>
        <v>0</v>
      </c>
      <c r="Y921" s="22">
        <f>IFERROR((Registro[[#This Row],[Avance Total]]/Registro[[#This Row],[Meta]]),0)</f>
        <v>0</v>
      </c>
      <c r="Z921" s="22">
        <f>IFERROR((Registro[[#This Row],[Avance Total]]-Registro[[#This Row],[Línea Base 2025]])/Registro[[#This Row],[Línea Base 2025]],0)</f>
        <v>0</v>
      </c>
      <c r="AA921" s="20">
        <v>2026</v>
      </c>
    </row>
    <row r="922" spans="1:27" hidden="1">
      <c r="A922" s="14">
        <v>1071</v>
      </c>
      <c r="B922" s="15" t="s">
        <v>101</v>
      </c>
      <c r="C922" s="16">
        <v>121</v>
      </c>
      <c r="D922" s="16" t="s">
        <v>194</v>
      </c>
      <c r="E922" s="17" t="s">
        <v>193</v>
      </c>
      <c r="F922" s="24">
        <v>0</v>
      </c>
      <c r="G922" s="19">
        <v>2</v>
      </c>
      <c r="H922" s="19">
        <v>0</v>
      </c>
      <c r="I922" s="19">
        <v>0</v>
      </c>
      <c r="T922" s="19">
        <f>Registro[[#This Row],[Mes 1]]+Registro[[#This Row],[Mes 2]]+Registro[[#This Row],[Mes 3]]</f>
        <v>0</v>
      </c>
      <c r="U922" s="19">
        <f>Registro[[#This Row],[Mes 4]]+Registro[[#This Row],[Mes 5]]+Registro[[#This Row],[Mes 6]]</f>
        <v>0</v>
      </c>
      <c r="V922" s="19">
        <f>Registro[[#This Row],[Mes 7]]+Registro[[#This Row],[Mes 8]]+Registro[[#This Row],[Mes 9]]</f>
        <v>0</v>
      </c>
      <c r="W922" s="20">
        <f>Registro[[#This Row],[Mes 10]]+Registro[[#This Row],[Mes 11]]+Registro[[#This Row],[Mes 12]]</f>
        <v>0</v>
      </c>
      <c r="X922" s="20">
        <f>SUM(Registro[[#This Row],[Trim I]],Registro[[#This Row],[Trim II]],Registro[[#This Row],[Trim III]],Registro[[#This Row],[Trim IV]])</f>
        <v>0</v>
      </c>
      <c r="Y922" s="22">
        <f>IFERROR((Registro[[#This Row],[Avance Total]]/Registro[[#This Row],[Meta]]),0)</f>
        <v>0</v>
      </c>
      <c r="Z922" s="22">
        <f>IFERROR((Registro[[#This Row],[Avance Total]]-Registro[[#This Row],[Línea Base 2025]])/Registro[[#This Row],[Línea Base 2025]],0)</f>
        <v>0</v>
      </c>
      <c r="AA922" s="20">
        <v>2026</v>
      </c>
    </row>
    <row r="923" spans="1:27" hidden="1">
      <c r="A923" s="14">
        <v>1071</v>
      </c>
      <c r="B923" s="15" t="s">
        <v>101</v>
      </c>
      <c r="C923" s="16">
        <v>122</v>
      </c>
      <c r="D923" s="16" t="s">
        <v>196</v>
      </c>
      <c r="E923" s="17" t="s">
        <v>195</v>
      </c>
      <c r="F923" s="24">
        <v>0</v>
      </c>
      <c r="G923" s="19">
        <v>8</v>
      </c>
      <c r="H923" s="19">
        <v>0</v>
      </c>
      <c r="I923" s="19">
        <v>0</v>
      </c>
      <c r="T923" s="19">
        <f>Registro[[#This Row],[Mes 1]]+Registro[[#This Row],[Mes 2]]+Registro[[#This Row],[Mes 3]]</f>
        <v>0</v>
      </c>
      <c r="U923" s="19">
        <f>Registro[[#This Row],[Mes 4]]+Registro[[#This Row],[Mes 5]]+Registro[[#This Row],[Mes 6]]</f>
        <v>0</v>
      </c>
      <c r="V923" s="19">
        <f>Registro[[#This Row],[Mes 7]]+Registro[[#This Row],[Mes 8]]+Registro[[#This Row],[Mes 9]]</f>
        <v>0</v>
      </c>
      <c r="W923" s="20">
        <f>Registro[[#This Row],[Mes 10]]+Registro[[#This Row],[Mes 11]]+Registro[[#This Row],[Mes 12]]</f>
        <v>0</v>
      </c>
      <c r="X923" s="20">
        <f>SUM(Registro[[#This Row],[Trim I]],Registro[[#This Row],[Trim II]],Registro[[#This Row],[Trim III]],Registro[[#This Row],[Trim IV]])</f>
        <v>0</v>
      </c>
      <c r="Y923" s="22">
        <f>IFERROR((Registro[[#This Row],[Avance Total]]/Registro[[#This Row],[Meta]]),0)</f>
        <v>0</v>
      </c>
      <c r="Z923" s="22">
        <f>IFERROR((Registro[[#This Row],[Avance Total]]-Registro[[#This Row],[Línea Base 2025]])/Registro[[#This Row],[Línea Base 2025]],0)</f>
        <v>0</v>
      </c>
      <c r="AA923" s="20">
        <v>2026</v>
      </c>
    </row>
    <row r="924" spans="1:27" hidden="1">
      <c r="A924" s="14">
        <v>1071</v>
      </c>
      <c r="B924" s="15" t="s">
        <v>101</v>
      </c>
      <c r="C924" s="16">
        <v>123</v>
      </c>
      <c r="D924" s="16" t="s">
        <v>198</v>
      </c>
      <c r="E924" s="17" t="s">
        <v>197</v>
      </c>
      <c r="F924" s="24">
        <v>0</v>
      </c>
      <c r="G924" s="19">
        <v>1</v>
      </c>
      <c r="H924" s="19">
        <v>0</v>
      </c>
      <c r="I924" s="19">
        <v>0</v>
      </c>
      <c r="T924" s="19">
        <f>Registro[[#This Row],[Mes 1]]+Registro[[#This Row],[Mes 2]]+Registro[[#This Row],[Mes 3]]</f>
        <v>0</v>
      </c>
      <c r="U924" s="19">
        <f>Registro[[#This Row],[Mes 4]]+Registro[[#This Row],[Mes 5]]+Registro[[#This Row],[Mes 6]]</f>
        <v>0</v>
      </c>
      <c r="V924" s="19">
        <f>Registro[[#This Row],[Mes 7]]+Registro[[#This Row],[Mes 8]]+Registro[[#This Row],[Mes 9]]</f>
        <v>0</v>
      </c>
      <c r="W924" s="20">
        <f>Registro[[#This Row],[Mes 10]]+Registro[[#This Row],[Mes 11]]+Registro[[#This Row],[Mes 12]]</f>
        <v>0</v>
      </c>
      <c r="X924" s="20">
        <f>SUM(Registro[[#This Row],[Trim I]],Registro[[#This Row],[Trim II]],Registro[[#This Row],[Trim III]],Registro[[#This Row],[Trim IV]])</f>
        <v>0</v>
      </c>
      <c r="Y924" s="22">
        <f>IFERROR((Registro[[#This Row],[Avance Total]]/Registro[[#This Row],[Meta]]),0)</f>
        <v>0</v>
      </c>
      <c r="Z924" s="22">
        <f>IFERROR((Registro[[#This Row],[Avance Total]]-Registro[[#This Row],[Línea Base 2025]])/Registro[[#This Row],[Línea Base 2025]],0)</f>
        <v>0</v>
      </c>
      <c r="AA924" s="20">
        <v>2026</v>
      </c>
    </row>
    <row r="925" spans="1:27" hidden="1">
      <c r="A925" s="14">
        <v>1072</v>
      </c>
      <c r="B925" s="15" t="s">
        <v>102</v>
      </c>
      <c r="C925" s="16">
        <v>111</v>
      </c>
      <c r="D925" s="16" t="s">
        <v>171</v>
      </c>
      <c r="E925" s="17" t="s">
        <v>172</v>
      </c>
      <c r="F925" s="24">
        <v>32</v>
      </c>
      <c r="G925" s="19">
        <v>32</v>
      </c>
      <c r="H925" s="19">
        <v>0</v>
      </c>
      <c r="I925" s="19">
        <v>1</v>
      </c>
      <c r="T925" s="19">
        <f>Registro[[#This Row],[Mes 1]]+Registro[[#This Row],[Mes 2]]+Registro[[#This Row],[Mes 3]]</f>
        <v>1</v>
      </c>
      <c r="U925" s="19">
        <f>Registro[[#This Row],[Mes 4]]+Registro[[#This Row],[Mes 5]]+Registro[[#This Row],[Mes 6]]</f>
        <v>0</v>
      </c>
      <c r="V925" s="19">
        <f>Registro[[#This Row],[Mes 7]]+Registro[[#This Row],[Mes 8]]+Registro[[#This Row],[Mes 9]]</f>
        <v>0</v>
      </c>
      <c r="W925" s="20">
        <f>Registro[[#This Row],[Mes 10]]+Registro[[#This Row],[Mes 11]]+Registro[[#This Row],[Mes 12]]</f>
        <v>0</v>
      </c>
      <c r="X925" s="20">
        <f>SUM(Registro[[#This Row],[Trim I]],Registro[[#This Row],[Trim II]],Registro[[#This Row],[Trim III]],Registro[[#This Row],[Trim IV]])</f>
        <v>1</v>
      </c>
      <c r="Y925" s="22">
        <f>IFERROR((Registro[[#This Row],[Avance Total]]/Registro[[#This Row],[Meta]]),0)</f>
        <v>3.125E-2</v>
      </c>
      <c r="Z925" s="22">
        <f>IFERROR((Registro[[#This Row],[Avance Total]]-Registro[[#This Row],[Línea Base 2025]])/Registro[[#This Row],[Línea Base 2025]],0)</f>
        <v>-0.96875</v>
      </c>
      <c r="AA925" s="20">
        <v>2026</v>
      </c>
    </row>
    <row r="926" spans="1:27" hidden="1">
      <c r="A926" s="14">
        <v>1072</v>
      </c>
      <c r="B926" s="15" t="s">
        <v>102</v>
      </c>
      <c r="C926" s="16">
        <v>112</v>
      </c>
      <c r="D926" s="16" t="s">
        <v>173</v>
      </c>
      <c r="E926" s="17" t="s">
        <v>7</v>
      </c>
      <c r="F926" s="24">
        <v>15</v>
      </c>
      <c r="G926" s="19">
        <v>58</v>
      </c>
      <c r="H926" s="19">
        <v>0</v>
      </c>
      <c r="I926" s="19">
        <v>0</v>
      </c>
      <c r="T926" s="19">
        <f>Registro[[#This Row],[Mes 1]]+Registro[[#This Row],[Mes 2]]+Registro[[#This Row],[Mes 3]]</f>
        <v>0</v>
      </c>
      <c r="U926" s="19">
        <f>Registro[[#This Row],[Mes 4]]+Registro[[#This Row],[Mes 5]]+Registro[[#This Row],[Mes 6]]</f>
        <v>0</v>
      </c>
      <c r="V926" s="19">
        <f>Registro[[#This Row],[Mes 7]]+Registro[[#This Row],[Mes 8]]+Registro[[#This Row],[Mes 9]]</f>
        <v>0</v>
      </c>
      <c r="W926" s="20">
        <f>Registro[[#This Row],[Mes 10]]+Registro[[#This Row],[Mes 11]]+Registro[[#This Row],[Mes 12]]</f>
        <v>0</v>
      </c>
      <c r="X926" s="20">
        <f>SUM(Registro[[#This Row],[Trim I]],Registro[[#This Row],[Trim II]],Registro[[#This Row],[Trim III]],Registro[[#This Row],[Trim IV]])</f>
        <v>0</v>
      </c>
      <c r="Y926" s="22">
        <f>IFERROR((Registro[[#This Row],[Avance Total]]/Registro[[#This Row],[Meta]]),0)</f>
        <v>0</v>
      </c>
      <c r="Z926" s="22">
        <f>IFERROR((Registro[[#This Row],[Avance Total]]-Registro[[#This Row],[Línea Base 2025]])/Registro[[#This Row],[Línea Base 2025]],0)</f>
        <v>-1</v>
      </c>
      <c r="AA926" s="20">
        <v>2026</v>
      </c>
    </row>
    <row r="927" spans="1:27" hidden="1">
      <c r="A927" s="14">
        <v>1072</v>
      </c>
      <c r="B927" s="15" t="s">
        <v>102</v>
      </c>
      <c r="C927" s="16">
        <v>113</v>
      </c>
      <c r="D927" s="16" t="s">
        <v>179</v>
      </c>
      <c r="E927" s="17" t="s">
        <v>178</v>
      </c>
      <c r="F927" s="24">
        <v>43</v>
      </c>
      <c r="G927" s="19">
        <v>115</v>
      </c>
      <c r="H927" s="19">
        <v>0</v>
      </c>
      <c r="I927" s="19">
        <v>0</v>
      </c>
      <c r="T927" s="19">
        <f>Registro[[#This Row],[Mes 1]]+Registro[[#This Row],[Mes 2]]+Registro[[#This Row],[Mes 3]]</f>
        <v>0</v>
      </c>
      <c r="U927" s="19">
        <f>Registro[[#This Row],[Mes 4]]+Registro[[#This Row],[Mes 5]]+Registro[[#This Row],[Mes 6]]</f>
        <v>0</v>
      </c>
      <c r="V927" s="19">
        <f>Registro[[#This Row],[Mes 7]]+Registro[[#This Row],[Mes 8]]+Registro[[#This Row],[Mes 9]]</f>
        <v>0</v>
      </c>
      <c r="W927" s="20">
        <f>Registro[[#This Row],[Mes 10]]+Registro[[#This Row],[Mes 11]]+Registro[[#This Row],[Mes 12]]</f>
        <v>0</v>
      </c>
      <c r="X927" s="20">
        <f>SUM(Registro[[#This Row],[Trim I]],Registro[[#This Row],[Trim II]],Registro[[#This Row],[Trim III]],Registro[[#This Row],[Trim IV]])</f>
        <v>0</v>
      </c>
      <c r="Y927" s="22">
        <f>IFERROR((Registro[[#This Row],[Avance Total]]/Registro[[#This Row],[Meta]]),0)</f>
        <v>0</v>
      </c>
      <c r="Z927" s="22">
        <f>IFERROR((Registro[[#This Row],[Avance Total]]-Registro[[#This Row],[Línea Base 2025]])/Registro[[#This Row],[Línea Base 2025]],0)</f>
        <v>-1</v>
      </c>
      <c r="AA927" s="20">
        <v>2026</v>
      </c>
    </row>
    <row r="928" spans="1:27" hidden="1">
      <c r="A928" s="14">
        <v>1072</v>
      </c>
      <c r="B928" s="15" t="s">
        <v>102</v>
      </c>
      <c r="C928" s="16">
        <v>114</v>
      </c>
      <c r="D928" s="16" t="s">
        <v>181</v>
      </c>
      <c r="E928" s="17" t="s">
        <v>180</v>
      </c>
      <c r="F928" s="24">
        <v>9</v>
      </c>
      <c r="G928" s="19">
        <v>9</v>
      </c>
      <c r="H928" s="19">
        <v>0</v>
      </c>
      <c r="I928" s="19">
        <v>0</v>
      </c>
      <c r="T928" s="19">
        <f>Registro[[#This Row],[Mes 1]]+Registro[[#This Row],[Mes 2]]+Registro[[#This Row],[Mes 3]]</f>
        <v>0</v>
      </c>
      <c r="U928" s="19">
        <f>Registro[[#This Row],[Mes 4]]+Registro[[#This Row],[Mes 5]]+Registro[[#This Row],[Mes 6]]</f>
        <v>0</v>
      </c>
      <c r="V928" s="19">
        <f>Registro[[#This Row],[Mes 7]]+Registro[[#This Row],[Mes 8]]+Registro[[#This Row],[Mes 9]]</f>
        <v>0</v>
      </c>
      <c r="W928" s="20">
        <f>Registro[[#This Row],[Mes 10]]+Registro[[#This Row],[Mes 11]]+Registro[[#This Row],[Mes 12]]</f>
        <v>0</v>
      </c>
      <c r="X928" s="20">
        <f>SUM(Registro[[#This Row],[Trim I]],Registro[[#This Row],[Trim II]],Registro[[#This Row],[Trim III]],Registro[[#This Row],[Trim IV]])</f>
        <v>0</v>
      </c>
      <c r="Y928" s="22">
        <f>IFERROR((Registro[[#This Row],[Avance Total]]/Registro[[#This Row],[Meta]]),0)</f>
        <v>0</v>
      </c>
      <c r="Z928" s="22">
        <f>IFERROR((Registro[[#This Row],[Avance Total]]-Registro[[#This Row],[Línea Base 2025]])/Registro[[#This Row],[Línea Base 2025]],0)</f>
        <v>-1</v>
      </c>
      <c r="AA928" s="20">
        <v>2026</v>
      </c>
    </row>
    <row r="929" spans="1:27" hidden="1">
      <c r="A929" s="14">
        <v>1072</v>
      </c>
      <c r="B929" s="15" t="s">
        <v>102</v>
      </c>
      <c r="C929" s="16">
        <v>115</v>
      </c>
      <c r="D929" s="16" t="s">
        <v>183</v>
      </c>
      <c r="E929" s="17" t="s">
        <v>182</v>
      </c>
      <c r="F929" s="24">
        <v>11</v>
      </c>
      <c r="G929" s="19">
        <v>8</v>
      </c>
      <c r="H929" s="19">
        <v>0</v>
      </c>
      <c r="I929" s="19">
        <v>0</v>
      </c>
      <c r="T929" s="19">
        <f>Registro[[#This Row],[Mes 1]]+Registro[[#This Row],[Mes 2]]+Registro[[#This Row],[Mes 3]]</f>
        <v>0</v>
      </c>
      <c r="U929" s="19">
        <f>Registro[[#This Row],[Mes 4]]+Registro[[#This Row],[Mes 5]]+Registro[[#This Row],[Mes 6]]</f>
        <v>0</v>
      </c>
      <c r="V929" s="19">
        <f>Registro[[#This Row],[Mes 7]]+Registro[[#This Row],[Mes 8]]+Registro[[#This Row],[Mes 9]]</f>
        <v>0</v>
      </c>
      <c r="W929" s="20">
        <f>Registro[[#This Row],[Mes 10]]+Registro[[#This Row],[Mes 11]]+Registro[[#This Row],[Mes 12]]</f>
        <v>0</v>
      </c>
      <c r="X929" s="20">
        <f>SUM(Registro[[#This Row],[Trim I]],Registro[[#This Row],[Trim II]],Registro[[#This Row],[Trim III]],Registro[[#This Row],[Trim IV]])</f>
        <v>0</v>
      </c>
      <c r="Y929" s="22">
        <f>IFERROR((Registro[[#This Row],[Avance Total]]/Registro[[#This Row],[Meta]]),0)</f>
        <v>0</v>
      </c>
      <c r="Z929" s="22">
        <f>IFERROR((Registro[[#This Row],[Avance Total]]-Registro[[#This Row],[Línea Base 2025]])/Registro[[#This Row],[Línea Base 2025]],0)</f>
        <v>-1</v>
      </c>
      <c r="AA929" s="20">
        <v>2026</v>
      </c>
    </row>
    <row r="930" spans="1:27">
      <c r="A930" s="14">
        <v>1072</v>
      </c>
      <c r="B930" s="15" t="s">
        <v>102</v>
      </c>
      <c r="C930" s="16">
        <v>116</v>
      </c>
      <c r="D930" s="16" t="s">
        <v>185</v>
      </c>
      <c r="E930" s="17" t="s">
        <v>184</v>
      </c>
      <c r="F930" s="24">
        <v>2</v>
      </c>
      <c r="G930" s="19">
        <v>0</v>
      </c>
      <c r="H930" s="19">
        <v>0</v>
      </c>
      <c r="I930" s="19">
        <v>0</v>
      </c>
      <c r="T930" s="19">
        <f>Registro[[#This Row],[Mes 1]]+Registro[[#This Row],[Mes 2]]+Registro[[#This Row],[Mes 3]]</f>
        <v>0</v>
      </c>
      <c r="U930" s="19">
        <f>Registro[[#This Row],[Mes 4]]+Registro[[#This Row],[Mes 5]]+Registro[[#This Row],[Mes 6]]</f>
        <v>0</v>
      </c>
      <c r="V930" s="19">
        <f>Registro[[#This Row],[Mes 7]]+Registro[[#This Row],[Mes 8]]+Registro[[#This Row],[Mes 9]]</f>
        <v>0</v>
      </c>
      <c r="W930" s="20">
        <f>Registro[[#This Row],[Mes 10]]+Registro[[#This Row],[Mes 11]]+Registro[[#This Row],[Mes 12]]</f>
        <v>0</v>
      </c>
      <c r="X930" s="20">
        <f>SUM(Registro[[#This Row],[Trim I]],Registro[[#This Row],[Trim II]],Registro[[#This Row],[Trim III]],Registro[[#This Row],[Trim IV]])</f>
        <v>0</v>
      </c>
      <c r="Y930" s="22">
        <f>IFERROR((Registro[[#This Row],[Avance Total]]/Registro[[#This Row],[Meta]]),0)</f>
        <v>0</v>
      </c>
      <c r="Z930" s="22">
        <f>IFERROR((Registro[[#This Row],[Avance Total]]-Registro[[#This Row],[Línea Base 2025]])/Registro[[#This Row],[Línea Base 2025]],0)</f>
        <v>-1</v>
      </c>
      <c r="AA930" s="20">
        <v>2026</v>
      </c>
    </row>
    <row r="931" spans="1:27" hidden="1">
      <c r="A931" s="14">
        <v>1072</v>
      </c>
      <c r="B931" s="15" t="s">
        <v>102</v>
      </c>
      <c r="C931" s="16">
        <v>117</v>
      </c>
      <c r="D931" s="16" t="s">
        <v>187</v>
      </c>
      <c r="E931" s="17" t="s">
        <v>186</v>
      </c>
      <c r="F931" s="24">
        <v>1</v>
      </c>
      <c r="G931" s="19">
        <v>2</v>
      </c>
      <c r="H931" s="19">
        <v>0</v>
      </c>
      <c r="I931" s="19">
        <v>0</v>
      </c>
      <c r="T931" s="19">
        <f>Registro[[#This Row],[Mes 1]]+Registro[[#This Row],[Mes 2]]+Registro[[#This Row],[Mes 3]]</f>
        <v>0</v>
      </c>
      <c r="U931" s="19">
        <f>Registro[[#This Row],[Mes 4]]+Registro[[#This Row],[Mes 5]]+Registro[[#This Row],[Mes 6]]</f>
        <v>0</v>
      </c>
      <c r="V931" s="19">
        <f>Registro[[#This Row],[Mes 7]]+Registro[[#This Row],[Mes 8]]+Registro[[#This Row],[Mes 9]]</f>
        <v>0</v>
      </c>
      <c r="W931" s="20">
        <f>Registro[[#This Row],[Mes 10]]+Registro[[#This Row],[Mes 11]]+Registro[[#This Row],[Mes 12]]</f>
        <v>0</v>
      </c>
      <c r="X931" s="20">
        <f>SUM(Registro[[#This Row],[Trim I]],Registro[[#This Row],[Trim II]],Registro[[#This Row],[Trim III]],Registro[[#This Row],[Trim IV]])</f>
        <v>0</v>
      </c>
      <c r="Y931" s="22">
        <f>IFERROR((Registro[[#This Row],[Avance Total]]/Registro[[#This Row],[Meta]]),0)</f>
        <v>0</v>
      </c>
      <c r="Z931" s="22">
        <f>IFERROR((Registro[[#This Row],[Avance Total]]-Registro[[#This Row],[Línea Base 2025]])/Registro[[#This Row],[Línea Base 2025]],0)</f>
        <v>-1</v>
      </c>
      <c r="AA931" s="20">
        <v>2026</v>
      </c>
    </row>
    <row r="932" spans="1:27" hidden="1">
      <c r="A932" s="14">
        <v>1072</v>
      </c>
      <c r="B932" s="15" t="s">
        <v>102</v>
      </c>
      <c r="C932" s="16">
        <v>118</v>
      </c>
      <c r="D932" s="16" t="s">
        <v>188</v>
      </c>
      <c r="E932" s="17" t="s">
        <v>9</v>
      </c>
      <c r="F932" s="24">
        <v>0</v>
      </c>
      <c r="G932" s="19">
        <v>0</v>
      </c>
      <c r="H932" s="19">
        <v>0</v>
      </c>
      <c r="I932" s="19">
        <v>0</v>
      </c>
      <c r="T932" s="19">
        <f>Registro[[#This Row],[Mes 1]]+Registro[[#This Row],[Mes 2]]+Registro[[#This Row],[Mes 3]]</f>
        <v>0</v>
      </c>
      <c r="U932" s="19">
        <f>Registro[[#This Row],[Mes 4]]+Registro[[#This Row],[Mes 5]]+Registro[[#This Row],[Mes 6]]</f>
        <v>0</v>
      </c>
      <c r="V932" s="19">
        <f>Registro[[#This Row],[Mes 7]]+Registro[[#This Row],[Mes 8]]+Registro[[#This Row],[Mes 9]]</f>
        <v>0</v>
      </c>
      <c r="W932" s="20">
        <f>Registro[[#This Row],[Mes 10]]+Registro[[#This Row],[Mes 11]]+Registro[[#This Row],[Mes 12]]</f>
        <v>0</v>
      </c>
      <c r="X932" s="20">
        <f>SUM(Registro[[#This Row],[Trim I]],Registro[[#This Row],[Trim II]],Registro[[#This Row],[Trim III]],Registro[[#This Row],[Trim IV]])</f>
        <v>0</v>
      </c>
      <c r="Y932" s="22">
        <f>IFERROR((Registro[[#This Row],[Avance Total]]/Registro[[#This Row],[Meta]]),0)</f>
        <v>0</v>
      </c>
      <c r="Z932" s="22">
        <f>IFERROR((Registro[[#This Row],[Avance Total]]-Registro[[#This Row],[Línea Base 2025]])/Registro[[#This Row],[Línea Base 2025]],0)</f>
        <v>0</v>
      </c>
      <c r="AA932" s="20">
        <v>2026</v>
      </c>
    </row>
    <row r="933" spans="1:27" hidden="1">
      <c r="A933" s="14">
        <v>1072</v>
      </c>
      <c r="B933" s="15" t="s">
        <v>102</v>
      </c>
      <c r="C933" s="16">
        <v>119</v>
      </c>
      <c r="D933" s="16" t="s">
        <v>190</v>
      </c>
      <c r="E933" s="17" t="s">
        <v>189</v>
      </c>
      <c r="F933" s="24">
        <v>0</v>
      </c>
      <c r="G933" s="19">
        <v>0</v>
      </c>
      <c r="H933" s="19">
        <v>0</v>
      </c>
      <c r="I933" s="19">
        <v>0</v>
      </c>
      <c r="T933" s="19">
        <f>Registro[[#This Row],[Mes 1]]+Registro[[#This Row],[Mes 2]]+Registro[[#This Row],[Mes 3]]</f>
        <v>0</v>
      </c>
      <c r="U933" s="19">
        <f>Registro[[#This Row],[Mes 4]]+Registro[[#This Row],[Mes 5]]+Registro[[#This Row],[Mes 6]]</f>
        <v>0</v>
      </c>
      <c r="V933" s="19">
        <f>Registro[[#This Row],[Mes 7]]+Registro[[#This Row],[Mes 8]]+Registro[[#This Row],[Mes 9]]</f>
        <v>0</v>
      </c>
      <c r="W933" s="20">
        <f>Registro[[#This Row],[Mes 10]]+Registro[[#This Row],[Mes 11]]+Registro[[#This Row],[Mes 12]]</f>
        <v>0</v>
      </c>
      <c r="X933" s="20">
        <f>SUM(Registro[[#This Row],[Trim I]],Registro[[#This Row],[Trim II]],Registro[[#This Row],[Trim III]],Registro[[#This Row],[Trim IV]])</f>
        <v>0</v>
      </c>
      <c r="Y933" s="22">
        <f>IFERROR((Registro[[#This Row],[Avance Total]]/Registro[[#This Row],[Meta]]),0)</f>
        <v>0</v>
      </c>
      <c r="Z933" s="22">
        <f>IFERROR((Registro[[#This Row],[Avance Total]]-Registro[[#This Row],[Línea Base 2025]])/Registro[[#This Row],[Línea Base 2025]],0)</f>
        <v>0</v>
      </c>
      <c r="AA933" s="20">
        <v>2026</v>
      </c>
    </row>
    <row r="934" spans="1:27" hidden="1">
      <c r="A934" s="14">
        <v>1072</v>
      </c>
      <c r="B934" s="15" t="s">
        <v>102</v>
      </c>
      <c r="C934" s="16">
        <v>120</v>
      </c>
      <c r="D934" s="16" t="s">
        <v>192</v>
      </c>
      <c r="E934" s="17" t="s">
        <v>191</v>
      </c>
      <c r="F934" s="24">
        <v>26</v>
      </c>
      <c r="G934" s="19">
        <v>12</v>
      </c>
      <c r="H934" s="19">
        <v>0</v>
      </c>
      <c r="I934" s="19">
        <v>0</v>
      </c>
      <c r="T934" s="19">
        <f>Registro[[#This Row],[Mes 1]]+Registro[[#This Row],[Mes 2]]+Registro[[#This Row],[Mes 3]]</f>
        <v>0</v>
      </c>
      <c r="U934" s="19">
        <f>Registro[[#This Row],[Mes 4]]+Registro[[#This Row],[Mes 5]]+Registro[[#This Row],[Mes 6]]</f>
        <v>0</v>
      </c>
      <c r="V934" s="19">
        <f>Registro[[#This Row],[Mes 7]]+Registro[[#This Row],[Mes 8]]+Registro[[#This Row],[Mes 9]]</f>
        <v>0</v>
      </c>
      <c r="W934" s="20">
        <f>Registro[[#This Row],[Mes 10]]+Registro[[#This Row],[Mes 11]]+Registro[[#This Row],[Mes 12]]</f>
        <v>0</v>
      </c>
      <c r="X934" s="20">
        <f>SUM(Registro[[#This Row],[Trim I]],Registro[[#This Row],[Trim II]],Registro[[#This Row],[Trim III]],Registro[[#This Row],[Trim IV]])</f>
        <v>0</v>
      </c>
      <c r="Y934" s="22">
        <f>IFERROR((Registro[[#This Row],[Avance Total]]/Registro[[#This Row],[Meta]]),0)</f>
        <v>0</v>
      </c>
      <c r="Z934" s="22">
        <f>IFERROR((Registro[[#This Row],[Avance Total]]-Registro[[#This Row],[Línea Base 2025]])/Registro[[#This Row],[Línea Base 2025]],0)</f>
        <v>-1</v>
      </c>
      <c r="AA934" s="20">
        <v>2026</v>
      </c>
    </row>
    <row r="935" spans="1:27" hidden="1">
      <c r="A935" s="14">
        <v>1072</v>
      </c>
      <c r="B935" s="15" t="s">
        <v>102</v>
      </c>
      <c r="C935" s="16">
        <v>121</v>
      </c>
      <c r="D935" s="16" t="s">
        <v>194</v>
      </c>
      <c r="E935" s="17" t="s">
        <v>193</v>
      </c>
      <c r="F935" s="24">
        <v>3</v>
      </c>
      <c r="G935" s="19">
        <v>3</v>
      </c>
      <c r="H935" s="19">
        <v>0</v>
      </c>
      <c r="I935" s="19">
        <v>0</v>
      </c>
      <c r="T935" s="19">
        <f>Registro[[#This Row],[Mes 1]]+Registro[[#This Row],[Mes 2]]+Registro[[#This Row],[Mes 3]]</f>
        <v>0</v>
      </c>
      <c r="U935" s="19">
        <f>Registro[[#This Row],[Mes 4]]+Registro[[#This Row],[Mes 5]]+Registro[[#This Row],[Mes 6]]</f>
        <v>0</v>
      </c>
      <c r="V935" s="19">
        <f>Registro[[#This Row],[Mes 7]]+Registro[[#This Row],[Mes 8]]+Registro[[#This Row],[Mes 9]]</f>
        <v>0</v>
      </c>
      <c r="W935" s="20">
        <f>Registro[[#This Row],[Mes 10]]+Registro[[#This Row],[Mes 11]]+Registro[[#This Row],[Mes 12]]</f>
        <v>0</v>
      </c>
      <c r="X935" s="20">
        <f>SUM(Registro[[#This Row],[Trim I]],Registro[[#This Row],[Trim II]],Registro[[#This Row],[Trim III]],Registro[[#This Row],[Trim IV]])</f>
        <v>0</v>
      </c>
      <c r="Y935" s="22">
        <f>IFERROR((Registro[[#This Row],[Avance Total]]/Registro[[#This Row],[Meta]]),0)</f>
        <v>0</v>
      </c>
      <c r="Z935" s="22">
        <f>IFERROR((Registro[[#This Row],[Avance Total]]-Registro[[#This Row],[Línea Base 2025]])/Registro[[#This Row],[Línea Base 2025]],0)</f>
        <v>-1</v>
      </c>
      <c r="AA935" s="20">
        <v>2026</v>
      </c>
    </row>
    <row r="936" spans="1:27" hidden="1">
      <c r="A936" s="14">
        <v>1072</v>
      </c>
      <c r="B936" s="15" t="s">
        <v>102</v>
      </c>
      <c r="C936" s="16">
        <v>122</v>
      </c>
      <c r="D936" s="16" t="s">
        <v>196</v>
      </c>
      <c r="E936" s="17" t="s">
        <v>195</v>
      </c>
      <c r="F936" s="24">
        <v>4</v>
      </c>
      <c r="G936" s="19">
        <v>4</v>
      </c>
      <c r="H936" s="19">
        <v>0</v>
      </c>
      <c r="I936" s="19">
        <v>0</v>
      </c>
      <c r="T936" s="19">
        <f>Registro[[#This Row],[Mes 1]]+Registro[[#This Row],[Mes 2]]+Registro[[#This Row],[Mes 3]]</f>
        <v>0</v>
      </c>
      <c r="U936" s="19">
        <f>Registro[[#This Row],[Mes 4]]+Registro[[#This Row],[Mes 5]]+Registro[[#This Row],[Mes 6]]</f>
        <v>0</v>
      </c>
      <c r="V936" s="19">
        <f>Registro[[#This Row],[Mes 7]]+Registro[[#This Row],[Mes 8]]+Registro[[#This Row],[Mes 9]]</f>
        <v>0</v>
      </c>
      <c r="W936" s="20">
        <f>Registro[[#This Row],[Mes 10]]+Registro[[#This Row],[Mes 11]]+Registro[[#This Row],[Mes 12]]</f>
        <v>0</v>
      </c>
      <c r="X936" s="20">
        <f>SUM(Registro[[#This Row],[Trim I]],Registro[[#This Row],[Trim II]],Registro[[#This Row],[Trim III]],Registro[[#This Row],[Trim IV]])</f>
        <v>0</v>
      </c>
      <c r="Y936" s="22">
        <f>IFERROR((Registro[[#This Row],[Avance Total]]/Registro[[#This Row],[Meta]]),0)</f>
        <v>0</v>
      </c>
      <c r="Z936" s="22">
        <f>IFERROR((Registro[[#This Row],[Avance Total]]-Registro[[#This Row],[Línea Base 2025]])/Registro[[#This Row],[Línea Base 2025]],0)</f>
        <v>-1</v>
      </c>
      <c r="AA936" s="20">
        <v>2026</v>
      </c>
    </row>
    <row r="937" spans="1:27" hidden="1">
      <c r="A937" s="14">
        <v>1072</v>
      </c>
      <c r="B937" s="15" t="s">
        <v>102</v>
      </c>
      <c r="C937" s="16">
        <v>123</v>
      </c>
      <c r="D937" s="16" t="s">
        <v>198</v>
      </c>
      <c r="E937" s="17" t="s">
        <v>197</v>
      </c>
      <c r="F937" s="24">
        <v>0</v>
      </c>
      <c r="G937" s="19">
        <v>4</v>
      </c>
      <c r="H937" s="19">
        <v>0</v>
      </c>
      <c r="I937" s="19">
        <v>0</v>
      </c>
      <c r="T937" s="19">
        <f>Registro[[#This Row],[Mes 1]]+Registro[[#This Row],[Mes 2]]+Registro[[#This Row],[Mes 3]]</f>
        <v>0</v>
      </c>
      <c r="U937" s="19">
        <f>Registro[[#This Row],[Mes 4]]+Registro[[#This Row],[Mes 5]]+Registro[[#This Row],[Mes 6]]</f>
        <v>0</v>
      </c>
      <c r="V937" s="19">
        <f>Registro[[#This Row],[Mes 7]]+Registro[[#This Row],[Mes 8]]+Registro[[#This Row],[Mes 9]]</f>
        <v>0</v>
      </c>
      <c r="W937" s="20">
        <f>Registro[[#This Row],[Mes 10]]+Registro[[#This Row],[Mes 11]]+Registro[[#This Row],[Mes 12]]</f>
        <v>0</v>
      </c>
      <c r="X937" s="20">
        <f>SUM(Registro[[#This Row],[Trim I]],Registro[[#This Row],[Trim II]],Registro[[#This Row],[Trim III]],Registro[[#This Row],[Trim IV]])</f>
        <v>0</v>
      </c>
      <c r="Y937" s="22">
        <f>IFERROR((Registro[[#This Row],[Avance Total]]/Registro[[#This Row],[Meta]]),0)</f>
        <v>0</v>
      </c>
      <c r="Z937" s="22">
        <f>IFERROR((Registro[[#This Row],[Avance Total]]-Registro[[#This Row],[Línea Base 2025]])/Registro[[#This Row],[Línea Base 2025]],0)</f>
        <v>0</v>
      </c>
      <c r="AA937" s="20">
        <v>2026</v>
      </c>
    </row>
    <row r="938" spans="1:27" hidden="1">
      <c r="A938" s="14">
        <v>1073</v>
      </c>
      <c r="B938" s="15" t="s">
        <v>13</v>
      </c>
      <c r="C938" s="16">
        <v>111</v>
      </c>
      <c r="D938" s="16" t="s">
        <v>171</v>
      </c>
      <c r="E938" s="17" t="s">
        <v>172</v>
      </c>
      <c r="F938" s="24">
        <v>0</v>
      </c>
      <c r="G938" s="19">
        <v>23</v>
      </c>
      <c r="H938" s="19">
        <v>0</v>
      </c>
      <c r="I938" s="19">
        <v>1</v>
      </c>
      <c r="T938" s="19">
        <f>Registro[[#This Row],[Mes 1]]+Registro[[#This Row],[Mes 2]]+Registro[[#This Row],[Mes 3]]</f>
        <v>1</v>
      </c>
      <c r="U938" s="19">
        <f>Registro[[#This Row],[Mes 4]]+Registro[[#This Row],[Mes 5]]+Registro[[#This Row],[Mes 6]]</f>
        <v>0</v>
      </c>
      <c r="V938" s="19">
        <f>Registro[[#This Row],[Mes 7]]+Registro[[#This Row],[Mes 8]]+Registro[[#This Row],[Mes 9]]</f>
        <v>0</v>
      </c>
      <c r="W938" s="20">
        <f>Registro[[#This Row],[Mes 10]]+Registro[[#This Row],[Mes 11]]+Registro[[#This Row],[Mes 12]]</f>
        <v>0</v>
      </c>
      <c r="X938" s="20">
        <f>SUM(Registro[[#This Row],[Trim I]],Registro[[#This Row],[Trim II]],Registro[[#This Row],[Trim III]],Registro[[#This Row],[Trim IV]])</f>
        <v>1</v>
      </c>
      <c r="Y938" s="22">
        <f>IFERROR((Registro[[#This Row],[Avance Total]]/Registro[[#This Row],[Meta]]),0)</f>
        <v>4.3478260869565216E-2</v>
      </c>
      <c r="Z938" s="22">
        <f>IFERROR((Registro[[#This Row],[Avance Total]]-Registro[[#This Row],[Línea Base 2025]])/Registro[[#This Row],[Línea Base 2025]],0)</f>
        <v>0</v>
      </c>
      <c r="AA938" s="20">
        <v>2026</v>
      </c>
    </row>
    <row r="939" spans="1:27" hidden="1">
      <c r="A939" s="14">
        <v>1073</v>
      </c>
      <c r="B939" s="15" t="s">
        <v>13</v>
      </c>
      <c r="C939" s="16">
        <v>112</v>
      </c>
      <c r="D939" s="16" t="s">
        <v>173</v>
      </c>
      <c r="E939" s="17" t="s">
        <v>7</v>
      </c>
      <c r="F939" s="24">
        <v>0</v>
      </c>
      <c r="G939" s="19">
        <v>1</v>
      </c>
      <c r="H939" s="19">
        <v>0</v>
      </c>
      <c r="I939" s="19">
        <v>0</v>
      </c>
      <c r="T939" s="19">
        <f>Registro[[#This Row],[Mes 1]]+Registro[[#This Row],[Mes 2]]+Registro[[#This Row],[Mes 3]]</f>
        <v>0</v>
      </c>
      <c r="U939" s="19">
        <f>Registro[[#This Row],[Mes 4]]+Registro[[#This Row],[Mes 5]]+Registro[[#This Row],[Mes 6]]</f>
        <v>0</v>
      </c>
      <c r="V939" s="19">
        <f>Registro[[#This Row],[Mes 7]]+Registro[[#This Row],[Mes 8]]+Registro[[#This Row],[Mes 9]]</f>
        <v>0</v>
      </c>
      <c r="W939" s="20">
        <f>Registro[[#This Row],[Mes 10]]+Registro[[#This Row],[Mes 11]]+Registro[[#This Row],[Mes 12]]</f>
        <v>0</v>
      </c>
      <c r="X939" s="20">
        <f>SUM(Registro[[#This Row],[Trim I]],Registro[[#This Row],[Trim II]],Registro[[#This Row],[Trim III]],Registro[[#This Row],[Trim IV]])</f>
        <v>0</v>
      </c>
      <c r="Y939" s="22">
        <f>IFERROR((Registro[[#This Row],[Avance Total]]/Registro[[#This Row],[Meta]]),0)</f>
        <v>0</v>
      </c>
      <c r="Z939" s="22">
        <f>IFERROR((Registro[[#This Row],[Avance Total]]-Registro[[#This Row],[Línea Base 2025]])/Registro[[#This Row],[Línea Base 2025]],0)</f>
        <v>0</v>
      </c>
      <c r="AA939" s="20">
        <v>2026</v>
      </c>
    </row>
    <row r="940" spans="1:27" hidden="1">
      <c r="A940" s="14">
        <v>1073</v>
      </c>
      <c r="B940" s="15" t="s">
        <v>13</v>
      </c>
      <c r="C940" s="16">
        <v>113</v>
      </c>
      <c r="D940" s="16" t="s">
        <v>179</v>
      </c>
      <c r="E940" s="17" t="s">
        <v>178</v>
      </c>
      <c r="F940" s="24">
        <v>3</v>
      </c>
      <c r="G940" s="19">
        <v>39</v>
      </c>
      <c r="H940" s="19">
        <v>10</v>
      </c>
      <c r="I940" s="19">
        <v>18</v>
      </c>
      <c r="T940" s="19">
        <f>Registro[[#This Row],[Mes 1]]+Registro[[#This Row],[Mes 2]]+Registro[[#This Row],[Mes 3]]</f>
        <v>28</v>
      </c>
      <c r="U940" s="19">
        <f>Registro[[#This Row],[Mes 4]]+Registro[[#This Row],[Mes 5]]+Registro[[#This Row],[Mes 6]]</f>
        <v>0</v>
      </c>
      <c r="V940" s="19">
        <f>Registro[[#This Row],[Mes 7]]+Registro[[#This Row],[Mes 8]]+Registro[[#This Row],[Mes 9]]</f>
        <v>0</v>
      </c>
      <c r="W940" s="20">
        <f>Registro[[#This Row],[Mes 10]]+Registro[[#This Row],[Mes 11]]+Registro[[#This Row],[Mes 12]]</f>
        <v>0</v>
      </c>
      <c r="X940" s="20">
        <f>SUM(Registro[[#This Row],[Trim I]],Registro[[#This Row],[Trim II]],Registro[[#This Row],[Trim III]],Registro[[#This Row],[Trim IV]])</f>
        <v>28</v>
      </c>
      <c r="Y940" s="22">
        <f>IFERROR((Registro[[#This Row],[Avance Total]]/Registro[[#This Row],[Meta]]),0)</f>
        <v>0.71794871794871795</v>
      </c>
      <c r="Z940" s="22">
        <f>IFERROR((Registro[[#This Row],[Avance Total]]-Registro[[#This Row],[Línea Base 2025]])/Registro[[#This Row],[Línea Base 2025]],0)</f>
        <v>8.3333333333333339</v>
      </c>
      <c r="AA940" s="20">
        <v>2026</v>
      </c>
    </row>
    <row r="941" spans="1:27" hidden="1">
      <c r="A941" s="14">
        <v>1073</v>
      </c>
      <c r="B941" s="15" t="s">
        <v>13</v>
      </c>
      <c r="C941" s="16">
        <v>114</v>
      </c>
      <c r="D941" s="16" t="s">
        <v>181</v>
      </c>
      <c r="E941" s="17" t="s">
        <v>180</v>
      </c>
      <c r="F941" s="24">
        <v>0</v>
      </c>
      <c r="G941" s="19">
        <v>0</v>
      </c>
      <c r="H941" s="19">
        <v>0</v>
      </c>
      <c r="I941" s="19">
        <v>0</v>
      </c>
      <c r="T941" s="19">
        <f>Registro[[#This Row],[Mes 1]]+Registro[[#This Row],[Mes 2]]+Registro[[#This Row],[Mes 3]]</f>
        <v>0</v>
      </c>
      <c r="U941" s="19">
        <f>Registro[[#This Row],[Mes 4]]+Registro[[#This Row],[Mes 5]]+Registro[[#This Row],[Mes 6]]</f>
        <v>0</v>
      </c>
      <c r="V941" s="19">
        <f>Registro[[#This Row],[Mes 7]]+Registro[[#This Row],[Mes 8]]+Registro[[#This Row],[Mes 9]]</f>
        <v>0</v>
      </c>
      <c r="W941" s="20">
        <f>Registro[[#This Row],[Mes 10]]+Registro[[#This Row],[Mes 11]]+Registro[[#This Row],[Mes 12]]</f>
        <v>0</v>
      </c>
      <c r="X941" s="20">
        <f>SUM(Registro[[#This Row],[Trim I]],Registro[[#This Row],[Trim II]],Registro[[#This Row],[Trim III]],Registro[[#This Row],[Trim IV]])</f>
        <v>0</v>
      </c>
      <c r="Y941" s="22">
        <f>IFERROR((Registro[[#This Row],[Avance Total]]/Registro[[#This Row],[Meta]]),0)</f>
        <v>0</v>
      </c>
      <c r="Z941" s="22">
        <f>IFERROR((Registro[[#This Row],[Avance Total]]-Registro[[#This Row],[Línea Base 2025]])/Registro[[#This Row],[Línea Base 2025]],0)</f>
        <v>0</v>
      </c>
      <c r="AA941" s="20">
        <v>2026</v>
      </c>
    </row>
    <row r="942" spans="1:27" hidden="1">
      <c r="A942" s="14">
        <v>1073</v>
      </c>
      <c r="B942" s="15" t="s">
        <v>13</v>
      </c>
      <c r="C942" s="16">
        <v>115</v>
      </c>
      <c r="D942" s="16" t="s">
        <v>183</v>
      </c>
      <c r="E942" s="17" t="s">
        <v>182</v>
      </c>
      <c r="F942" s="24">
        <v>0</v>
      </c>
      <c r="G942" s="19">
        <v>0</v>
      </c>
      <c r="H942" s="19">
        <v>0</v>
      </c>
      <c r="I942" s="19">
        <v>0</v>
      </c>
      <c r="T942" s="19">
        <f>Registro[[#This Row],[Mes 1]]+Registro[[#This Row],[Mes 2]]+Registro[[#This Row],[Mes 3]]</f>
        <v>0</v>
      </c>
      <c r="U942" s="19">
        <f>Registro[[#This Row],[Mes 4]]+Registro[[#This Row],[Mes 5]]+Registro[[#This Row],[Mes 6]]</f>
        <v>0</v>
      </c>
      <c r="V942" s="19">
        <f>Registro[[#This Row],[Mes 7]]+Registro[[#This Row],[Mes 8]]+Registro[[#This Row],[Mes 9]]</f>
        <v>0</v>
      </c>
      <c r="W942" s="20">
        <f>Registro[[#This Row],[Mes 10]]+Registro[[#This Row],[Mes 11]]+Registro[[#This Row],[Mes 12]]</f>
        <v>0</v>
      </c>
      <c r="X942" s="20">
        <f>SUM(Registro[[#This Row],[Trim I]],Registro[[#This Row],[Trim II]],Registro[[#This Row],[Trim III]],Registro[[#This Row],[Trim IV]])</f>
        <v>0</v>
      </c>
      <c r="Y942" s="22">
        <f>IFERROR((Registro[[#This Row],[Avance Total]]/Registro[[#This Row],[Meta]]),0)</f>
        <v>0</v>
      </c>
      <c r="Z942" s="22">
        <f>IFERROR((Registro[[#This Row],[Avance Total]]-Registro[[#This Row],[Línea Base 2025]])/Registro[[#This Row],[Línea Base 2025]],0)</f>
        <v>0</v>
      </c>
      <c r="AA942" s="20">
        <v>2026</v>
      </c>
    </row>
    <row r="943" spans="1:27">
      <c r="A943" s="14">
        <v>1073</v>
      </c>
      <c r="B943" s="15" t="s">
        <v>13</v>
      </c>
      <c r="C943" s="16">
        <v>116</v>
      </c>
      <c r="D943" s="16" t="s">
        <v>185</v>
      </c>
      <c r="E943" s="17" t="s">
        <v>184</v>
      </c>
      <c r="F943" s="24">
        <v>0</v>
      </c>
      <c r="G943" s="19">
        <v>0</v>
      </c>
      <c r="H943" s="19">
        <v>2</v>
      </c>
      <c r="I943" s="19">
        <v>0</v>
      </c>
      <c r="T943" s="19">
        <f>Registro[[#This Row],[Mes 1]]+Registro[[#This Row],[Mes 2]]+Registro[[#This Row],[Mes 3]]</f>
        <v>2</v>
      </c>
      <c r="U943" s="19">
        <f>Registro[[#This Row],[Mes 4]]+Registro[[#This Row],[Mes 5]]+Registro[[#This Row],[Mes 6]]</f>
        <v>0</v>
      </c>
      <c r="V943" s="19">
        <f>Registro[[#This Row],[Mes 7]]+Registro[[#This Row],[Mes 8]]+Registro[[#This Row],[Mes 9]]</f>
        <v>0</v>
      </c>
      <c r="W943" s="20">
        <f>Registro[[#This Row],[Mes 10]]+Registro[[#This Row],[Mes 11]]+Registro[[#This Row],[Mes 12]]</f>
        <v>0</v>
      </c>
      <c r="X943" s="20">
        <f>SUM(Registro[[#This Row],[Trim I]],Registro[[#This Row],[Trim II]],Registro[[#This Row],[Trim III]],Registro[[#This Row],[Trim IV]])</f>
        <v>2</v>
      </c>
      <c r="Y943" s="22">
        <f>IFERROR((Registro[[#This Row],[Avance Total]]/Registro[[#This Row],[Meta]]),0)</f>
        <v>0</v>
      </c>
      <c r="Z943" s="22">
        <f>IFERROR((Registro[[#This Row],[Avance Total]]-Registro[[#This Row],[Línea Base 2025]])/Registro[[#This Row],[Línea Base 2025]],0)</f>
        <v>0</v>
      </c>
      <c r="AA943" s="20">
        <v>2026</v>
      </c>
    </row>
    <row r="944" spans="1:27" hidden="1">
      <c r="A944" s="14">
        <v>1073</v>
      </c>
      <c r="B944" s="15" t="s">
        <v>13</v>
      </c>
      <c r="C944" s="16">
        <v>117</v>
      </c>
      <c r="D944" s="16" t="s">
        <v>187</v>
      </c>
      <c r="E944" s="17" t="s">
        <v>186</v>
      </c>
      <c r="F944" s="24">
        <v>0</v>
      </c>
      <c r="G944" s="19">
        <v>0</v>
      </c>
      <c r="H944" s="19">
        <v>0</v>
      </c>
      <c r="I944" s="19">
        <v>0</v>
      </c>
      <c r="T944" s="19">
        <f>Registro[[#This Row],[Mes 1]]+Registro[[#This Row],[Mes 2]]+Registro[[#This Row],[Mes 3]]</f>
        <v>0</v>
      </c>
      <c r="U944" s="19">
        <f>Registro[[#This Row],[Mes 4]]+Registro[[#This Row],[Mes 5]]+Registro[[#This Row],[Mes 6]]</f>
        <v>0</v>
      </c>
      <c r="V944" s="19">
        <f>Registro[[#This Row],[Mes 7]]+Registro[[#This Row],[Mes 8]]+Registro[[#This Row],[Mes 9]]</f>
        <v>0</v>
      </c>
      <c r="W944" s="20">
        <f>Registro[[#This Row],[Mes 10]]+Registro[[#This Row],[Mes 11]]+Registro[[#This Row],[Mes 12]]</f>
        <v>0</v>
      </c>
      <c r="X944" s="20">
        <f>SUM(Registro[[#This Row],[Trim I]],Registro[[#This Row],[Trim II]],Registro[[#This Row],[Trim III]],Registro[[#This Row],[Trim IV]])</f>
        <v>0</v>
      </c>
      <c r="Y944" s="22">
        <f>IFERROR((Registro[[#This Row],[Avance Total]]/Registro[[#This Row],[Meta]]),0)</f>
        <v>0</v>
      </c>
      <c r="Z944" s="22">
        <f>IFERROR((Registro[[#This Row],[Avance Total]]-Registro[[#This Row],[Línea Base 2025]])/Registro[[#This Row],[Línea Base 2025]],0)</f>
        <v>0</v>
      </c>
      <c r="AA944" s="20">
        <v>2026</v>
      </c>
    </row>
    <row r="945" spans="1:27" hidden="1">
      <c r="A945" s="14">
        <v>1073</v>
      </c>
      <c r="B945" s="15" t="s">
        <v>13</v>
      </c>
      <c r="C945" s="16">
        <v>118</v>
      </c>
      <c r="D945" s="16" t="s">
        <v>188</v>
      </c>
      <c r="E945" s="17" t="s">
        <v>9</v>
      </c>
      <c r="F945" s="24">
        <v>0</v>
      </c>
      <c r="G945" s="19">
        <v>0</v>
      </c>
      <c r="H945" s="19">
        <v>0</v>
      </c>
      <c r="I945" s="19">
        <v>0</v>
      </c>
      <c r="T945" s="19">
        <f>Registro[[#This Row],[Mes 1]]+Registro[[#This Row],[Mes 2]]+Registro[[#This Row],[Mes 3]]</f>
        <v>0</v>
      </c>
      <c r="U945" s="19">
        <f>Registro[[#This Row],[Mes 4]]+Registro[[#This Row],[Mes 5]]+Registro[[#This Row],[Mes 6]]</f>
        <v>0</v>
      </c>
      <c r="V945" s="19">
        <f>Registro[[#This Row],[Mes 7]]+Registro[[#This Row],[Mes 8]]+Registro[[#This Row],[Mes 9]]</f>
        <v>0</v>
      </c>
      <c r="W945" s="20">
        <f>Registro[[#This Row],[Mes 10]]+Registro[[#This Row],[Mes 11]]+Registro[[#This Row],[Mes 12]]</f>
        <v>0</v>
      </c>
      <c r="X945" s="20">
        <f>SUM(Registro[[#This Row],[Trim I]],Registro[[#This Row],[Trim II]],Registro[[#This Row],[Trim III]],Registro[[#This Row],[Trim IV]])</f>
        <v>0</v>
      </c>
      <c r="Y945" s="22">
        <f>IFERROR((Registro[[#This Row],[Avance Total]]/Registro[[#This Row],[Meta]]),0)</f>
        <v>0</v>
      </c>
      <c r="Z945" s="22">
        <f>IFERROR((Registro[[#This Row],[Avance Total]]-Registro[[#This Row],[Línea Base 2025]])/Registro[[#This Row],[Línea Base 2025]],0)</f>
        <v>0</v>
      </c>
      <c r="AA945" s="20">
        <v>2026</v>
      </c>
    </row>
    <row r="946" spans="1:27" hidden="1">
      <c r="A946" s="14">
        <v>1073</v>
      </c>
      <c r="B946" s="15" t="s">
        <v>13</v>
      </c>
      <c r="C946" s="16">
        <v>119</v>
      </c>
      <c r="D946" s="16" t="s">
        <v>190</v>
      </c>
      <c r="E946" s="17" t="s">
        <v>189</v>
      </c>
      <c r="F946" s="24">
        <v>0</v>
      </c>
      <c r="G946" s="19">
        <v>0</v>
      </c>
      <c r="H946" s="19">
        <v>0</v>
      </c>
      <c r="I946" s="19">
        <v>0</v>
      </c>
      <c r="T946" s="19">
        <f>Registro[[#This Row],[Mes 1]]+Registro[[#This Row],[Mes 2]]+Registro[[#This Row],[Mes 3]]</f>
        <v>0</v>
      </c>
      <c r="U946" s="19">
        <f>Registro[[#This Row],[Mes 4]]+Registro[[#This Row],[Mes 5]]+Registro[[#This Row],[Mes 6]]</f>
        <v>0</v>
      </c>
      <c r="V946" s="19">
        <f>Registro[[#This Row],[Mes 7]]+Registro[[#This Row],[Mes 8]]+Registro[[#This Row],[Mes 9]]</f>
        <v>0</v>
      </c>
      <c r="W946" s="20">
        <f>Registro[[#This Row],[Mes 10]]+Registro[[#This Row],[Mes 11]]+Registro[[#This Row],[Mes 12]]</f>
        <v>0</v>
      </c>
      <c r="X946" s="20">
        <f>SUM(Registro[[#This Row],[Trim I]],Registro[[#This Row],[Trim II]],Registro[[#This Row],[Trim III]],Registro[[#This Row],[Trim IV]])</f>
        <v>0</v>
      </c>
      <c r="Y946" s="22">
        <f>IFERROR((Registro[[#This Row],[Avance Total]]/Registro[[#This Row],[Meta]]),0)</f>
        <v>0</v>
      </c>
      <c r="Z946" s="22">
        <f>IFERROR((Registro[[#This Row],[Avance Total]]-Registro[[#This Row],[Línea Base 2025]])/Registro[[#This Row],[Línea Base 2025]],0)</f>
        <v>0</v>
      </c>
      <c r="AA946" s="20">
        <v>2026</v>
      </c>
    </row>
    <row r="947" spans="1:27" hidden="1">
      <c r="A947" s="14">
        <v>1073</v>
      </c>
      <c r="B947" s="15" t="s">
        <v>13</v>
      </c>
      <c r="C947" s="16">
        <v>120</v>
      </c>
      <c r="D947" s="16" t="s">
        <v>192</v>
      </c>
      <c r="E947" s="17" t="s">
        <v>191</v>
      </c>
      <c r="F947" s="24">
        <v>0</v>
      </c>
      <c r="G947" s="19">
        <v>0</v>
      </c>
      <c r="H947" s="19">
        <v>0</v>
      </c>
      <c r="I947" s="19">
        <v>0</v>
      </c>
      <c r="T947" s="19">
        <f>Registro[[#This Row],[Mes 1]]+Registro[[#This Row],[Mes 2]]+Registro[[#This Row],[Mes 3]]</f>
        <v>0</v>
      </c>
      <c r="U947" s="19">
        <f>Registro[[#This Row],[Mes 4]]+Registro[[#This Row],[Mes 5]]+Registro[[#This Row],[Mes 6]]</f>
        <v>0</v>
      </c>
      <c r="V947" s="19">
        <f>Registro[[#This Row],[Mes 7]]+Registro[[#This Row],[Mes 8]]+Registro[[#This Row],[Mes 9]]</f>
        <v>0</v>
      </c>
      <c r="W947" s="20">
        <f>Registro[[#This Row],[Mes 10]]+Registro[[#This Row],[Mes 11]]+Registro[[#This Row],[Mes 12]]</f>
        <v>0</v>
      </c>
      <c r="X947" s="20">
        <f>SUM(Registro[[#This Row],[Trim I]],Registro[[#This Row],[Trim II]],Registro[[#This Row],[Trim III]],Registro[[#This Row],[Trim IV]])</f>
        <v>0</v>
      </c>
      <c r="Y947" s="22">
        <f>IFERROR((Registro[[#This Row],[Avance Total]]/Registro[[#This Row],[Meta]]),0)</f>
        <v>0</v>
      </c>
      <c r="Z947" s="22">
        <f>IFERROR((Registro[[#This Row],[Avance Total]]-Registro[[#This Row],[Línea Base 2025]])/Registro[[#This Row],[Línea Base 2025]],0)</f>
        <v>0</v>
      </c>
      <c r="AA947" s="20">
        <v>2026</v>
      </c>
    </row>
    <row r="948" spans="1:27" hidden="1">
      <c r="A948" s="14">
        <v>1073</v>
      </c>
      <c r="B948" s="15" t="s">
        <v>13</v>
      </c>
      <c r="C948" s="16">
        <v>121</v>
      </c>
      <c r="D948" s="16" t="s">
        <v>194</v>
      </c>
      <c r="E948" s="17" t="s">
        <v>193</v>
      </c>
      <c r="F948" s="24">
        <v>0</v>
      </c>
      <c r="G948" s="19">
        <v>0</v>
      </c>
      <c r="H948" s="19">
        <v>1</v>
      </c>
      <c r="I948" s="19">
        <v>5</v>
      </c>
      <c r="T948" s="19">
        <f>Registro[[#This Row],[Mes 1]]+Registro[[#This Row],[Mes 2]]+Registro[[#This Row],[Mes 3]]</f>
        <v>6</v>
      </c>
      <c r="U948" s="19">
        <f>Registro[[#This Row],[Mes 4]]+Registro[[#This Row],[Mes 5]]+Registro[[#This Row],[Mes 6]]</f>
        <v>0</v>
      </c>
      <c r="V948" s="19">
        <f>Registro[[#This Row],[Mes 7]]+Registro[[#This Row],[Mes 8]]+Registro[[#This Row],[Mes 9]]</f>
        <v>0</v>
      </c>
      <c r="W948" s="20">
        <f>Registro[[#This Row],[Mes 10]]+Registro[[#This Row],[Mes 11]]+Registro[[#This Row],[Mes 12]]</f>
        <v>0</v>
      </c>
      <c r="X948" s="20">
        <f>SUM(Registro[[#This Row],[Trim I]],Registro[[#This Row],[Trim II]],Registro[[#This Row],[Trim III]],Registro[[#This Row],[Trim IV]])</f>
        <v>6</v>
      </c>
      <c r="Y948" s="22">
        <f>IFERROR((Registro[[#This Row],[Avance Total]]/Registro[[#This Row],[Meta]]),0)</f>
        <v>0</v>
      </c>
      <c r="Z948" s="22">
        <f>IFERROR((Registro[[#This Row],[Avance Total]]-Registro[[#This Row],[Línea Base 2025]])/Registro[[#This Row],[Línea Base 2025]],0)</f>
        <v>0</v>
      </c>
      <c r="AA948" s="20">
        <v>2026</v>
      </c>
    </row>
    <row r="949" spans="1:27" hidden="1">
      <c r="A949" s="14">
        <v>1073</v>
      </c>
      <c r="B949" s="15" t="s">
        <v>13</v>
      </c>
      <c r="C949" s="16">
        <v>122</v>
      </c>
      <c r="D949" s="16" t="s">
        <v>196</v>
      </c>
      <c r="E949" s="17" t="s">
        <v>195</v>
      </c>
      <c r="F949" s="24">
        <v>0</v>
      </c>
      <c r="G949" s="19">
        <v>0</v>
      </c>
      <c r="H949" s="19">
        <v>0</v>
      </c>
      <c r="I949" s="19">
        <v>0</v>
      </c>
      <c r="T949" s="19">
        <f>Registro[[#This Row],[Mes 1]]+Registro[[#This Row],[Mes 2]]+Registro[[#This Row],[Mes 3]]</f>
        <v>0</v>
      </c>
      <c r="U949" s="19">
        <f>Registro[[#This Row],[Mes 4]]+Registro[[#This Row],[Mes 5]]+Registro[[#This Row],[Mes 6]]</f>
        <v>0</v>
      </c>
      <c r="V949" s="19">
        <f>Registro[[#This Row],[Mes 7]]+Registro[[#This Row],[Mes 8]]+Registro[[#This Row],[Mes 9]]</f>
        <v>0</v>
      </c>
      <c r="W949" s="20">
        <f>Registro[[#This Row],[Mes 10]]+Registro[[#This Row],[Mes 11]]+Registro[[#This Row],[Mes 12]]</f>
        <v>0</v>
      </c>
      <c r="X949" s="20">
        <f>SUM(Registro[[#This Row],[Trim I]],Registro[[#This Row],[Trim II]],Registro[[#This Row],[Trim III]],Registro[[#This Row],[Trim IV]])</f>
        <v>0</v>
      </c>
      <c r="Y949" s="22">
        <f>IFERROR((Registro[[#This Row],[Avance Total]]/Registro[[#This Row],[Meta]]),0)</f>
        <v>0</v>
      </c>
      <c r="Z949" s="22">
        <f>IFERROR((Registro[[#This Row],[Avance Total]]-Registro[[#This Row],[Línea Base 2025]])/Registro[[#This Row],[Línea Base 2025]],0)</f>
        <v>0</v>
      </c>
      <c r="AA949" s="20">
        <v>2026</v>
      </c>
    </row>
    <row r="950" spans="1:27" hidden="1">
      <c r="A950" s="14">
        <v>1073</v>
      </c>
      <c r="B950" s="15" t="s">
        <v>13</v>
      </c>
      <c r="C950" s="16">
        <v>123</v>
      </c>
      <c r="D950" s="16" t="s">
        <v>198</v>
      </c>
      <c r="E950" s="17" t="s">
        <v>197</v>
      </c>
      <c r="F950" s="24">
        <v>0</v>
      </c>
      <c r="G950" s="19">
        <v>0</v>
      </c>
      <c r="H950" s="19">
        <v>0</v>
      </c>
      <c r="I950" s="19">
        <v>0</v>
      </c>
      <c r="T950" s="19">
        <f>Registro[[#This Row],[Mes 1]]+Registro[[#This Row],[Mes 2]]+Registro[[#This Row],[Mes 3]]</f>
        <v>0</v>
      </c>
      <c r="U950" s="19">
        <f>Registro[[#This Row],[Mes 4]]+Registro[[#This Row],[Mes 5]]+Registro[[#This Row],[Mes 6]]</f>
        <v>0</v>
      </c>
      <c r="V950" s="19">
        <f>Registro[[#This Row],[Mes 7]]+Registro[[#This Row],[Mes 8]]+Registro[[#This Row],[Mes 9]]</f>
        <v>0</v>
      </c>
      <c r="W950" s="20">
        <f>Registro[[#This Row],[Mes 10]]+Registro[[#This Row],[Mes 11]]+Registro[[#This Row],[Mes 12]]</f>
        <v>0</v>
      </c>
      <c r="X950" s="20">
        <f>SUM(Registro[[#This Row],[Trim I]],Registro[[#This Row],[Trim II]],Registro[[#This Row],[Trim III]],Registro[[#This Row],[Trim IV]])</f>
        <v>0</v>
      </c>
      <c r="Y950" s="22">
        <f>IFERROR((Registro[[#This Row],[Avance Total]]/Registro[[#This Row],[Meta]]),0)</f>
        <v>0</v>
      </c>
      <c r="Z950" s="22">
        <f>IFERROR((Registro[[#This Row],[Avance Total]]-Registro[[#This Row],[Línea Base 2025]])/Registro[[#This Row],[Línea Base 2025]],0)</f>
        <v>0</v>
      </c>
      <c r="AA950" s="20">
        <v>2026</v>
      </c>
    </row>
    <row r="951" spans="1:27" hidden="1">
      <c r="A951" s="14">
        <v>1074</v>
      </c>
      <c r="B951" s="15" t="s">
        <v>103</v>
      </c>
      <c r="C951" s="16">
        <v>111</v>
      </c>
      <c r="D951" s="16" t="s">
        <v>171</v>
      </c>
      <c r="E951" s="17" t="s">
        <v>172</v>
      </c>
      <c r="F951" s="24">
        <v>62</v>
      </c>
      <c r="G951" s="19">
        <v>37</v>
      </c>
      <c r="H951" s="19">
        <v>4</v>
      </c>
      <c r="I951" s="19">
        <v>14</v>
      </c>
      <c r="T951" s="19">
        <f>Registro[[#This Row],[Mes 1]]+Registro[[#This Row],[Mes 2]]+Registro[[#This Row],[Mes 3]]</f>
        <v>18</v>
      </c>
      <c r="U951" s="19">
        <f>Registro[[#This Row],[Mes 4]]+Registro[[#This Row],[Mes 5]]+Registro[[#This Row],[Mes 6]]</f>
        <v>0</v>
      </c>
      <c r="V951" s="19">
        <f>Registro[[#This Row],[Mes 7]]+Registro[[#This Row],[Mes 8]]+Registro[[#This Row],[Mes 9]]</f>
        <v>0</v>
      </c>
      <c r="W951" s="20">
        <f>Registro[[#This Row],[Mes 10]]+Registro[[#This Row],[Mes 11]]+Registro[[#This Row],[Mes 12]]</f>
        <v>0</v>
      </c>
      <c r="X951" s="20">
        <f>SUM(Registro[[#This Row],[Trim I]],Registro[[#This Row],[Trim II]],Registro[[#This Row],[Trim III]],Registro[[#This Row],[Trim IV]])</f>
        <v>18</v>
      </c>
      <c r="Y951" s="22">
        <f>IFERROR((Registro[[#This Row],[Avance Total]]/Registro[[#This Row],[Meta]]),0)</f>
        <v>0.48648648648648651</v>
      </c>
      <c r="Z951" s="22">
        <f>IFERROR((Registro[[#This Row],[Avance Total]]-Registro[[#This Row],[Línea Base 2025]])/Registro[[#This Row],[Línea Base 2025]],0)</f>
        <v>-0.70967741935483875</v>
      </c>
      <c r="AA951" s="20">
        <v>2026</v>
      </c>
    </row>
    <row r="952" spans="1:27" hidden="1">
      <c r="A952" s="14">
        <v>1074</v>
      </c>
      <c r="B952" s="15" t="s">
        <v>103</v>
      </c>
      <c r="C952" s="16">
        <v>112</v>
      </c>
      <c r="D952" s="16" t="s">
        <v>173</v>
      </c>
      <c r="E952" s="17" t="s">
        <v>7</v>
      </c>
      <c r="F952" s="24">
        <v>46</v>
      </c>
      <c r="G952" s="19">
        <v>147</v>
      </c>
      <c r="H952" s="19">
        <v>0</v>
      </c>
      <c r="I952" s="19">
        <v>0</v>
      </c>
      <c r="T952" s="19">
        <f>Registro[[#This Row],[Mes 1]]+Registro[[#This Row],[Mes 2]]+Registro[[#This Row],[Mes 3]]</f>
        <v>0</v>
      </c>
      <c r="U952" s="19">
        <f>Registro[[#This Row],[Mes 4]]+Registro[[#This Row],[Mes 5]]+Registro[[#This Row],[Mes 6]]</f>
        <v>0</v>
      </c>
      <c r="V952" s="19">
        <f>Registro[[#This Row],[Mes 7]]+Registro[[#This Row],[Mes 8]]+Registro[[#This Row],[Mes 9]]</f>
        <v>0</v>
      </c>
      <c r="W952" s="20">
        <f>Registro[[#This Row],[Mes 10]]+Registro[[#This Row],[Mes 11]]+Registro[[#This Row],[Mes 12]]</f>
        <v>0</v>
      </c>
      <c r="X952" s="20">
        <f>SUM(Registro[[#This Row],[Trim I]],Registro[[#This Row],[Trim II]],Registro[[#This Row],[Trim III]],Registro[[#This Row],[Trim IV]])</f>
        <v>0</v>
      </c>
      <c r="Y952" s="22">
        <f>IFERROR((Registro[[#This Row],[Avance Total]]/Registro[[#This Row],[Meta]]),0)</f>
        <v>0</v>
      </c>
      <c r="Z952" s="22">
        <f>IFERROR((Registro[[#This Row],[Avance Total]]-Registro[[#This Row],[Línea Base 2025]])/Registro[[#This Row],[Línea Base 2025]],0)</f>
        <v>-1</v>
      </c>
      <c r="AA952" s="20">
        <v>2026</v>
      </c>
    </row>
    <row r="953" spans="1:27" hidden="1">
      <c r="A953" s="14">
        <v>1074</v>
      </c>
      <c r="B953" s="15" t="s">
        <v>103</v>
      </c>
      <c r="C953" s="16">
        <v>113</v>
      </c>
      <c r="D953" s="16" t="s">
        <v>179</v>
      </c>
      <c r="E953" s="17" t="s">
        <v>178</v>
      </c>
      <c r="F953" s="24">
        <v>54</v>
      </c>
      <c r="G953" s="19">
        <v>225</v>
      </c>
      <c r="H953" s="19">
        <v>3</v>
      </c>
      <c r="I953" s="19">
        <v>4</v>
      </c>
      <c r="T953" s="19">
        <f>Registro[[#This Row],[Mes 1]]+Registro[[#This Row],[Mes 2]]+Registro[[#This Row],[Mes 3]]</f>
        <v>7</v>
      </c>
      <c r="U953" s="19">
        <f>Registro[[#This Row],[Mes 4]]+Registro[[#This Row],[Mes 5]]+Registro[[#This Row],[Mes 6]]</f>
        <v>0</v>
      </c>
      <c r="V953" s="19">
        <f>Registro[[#This Row],[Mes 7]]+Registro[[#This Row],[Mes 8]]+Registro[[#This Row],[Mes 9]]</f>
        <v>0</v>
      </c>
      <c r="W953" s="20">
        <f>Registro[[#This Row],[Mes 10]]+Registro[[#This Row],[Mes 11]]+Registro[[#This Row],[Mes 12]]</f>
        <v>0</v>
      </c>
      <c r="X953" s="20">
        <f>SUM(Registro[[#This Row],[Trim I]],Registro[[#This Row],[Trim II]],Registro[[#This Row],[Trim III]],Registro[[#This Row],[Trim IV]])</f>
        <v>7</v>
      </c>
      <c r="Y953" s="22">
        <f>IFERROR((Registro[[#This Row],[Avance Total]]/Registro[[#This Row],[Meta]]),0)</f>
        <v>3.111111111111111E-2</v>
      </c>
      <c r="Z953" s="22">
        <f>IFERROR((Registro[[#This Row],[Avance Total]]-Registro[[#This Row],[Línea Base 2025]])/Registro[[#This Row],[Línea Base 2025]],0)</f>
        <v>-0.87037037037037035</v>
      </c>
      <c r="AA953" s="20">
        <v>2026</v>
      </c>
    </row>
    <row r="954" spans="1:27" hidden="1">
      <c r="A954" s="14">
        <v>1074</v>
      </c>
      <c r="B954" s="15" t="s">
        <v>103</v>
      </c>
      <c r="C954" s="16">
        <v>114</v>
      </c>
      <c r="D954" s="16" t="s">
        <v>181</v>
      </c>
      <c r="E954" s="17" t="s">
        <v>180</v>
      </c>
      <c r="F954" s="24">
        <v>0</v>
      </c>
      <c r="G954" s="19">
        <v>46</v>
      </c>
      <c r="H954" s="19">
        <v>12</v>
      </c>
      <c r="I954" s="19">
        <v>0</v>
      </c>
      <c r="T954" s="19">
        <f>Registro[[#This Row],[Mes 1]]+Registro[[#This Row],[Mes 2]]+Registro[[#This Row],[Mes 3]]</f>
        <v>12</v>
      </c>
      <c r="U954" s="19">
        <f>Registro[[#This Row],[Mes 4]]+Registro[[#This Row],[Mes 5]]+Registro[[#This Row],[Mes 6]]</f>
        <v>0</v>
      </c>
      <c r="V954" s="19">
        <f>Registro[[#This Row],[Mes 7]]+Registro[[#This Row],[Mes 8]]+Registro[[#This Row],[Mes 9]]</f>
        <v>0</v>
      </c>
      <c r="W954" s="20">
        <f>Registro[[#This Row],[Mes 10]]+Registro[[#This Row],[Mes 11]]+Registro[[#This Row],[Mes 12]]</f>
        <v>0</v>
      </c>
      <c r="X954" s="20">
        <f>SUM(Registro[[#This Row],[Trim I]],Registro[[#This Row],[Trim II]],Registro[[#This Row],[Trim III]],Registro[[#This Row],[Trim IV]])</f>
        <v>12</v>
      </c>
      <c r="Y954" s="22">
        <f>IFERROR((Registro[[#This Row],[Avance Total]]/Registro[[#This Row],[Meta]]),0)</f>
        <v>0.2608695652173913</v>
      </c>
      <c r="Z954" s="22">
        <f>IFERROR((Registro[[#This Row],[Avance Total]]-Registro[[#This Row],[Línea Base 2025]])/Registro[[#This Row],[Línea Base 2025]],0)</f>
        <v>0</v>
      </c>
      <c r="AA954" s="20">
        <v>2026</v>
      </c>
    </row>
    <row r="955" spans="1:27" hidden="1">
      <c r="A955" s="14">
        <v>1074</v>
      </c>
      <c r="B955" s="15" t="s">
        <v>103</v>
      </c>
      <c r="C955" s="16">
        <v>115</v>
      </c>
      <c r="D955" s="16" t="s">
        <v>183</v>
      </c>
      <c r="E955" s="17" t="s">
        <v>182</v>
      </c>
      <c r="F955" s="24">
        <v>11</v>
      </c>
      <c r="G955" s="19">
        <v>42</v>
      </c>
      <c r="H955" s="19">
        <v>0</v>
      </c>
      <c r="I955" s="19">
        <v>6</v>
      </c>
      <c r="T955" s="19">
        <f>Registro[[#This Row],[Mes 1]]+Registro[[#This Row],[Mes 2]]+Registro[[#This Row],[Mes 3]]</f>
        <v>6</v>
      </c>
      <c r="U955" s="19">
        <f>Registro[[#This Row],[Mes 4]]+Registro[[#This Row],[Mes 5]]+Registro[[#This Row],[Mes 6]]</f>
        <v>0</v>
      </c>
      <c r="V955" s="19">
        <f>Registro[[#This Row],[Mes 7]]+Registro[[#This Row],[Mes 8]]+Registro[[#This Row],[Mes 9]]</f>
        <v>0</v>
      </c>
      <c r="W955" s="20">
        <f>Registro[[#This Row],[Mes 10]]+Registro[[#This Row],[Mes 11]]+Registro[[#This Row],[Mes 12]]</f>
        <v>0</v>
      </c>
      <c r="X955" s="20">
        <f>SUM(Registro[[#This Row],[Trim I]],Registro[[#This Row],[Trim II]],Registro[[#This Row],[Trim III]],Registro[[#This Row],[Trim IV]])</f>
        <v>6</v>
      </c>
      <c r="Y955" s="22">
        <f>IFERROR((Registro[[#This Row],[Avance Total]]/Registro[[#This Row],[Meta]]),0)</f>
        <v>0.14285714285714285</v>
      </c>
      <c r="Z955" s="22">
        <f>IFERROR((Registro[[#This Row],[Avance Total]]-Registro[[#This Row],[Línea Base 2025]])/Registro[[#This Row],[Línea Base 2025]],0)</f>
        <v>-0.45454545454545453</v>
      </c>
      <c r="AA955" s="20">
        <v>2026</v>
      </c>
    </row>
    <row r="956" spans="1:27">
      <c r="A956" s="14">
        <v>1074</v>
      </c>
      <c r="B956" s="15" t="s">
        <v>103</v>
      </c>
      <c r="C956" s="16">
        <v>116</v>
      </c>
      <c r="D956" s="16" t="s">
        <v>185</v>
      </c>
      <c r="E956" s="17" t="s">
        <v>184</v>
      </c>
      <c r="F956" s="24">
        <v>4</v>
      </c>
      <c r="G956" s="19">
        <v>5</v>
      </c>
      <c r="H956" s="19">
        <v>0</v>
      </c>
      <c r="I956" s="19">
        <v>0</v>
      </c>
      <c r="T956" s="19">
        <f>Registro[[#This Row],[Mes 1]]+Registro[[#This Row],[Mes 2]]+Registro[[#This Row],[Mes 3]]</f>
        <v>0</v>
      </c>
      <c r="U956" s="19">
        <f>Registro[[#This Row],[Mes 4]]+Registro[[#This Row],[Mes 5]]+Registro[[#This Row],[Mes 6]]</f>
        <v>0</v>
      </c>
      <c r="V956" s="19">
        <f>Registro[[#This Row],[Mes 7]]+Registro[[#This Row],[Mes 8]]+Registro[[#This Row],[Mes 9]]</f>
        <v>0</v>
      </c>
      <c r="W956" s="20">
        <f>Registro[[#This Row],[Mes 10]]+Registro[[#This Row],[Mes 11]]+Registro[[#This Row],[Mes 12]]</f>
        <v>0</v>
      </c>
      <c r="X956" s="20">
        <f>SUM(Registro[[#This Row],[Trim I]],Registro[[#This Row],[Trim II]],Registro[[#This Row],[Trim III]],Registro[[#This Row],[Trim IV]])</f>
        <v>0</v>
      </c>
      <c r="Y956" s="22">
        <f>IFERROR((Registro[[#This Row],[Avance Total]]/Registro[[#This Row],[Meta]]),0)</f>
        <v>0</v>
      </c>
      <c r="Z956" s="22">
        <f>IFERROR((Registro[[#This Row],[Avance Total]]-Registro[[#This Row],[Línea Base 2025]])/Registro[[#This Row],[Línea Base 2025]],0)</f>
        <v>-1</v>
      </c>
      <c r="AA956" s="20">
        <v>2026</v>
      </c>
    </row>
    <row r="957" spans="1:27" hidden="1">
      <c r="A957" s="14">
        <v>1074</v>
      </c>
      <c r="B957" s="15" t="s">
        <v>103</v>
      </c>
      <c r="C957" s="16">
        <v>117</v>
      </c>
      <c r="D957" s="16" t="s">
        <v>187</v>
      </c>
      <c r="E957" s="17" t="s">
        <v>186</v>
      </c>
      <c r="F957" s="24">
        <v>2</v>
      </c>
      <c r="G957" s="19">
        <v>13</v>
      </c>
      <c r="H957" s="19">
        <v>0</v>
      </c>
      <c r="I957" s="19">
        <v>0</v>
      </c>
      <c r="T957" s="19">
        <f>Registro[[#This Row],[Mes 1]]+Registro[[#This Row],[Mes 2]]+Registro[[#This Row],[Mes 3]]</f>
        <v>0</v>
      </c>
      <c r="U957" s="19">
        <f>Registro[[#This Row],[Mes 4]]+Registro[[#This Row],[Mes 5]]+Registro[[#This Row],[Mes 6]]</f>
        <v>0</v>
      </c>
      <c r="V957" s="19">
        <f>Registro[[#This Row],[Mes 7]]+Registro[[#This Row],[Mes 8]]+Registro[[#This Row],[Mes 9]]</f>
        <v>0</v>
      </c>
      <c r="W957" s="20">
        <f>Registro[[#This Row],[Mes 10]]+Registro[[#This Row],[Mes 11]]+Registro[[#This Row],[Mes 12]]</f>
        <v>0</v>
      </c>
      <c r="X957" s="20">
        <f>SUM(Registro[[#This Row],[Trim I]],Registro[[#This Row],[Trim II]],Registro[[#This Row],[Trim III]],Registro[[#This Row],[Trim IV]])</f>
        <v>0</v>
      </c>
      <c r="Y957" s="22">
        <f>IFERROR((Registro[[#This Row],[Avance Total]]/Registro[[#This Row],[Meta]]),0)</f>
        <v>0</v>
      </c>
      <c r="Z957" s="22">
        <f>IFERROR((Registro[[#This Row],[Avance Total]]-Registro[[#This Row],[Línea Base 2025]])/Registro[[#This Row],[Línea Base 2025]],0)</f>
        <v>-1</v>
      </c>
      <c r="AA957" s="20">
        <v>2026</v>
      </c>
    </row>
    <row r="958" spans="1:27" hidden="1">
      <c r="A958" s="14">
        <v>1074</v>
      </c>
      <c r="B958" s="15" t="s">
        <v>103</v>
      </c>
      <c r="C958" s="16">
        <v>118</v>
      </c>
      <c r="D958" s="16" t="s">
        <v>188</v>
      </c>
      <c r="E958" s="17" t="s">
        <v>9</v>
      </c>
      <c r="F958" s="24">
        <v>0</v>
      </c>
      <c r="G958" s="19">
        <v>137</v>
      </c>
      <c r="H958" s="19">
        <v>0</v>
      </c>
      <c r="I958" s="19">
        <v>0</v>
      </c>
      <c r="T958" s="19">
        <f>Registro[[#This Row],[Mes 1]]+Registro[[#This Row],[Mes 2]]+Registro[[#This Row],[Mes 3]]</f>
        <v>0</v>
      </c>
      <c r="U958" s="19">
        <f>Registro[[#This Row],[Mes 4]]+Registro[[#This Row],[Mes 5]]+Registro[[#This Row],[Mes 6]]</f>
        <v>0</v>
      </c>
      <c r="V958" s="19">
        <f>Registro[[#This Row],[Mes 7]]+Registro[[#This Row],[Mes 8]]+Registro[[#This Row],[Mes 9]]</f>
        <v>0</v>
      </c>
      <c r="W958" s="20">
        <f>Registro[[#This Row],[Mes 10]]+Registro[[#This Row],[Mes 11]]+Registro[[#This Row],[Mes 12]]</f>
        <v>0</v>
      </c>
      <c r="X958" s="20">
        <f>SUM(Registro[[#This Row],[Trim I]],Registro[[#This Row],[Trim II]],Registro[[#This Row],[Trim III]],Registro[[#This Row],[Trim IV]])</f>
        <v>0</v>
      </c>
      <c r="Y958" s="22">
        <f>IFERROR((Registro[[#This Row],[Avance Total]]/Registro[[#This Row],[Meta]]),0)</f>
        <v>0</v>
      </c>
      <c r="Z958" s="22">
        <f>IFERROR((Registro[[#This Row],[Avance Total]]-Registro[[#This Row],[Línea Base 2025]])/Registro[[#This Row],[Línea Base 2025]],0)</f>
        <v>0</v>
      </c>
      <c r="AA958" s="20">
        <v>2026</v>
      </c>
    </row>
    <row r="959" spans="1:27" hidden="1">
      <c r="A959" s="14">
        <v>1074</v>
      </c>
      <c r="B959" s="15" t="s">
        <v>103</v>
      </c>
      <c r="C959" s="16">
        <v>119</v>
      </c>
      <c r="D959" s="16" t="s">
        <v>190</v>
      </c>
      <c r="E959" s="17" t="s">
        <v>189</v>
      </c>
      <c r="F959" s="24">
        <v>0</v>
      </c>
      <c r="G959" s="19">
        <v>4</v>
      </c>
      <c r="H959" s="19">
        <v>0</v>
      </c>
      <c r="I959" s="19">
        <v>0</v>
      </c>
      <c r="T959" s="19">
        <f>Registro[[#This Row],[Mes 1]]+Registro[[#This Row],[Mes 2]]+Registro[[#This Row],[Mes 3]]</f>
        <v>0</v>
      </c>
      <c r="U959" s="19">
        <f>Registro[[#This Row],[Mes 4]]+Registro[[#This Row],[Mes 5]]+Registro[[#This Row],[Mes 6]]</f>
        <v>0</v>
      </c>
      <c r="V959" s="19">
        <f>Registro[[#This Row],[Mes 7]]+Registro[[#This Row],[Mes 8]]+Registro[[#This Row],[Mes 9]]</f>
        <v>0</v>
      </c>
      <c r="W959" s="20">
        <f>Registro[[#This Row],[Mes 10]]+Registro[[#This Row],[Mes 11]]+Registro[[#This Row],[Mes 12]]</f>
        <v>0</v>
      </c>
      <c r="X959" s="20">
        <f>SUM(Registro[[#This Row],[Trim I]],Registro[[#This Row],[Trim II]],Registro[[#This Row],[Trim III]],Registro[[#This Row],[Trim IV]])</f>
        <v>0</v>
      </c>
      <c r="Y959" s="22">
        <f>IFERROR((Registro[[#This Row],[Avance Total]]/Registro[[#This Row],[Meta]]),0)</f>
        <v>0</v>
      </c>
      <c r="Z959" s="22">
        <f>IFERROR((Registro[[#This Row],[Avance Total]]-Registro[[#This Row],[Línea Base 2025]])/Registro[[#This Row],[Línea Base 2025]],0)</f>
        <v>0</v>
      </c>
      <c r="AA959" s="20">
        <v>2026</v>
      </c>
    </row>
    <row r="960" spans="1:27" hidden="1">
      <c r="A960" s="14">
        <v>1074</v>
      </c>
      <c r="B960" s="15" t="s">
        <v>103</v>
      </c>
      <c r="C960" s="16">
        <v>120</v>
      </c>
      <c r="D960" s="16" t="s">
        <v>192</v>
      </c>
      <c r="E960" s="17" t="s">
        <v>191</v>
      </c>
      <c r="F960" s="24">
        <v>99</v>
      </c>
      <c r="G960" s="19">
        <v>80</v>
      </c>
      <c r="H960" s="19">
        <v>0</v>
      </c>
      <c r="I960" s="19">
        <v>3</v>
      </c>
      <c r="T960" s="19">
        <f>Registro[[#This Row],[Mes 1]]+Registro[[#This Row],[Mes 2]]+Registro[[#This Row],[Mes 3]]</f>
        <v>3</v>
      </c>
      <c r="U960" s="19">
        <f>Registro[[#This Row],[Mes 4]]+Registro[[#This Row],[Mes 5]]+Registro[[#This Row],[Mes 6]]</f>
        <v>0</v>
      </c>
      <c r="V960" s="19">
        <f>Registro[[#This Row],[Mes 7]]+Registro[[#This Row],[Mes 8]]+Registro[[#This Row],[Mes 9]]</f>
        <v>0</v>
      </c>
      <c r="W960" s="20">
        <f>Registro[[#This Row],[Mes 10]]+Registro[[#This Row],[Mes 11]]+Registro[[#This Row],[Mes 12]]</f>
        <v>0</v>
      </c>
      <c r="X960" s="20">
        <f>SUM(Registro[[#This Row],[Trim I]],Registro[[#This Row],[Trim II]],Registro[[#This Row],[Trim III]],Registro[[#This Row],[Trim IV]])</f>
        <v>3</v>
      </c>
      <c r="Y960" s="22">
        <f>IFERROR((Registro[[#This Row],[Avance Total]]/Registro[[#This Row],[Meta]]),0)</f>
        <v>3.7499999999999999E-2</v>
      </c>
      <c r="Z960" s="22">
        <f>IFERROR((Registro[[#This Row],[Avance Total]]-Registro[[#This Row],[Línea Base 2025]])/Registro[[#This Row],[Línea Base 2025]],0)</f>
        <v>-0.96969696969696972</v>
      </c>
      <c r="AA960" s="20">
        <v>2026</v>
      </c>
    </row>
    <row r="961" spans="1:27" hidden="1">
      <c r="A961" s="14">
        <v>1074</v>
      </c>
      <c r="B961" s="15" t="s">
        <v>103</v>
      </c>
      <c r="C961" s="16">
        <v>121</v>
      </c>
      <c r="D961" s="16" t="s">
        <v>194</v>
      </c>
      <c r="E961" s="17" t="s">
        <v>193</v>
      </c>
      <c r="F961" s="24">
        <v>0</v>
      </c>
      <c r="G961" s="19">
        <v>20</v>
      </c>
      <c r="H961" s="19">
        <v>0</v>
      </c>
      <c r="I961" s="19">
        <v>0</v>
      </c>
      <c r="T961" s="19">
        <f>Registro[[#This Row],[Mes 1]]+Registro[[#This Row],[Mes 2]]+Registro[[#This Row],[Mes 3]]</f>
        <v>0</v>
      </c>
      <c r="U961" s="19">
        <f>Registro[[#This Row],[Mes 4]]+Registro[[#This Row],[Mes 5]]+Registro[[#This Row],[Mes 6]]</f>
        <v>0</v>
      </c>
      <c r="V961" s="19">
        <f>Registro[[#This Row],[Mes 7]]+Registro[[#This Row],[Mes 8]]+Registro[[#This Row],[Mes 9]]</f>
        <v>0</v>
      </c>
      <c r="W961" s="20">
        <f>Registro[[#This Row],[Mes 10]]+Registro[[#This Row],[Mes 11]]+Registro[[#This Row],[Mes 12]]</f>
        <v>0</v>
      </c>
      <c r="X961" s="20">
        <f>SUM(Registro[[#This Row],[Trim I]],Registro[[#This Row],[Trim II]],Registro[[#This Row],[Trim III]],Registro[[#This Row],[Trim IV]])</f>
        <v>0</v>
      </c>
      <c r="Y961" s="22">
        <f>IFERROR((Registro[[#This Row],[Avance Total]]/Registro[[#This Row],[Meta]]),0)</f>
        <v>0</v>
      </c>
      <c r="Z961" s="22">
        <f>IFERROR((Registro[[#This Row],[Avance Total]]-Registro[[#This Row],[Línea Base 2025]])/Registro[[#This Row],[Línea Base 2025]],0)</f>
        <v>0</v>
      </c>
      <c r="AA961" s="20">
        <v>2026</v>
      </c>
    </row>
    <row r="962" spans="1:27" hidden="1">
      <c r="A962" s="14">
        <v>1074</v>
      </c>
      <c r="B962" s="15" t="s">
        <v>103</v>
      </c>
      <c r="C962" s="16">
        <v>122</v>
      </c>
      <c r="D962" s="16" t="s">
        <v>196</v>
      </c>
      <c r="E962" s="17" t="s">
        <v>195</v>
      </c>
      <c r="F962" s="24">
        <v>15</v>
      </c>
      <c r="G962" s="19">
        <v>22</v>
      </c>
      <c r="H962" s="19">
        <v>0</v>
      </c>
      <c r="I962" s="19">
        <v>0</v>
      </c>
      <c r="T962" s="19">
        <f>Registro[[#This Row],[Mes 1]]+Registro[[#This Row],[Mes 2]]+Registro[[#This Row],[Mes 3]]</f>
        <v>0</v>
      </c>
      <c r="U962" s="19">
        <f>Registro[[#This Row],[Mes 4]]+Registro[[#This Row],[Mes 5]]+Registro[[#This Row],[Mes 6]]</f>
        <v>0</v>
      </c>
      <c r="V962" s="19">
        <f>Registro[[#This Row],[Mes 7]]+Registro[[#This Row],[Mes 8]]+Registro[[#This Row],[Mes 9]]</f>
        <v>0</v>
      </c>
      <c r="W962" s="20">
        <f>Registro[[#This Row],[Mes 10]]+Registro[[#This Row],[Mes 11]]+Registro[[#This Row],[Mes 12]]</f>
        <v>0</v>
      </c>
      <c r="X962" s="20">
        <f>SUM(Registro[[#This Row],[Trim I]],Registro[[#This Row],[Trim II]],Registro[[#This Row],[Trim III]],Registro[[#This Row],[Trim IV]])</f>
        <v>0</v>
      </c>
      <c r="Y962" s="22">
        <f>IFERROR((Registro[[#This Row],[Avance Total]]/Registro[[#This Row],[Meta]]),0)</f>
        <v>0</v>
      </c>
      <c r="Z962" s="22">
        <f>IFERROR((Registro[[#This Row],[Avance Total]]-Registro[[#This Row],[Línea Base 2025]])/Registro[[#This Row],[Línea Base 2025]],0)</f>
        <v>-1</v>
      </c>
      <c r="AA962" s="20">
        <v>2026</v>
      </c>
    </row>
    <row r="963" spans="1:27" hidden="1">
      <c r="A963" s="14">
        <v>1074</v>
      </c>
      <c r="B963" s="15" t="s">
        <v>103</v>
      </c>
      <c r="C963" s="16">
        <v>123</v>
      </c>
      <c r="D963" s="16" t="s">
        <v>198</v>
      </c>
      <c r="E963" s="17" t="s">
        <v>197</v>
      </c>
      <c r="F963" s="24">
        <v>0</v>
      </c>
      <c r="G963" s="19">
        <v>5</v>
      </c>
      <c r="H963" s="19">
        <v>0</v>
      </c>
      <c r="I963" s="19">
        <v>0</v>
      </c>
      <c r="T963" s="19">
        <f>Registro[[#This Row],[Mes 1]]+Registro[[#This Row],[Mes 2]]+Registro[[#This Row],[Mes 3]]</f>
        <v>0</v>
      </c>
      <c r="U963" s="19">
        <f>Registro[[#This Row],[Mes 4]]+Registro[[#This Row],[Mes 5]]+Registro[[#This Row],[Mes 6]]</f>
        <v>0</v>
      </c>
      <c r="V963" s="19">
        <f>Registro[[#This Row],[Mes 7]]+Registro[[#This Row],[Mes 8]]+Registro[[#This Row],[Mes 9]]</f>
        <v>0</v>
      </c>
      <c r="W963" s="20">
        <f>Registro[[#This Row],[Mes 10]]+Registro[[#This Row],[Mes 11]]+Registro[[#This Row],[Mes 12]]</f>
        <v>0</v>
      </c>
      <c r="X963" s="20">
        <f>SUM(Registro[[#This Row],[Trim I]],Registro[[#This Row],[Trim II]],Registro[[#This Row],[Trim III]],Registro[[#This Row],[Trim IV]])</f>
        <v>0</v>
      </c>
      <c r="Y963" s="22">
        <f>IFERROR((Registro[[#This Row],[Avance Total]]/Registro[[#This Row],[Meta]]),0)</f>
        <v>0</v>
      </c>
      <c r="Z963" s="22">
        <f>IFERROR((Registro[[#This Row],[Avance Total]]-Registro[[#This Row],[Línea Base 2025]])/Registro[[#This Row],[Línea Base 2025]],0)</f>
        <v>0</v>
      </c>
      <c r="AA963" s="20">
        <v>2026</v>
      </c>
    </row>
    <row r="964" spans="1:27" hidden="1">
      <c r="A964" s="14">
        <v>1075</v>
      </c>
      <c r="B964" s="15" t="s">
        <v>104</v>
      </c>
      <c r="C964" s="16">
        <v>111</v>
      </c>
      <c r="D964" s="16" t="s">
        <v>171</v>
      </c>
      <c r="E964" s="17" t="s">
        <v>172</v>
      </c>
      <c r="F964" s="24">
        <v>61</v>
      </c>
      <c r="G964" s="19">
        <v>298</v>
      </c>
      <c r="H964" s="19">
        <v>2</v>
      </c>
      <c r="I964" s="19">
        <v>9</v>
      </c>
      <c r="T964" s="19">
        <f>Registro[[#This Row],[Mes 1]]+Registro[[#This Row],[Mes 2]]+Registro[[#This Row],[Mes 3]]</f>
        <v>11</v>
      </c>
      <c r="U964" s="19">
        <f>Registro[[#This Row],[Mes 4]]+Registro[[#This Row],[Mes 5]]+Registro[[#This Row],[Mes 6]]</f>
        <v>0</v>
      </c>
      <c r="V964" s="19">
        <f>Registro[[#This Row],[Mes 7]]+Registro[[#This Row],[Mes 8]]+Registro[[#This Row],[Mes 9]]</f>
        <v>0</v>
      </c>
      <c r="W964" s="20">
        <f>Registro[[#This Row],[Mes 10]]+Registro[[#This Row],[Mes 11]]+Registro[[#This Row],[Mes 12]]</f>
        <v>0</v>
      </c>
      <c r="X964" s="20">
        <f>SUM(Registro[[#This Row],[Trim I]],Registro[[#This Row],[Trim II]],Registro[[#This Row],[Trim III]],Registro[[#This Row],[Trim IV]])</f>
        <v>11</v>
      </c>
      <c r="Y964" s="22">
        <f>IFERROR((Registro[[#This Row],[Avance Total]]/Registro[[#This Row],[Meta]]),0)</f>
        <v>3.6912751677852351E-2</v>
      </c>
      <c r="Z964" s="22">
        <f>IFERROR((Registro[[#This Row],[Avance Total]]-Registro[[#This Row],[Línea Base 2025]])/Registro[[#This Row],[Línea Base 2025]],0)</f>
        <v>-0.81967213114754101</v>
      </c>
      <c r="AA964" s="20">
        <v>2026</v>
      </c>
    </row>
    <row r="965" spans="1:27" hidden="1">
      <c r="A965" s="14">
        <v>1075</v>
      </c>
      <c r="B965" s="15" t="s">
        <v>104</v>
      </c>
      <c r="C965" s="16">
        <v>112</v>
      </c>
      <c r="D965" s="16" t="s">
        <v>173</v>
      </c>
      <c r="E965" s="17" t="s">
        <v>7</v>
      </c>
      <c r="F965" s="24">
        <v>28</v>
      </c>
      <c r="G965" s="19">
        <v>96</v>
      </c>
      <c r="H965" s="19">
        <v>0</v>
      </c>
      <c r="I965" s="19">
        <v>0</v>
      </c>
      <c r="T965" s="19">
        <f>Registro[[#This Row],[Mes 1]]+Registro[[#This Row],[Mes 2]]+Registro[[#This Row],[Mes 3]]</f>
        <v>0</v>
      </c>
      <c r="U965" s="19">
        <f>Registro[[#This Row],[Mes 4]]+Registro[[#This Row],[Mes 5]]+Registro[[#This Row],[Mes 6]]</f>
        <v>0</v>
      </c>
      <c r="V965" s="19">
        <f>Registro[[#This Row],[Mes 7]]+Registro[[#This Row],[Mes 8]]+Registro[[#This Row],[Mes 9]]</f>
        <v>0</v>
      </c>
      <c r="W965" s="20">
        <f>Registro[[#This Row],[Mes 10]]+Registro[[#This Row],[Mes 11]]+Registro[[#This Row],[Mes 12]]</f>
        <v>0</v>
      </c>
      <c r="X965" s="20">
        <f>SUM(Registro[[#This Row],[Trim I]],Registro[[#This Row],[Trim II]],Registro[[#This Row],[Trim III]],Registro[[#This Row],[Trim IV]])</f>
        <v>0</v>
      </c>
      <c r="Y965" s="22">
        <f>IFERROR((Registro[[#This Row],[Avance Total]]/Registro[[#This Row],[Meta]]),0)</f>
        <v>0</v>
      </c>
      <c r="Z965" s="22">
        <f>IFERROR((Registro[[#This Row],[Avance Total]]-Registro[[#This Row],[Línea Base 2025]])/Registro[[#This Row],[Línea Base 2025]],0)</f>
        <v>-1</v>
      </c>
      <c r="AA965" s="20">
        <v>2026</v>
      </c>
    </row>
    <row r="966" spans="1:27" hidden="1">
      <c r="A966" s="14">
        <v>1075</v>
      </c>
      <c r="B966" s="15" t="s">
        <v>104</v>
      </c>
      <c r="C966" s="16">
        <v>113</v>
      </c>
      <c r="D966" s="16" t="s">
        <v>179</v>
      </c>
      <c r="E966" s="17" t="s">
        <v>178</v>
      </c>
      <c r="F966" s="24">
        <v>32</v>
      </c>
      <c r="G966" s="19">
        <v>452</v>
      </c>
      <c r="H966" s="19">
        <v>1</v>
      </c>
      <c r="I966" s="19">
        <v>2</v>
      </c>
      <c r="T966" s="19">
        <f>Registro[[#This Row],[Mes 1]]+Registro[[#This Row],[Mes 2]]+Registro[[#This Row],[Mes 3]]</f>
        <v>3</v>
      </c>
      <c r="U966" s="19">
        <f>Registro[[#This Row],[Mes 4]]+Registro[[#This Row],[Mes 5]]+Registro[[#This Row],[Mes 6]]</f>
        <v>0</v>
      </c>
      <c r="V966" s="19">
        <f>Registro[[#This Row],[Mes 7]]+Registro[[#This Row],[Mes 8]]+Registro[[#This Row],[Mes 9]]</f>
        <v>0</v>
      </c>
      <c r="W966" s="20">
        <f>Registro[[#This Row],[Mes 10]]+Registro[[#This Row],[Mes 11]]+Registro[[#This Row],[Mes 12]]</f>
        <v>0</v>
      </c>
      <c r="X966" s="20">
        <f>SUM(Registro[[#This Row],[Trim I]],Registro[[#This Row],[Trim II]],Registro[[#This Row],[Trim III]],Registro[[#This Row],[Trim IV]])</f>
        <v>3</v>
      </c>
      <c r="Y966" s="22">
        <f>IFERROR((Registro[[#This Row],[Avance Total]]/Registro[[#This Row],[Meta]]),0)</f>
        <v>6.6371681415929203E-3</v>
      </c>
      <c r="Z966" s="22">
        <f>IFERROR((Registro[[#This Row],[Avance Total]]-Registro[[#This Row],[Línea Base 2025]])/Registro[[#This Row],[Línea Base 2025]],0)</f>
        <v>-0.90625</v>
      </c>
      <c r="AA966" s="20">
        <v>2026</v>
      </c>
    </row>
    <row r="967" spans="1:27" hidden="1">
      <c r="A967" s="14">
        <v>1075</v>
      </c>
      <c r="B967" s="15" t="s">
        <v>104</v>
      </c>
      <c r="C967" s="16">
        <v>114</v>
      </c>
      <c r="D967" s="16" t="s">
        <v>181</v>
      </c>
      <c r="E967" s="17" t="s">
        <v>180</v>
      </c>
      <c r="F967" s="24">
        <v>0</v>
      </c>
      <c r="G967" s="19">
        <v>34</v>
      </c>
      <c r="H967" s="19">
        <v>3</v>
      </c>
      <c r="I967" s="19">
        <v>0</v>
      </c>
      <c r="T967" s="19">
        <f>Registro[[#This Row],[Mes 1]]+Registro[[#This Row],[Mes 2]]+Registro[[#This Row],[Mes 3]]</f>
        <v>3</v>
      </c>
      <c r="U967" s="19">
        <f>Registro[[#This Row],[Mes 4]]+Registro[[#This Row],[Mes 5]]+Registro[[#This Row],[Mes 6]]</f>
        <v>0</v>
      </c>
      <c r="V967" s="19">
        <f>Registro[[#This Row],[Mes 7]]+Registro[[#This Row],[Mes 8]]+Registro[[#This Row],[Mes 9]]</f>
        <v>0</v>
      </c>
      <c r="W967" s="20">
        <f>Registro[[#This Row],[Mes 10]]+Registro[[#This Row],[Mes 11]]+Registro[[#This Row],[Mes 12]]</f>
        <v>0</v>
      </c>
      <c r="X967" s="20">
        <f>SUM(Registro[[#This Row],[Trim I]],Registro[[#This Row],[Trim II]],Registro[[#This Row],[Trim III]],Registro[[#This Row],[Trim IV]])</f>
        <v>3</v>
      </c>
      <c r="Y967" s="22">
        <f>IFERROR((Registro[[#This Row],[Avance Total]]/Registro[[#This Row],[Meta]]),0)</f>
        <v>8.8235294117647065E-2</v>
      </c>
      <c r="Z967" s="22">
        <f>IFERROR((Registro[[#This Row],[Avance Total]]-Registro[[#This Row],[Línea Base 2025]])/Registro[[#This Row],[Línea Base 2025]],0)</f>
        <v>0</v>
      </c>
      <c r="AA967" s="20">
        <v>2026</v>
      </c>
    </row>
    <row r="968" spans="1:27" hidden="1">
      <c r="A968" s="14">
        <v>1075</v>
      </c>
      <c r="B968" s="15" t="s">
        <v>104</v>
      </c>
      <c r="C968" s="16">
        <v>115</v>
      </c>
      <c r="D968" s="16" t="s">
        <v>183</v>
      </c>
      <c r="E968" s="17" t="s">
        <v>182</v>
      </c>
      <c r="F968" s="24">
        <v>2</v>
      </c>
      <c r="G968" s="19">
        <v>31</v>
      </c>
      <c r="H968" s="19">
        <v>0</v>
      </c>
      <c r="I968" s="19">
        <v>6</v>
      </c>
      <c r="T968" s="19">
        <f>Registro[[#This Row],[Mes 1]]+Registro[[#This Row],[Mes 2]]+Registro[[#This Row],[Mes 3]]</f>
        <v>6</v>
      </c>
      <c r="U968" s="19">
        <f>Registro[[#This Row],[Mes 4]]+Registro[[#This Row],[Mes 5]]+Registro[[#This Row],[Mes 6]]</f>
        <v>0</v>
      </c>
      <c r="V968" s="19">
        <f>Registro[[#This Row],[Mes 7]]+Registro[[#This Row],[Mes 8]]+Registro[[#This Row],[Mes 9]]</f>
        <v>0</v>
      </c>
      <c r="W968" s="20">
        <f>Registro[[#This Row],[Mes 10]]+Registro[[#This Row],[Mes 11]]+Registro[[#This Row],[Mes 12]]</f>
        <v>0</v>
      </c>
      <c r="X968" s="20">
        <f>SUM(Registro[[#This Row],[Trim I]],Registro[[#This Row],[Trim II]],Registro[[#This Row],[Trim III]],Registro[[#This Row],[Trim IV]])</f>
        <v>6</v>
      </c>
      <c r="Y968" s="22">
        <f>IFERROR((Registro[[#This Row],[Avance Total]]/Registro[[#This Row],[Meta]]),0)</f>
        <v>0.19354838709677419</v>
      </c>
      <c r="Z968" s="22">
        <f>IFERROR((Registro[[#This Row],[Avance Total]]-Registro[[#This Row],[Línea Base 2025]])/Registro[[#This Row],[Línea Base 2025]],0)</f>
        <v>2</v>
      </c>
      <c r="AA968" s="20">
        <v>2026</v>
      </c>
    </row>
    <row r="969" spans="1:27">
      <c r="A969" s="14">
        <v>1075</v>
      </c>
      <c r="B969" s="15" t="s">
        <v>104</v>
      </c>
      <c r="C969" s="16">
        <v>116</v>
      </c>
      <c r="D969" s="16" t="s">
        <v>185</v>
      </c>
      <c r="E969" s="17" t="s">
        <v>184</v>
      </c>
      <c r="F969" s="24">
        <v>6</v>
      </c>
      <c r="G969" s="19">
        <v>7</v>
      </c>
      <c r="H969" s="19">
        <v>0</v>
      </c>
      <c r="I969" s="19">
        <v>0</v>
      </c>
      <c r="T969" s="19">
        <f>Registro[[#This Row],[Mes 1]]+Registro[[#This Row],[Mes 2]]+Registro[[#This Row],[Mes 3]]</f>
        <v>0</v>
      </c>
      <c r="U969" s="19">
        <f>Registro[[#This Row],[Mes 4]]+Registro[[#This Row],[Mes 5]]+Registro[[#This Row],[Mes 6]]</f>
        <v>0</v>
      </c>
      <c r="V969" s="19">
        <f>Registro[[#This Row],[Mes 7]]+Registro[[#This Row],[Mes 8]]+Registro[[#This Row],[Mes 9]]</f>
        <v>0</v>
      </c>
      <c r="W969" s="20">
        <f>Registro[[#This Row],[Mes 10]]+Registro[[#This Row],[Mes 11]]+Registro[[#This Row],[Mes 12]]</f>
        <v>0</v>
      </c>
      <c r="X969" s="20">
        <f>SUM(Registro[[#This Row],[Trim I]],Registro[[#This Row],[Trim II]],Registro[[#This Row],[Trim III]],Registro[[#This Row],[Trim IV]])</f>
        <v>0</v>
      </c>
      <c r="Y969" s="22">
        <f>IFERROR((Registro[[#This Row],[Avance Total]]/Registro[[#This Row],[Meta]]),0)</f>
        <v>0</v>
      </c>
      <c r="Z969" s="22">
        <f>IFERROR((Registro[[#This Row],[Avance Total]]-Registro[[#This Row],[Línea Base 2025]])/Registro[[#This Row],[Línea Base 2025]],0)</f>
        <v>-1</v>
      </c>
      <c r="AA969" s="20">
        <v>2026</v>
      </c>
    </row>
    <row r="970" spans="1:27" hidden="1">
      <c r="A970" s="14">
        <v>1075</v>
      </c>
      <c r="B970" s="15" t="s">
        <v>104</v>
      </c>
      <c r="C970" s="16">
        <v>117</v>
      </c>
      <c r="D970" s="16" t="s">
        <v>187</v>
      </c>
      <c r="E970" s="17" t="s">
        <v>186</v>
      </c>
      <c r="F970" s="24">
        <v>3</v>
      </c>
      <c r="G970" s="19">
        <v>5</v>
      </c>
      <c r="H970" s="19">
        <v>0</v>
      </c>
      <c r="I970" s="19">
        <v>0</v>
      </c>
      <c r="T970" s="19">
        <f>Registro[[#This Row],[Mes 1]]+Registro[[#This Row],[Mes 2]]+Registro[[#This Row],[Mes 3]]</f>
        <v>0</v>
      </c>
      <c r="U970" s="19">
        <f>Registro[[#This Row],[Mes 4]]+Registro[[#This Row],[Mes 5]]+Registro[[#This Row],[Mes 6]]</f>
        <v>0</v>
      </c>
      <c r="V970" s="19">
        <f>Registro[[#This Row],[Mes 7]]+Registro[[#This Row],[Mes 8]]+Registro[[#This Row],[Mes 9]]</f>
        <v>0</v>
      </c>
      <c r="W970" s="20">
        <f>Registro[[#This Row],[Mes 10]]+Registro[[#This Row],[Mes 11]]+Registro[[#This Row],[Mes 12]]</f>
        <v>0</v>
      </c>
      <c r="X970" s="20">
        <f>SUM(Registro[[#This Row],[Trim I]],Registro[[#This Row],[Trim II]],Registro[[#This Row],[Trim III]],Registro[[#This Row],[Trim IV]])</f>
        <v>0</v>
      </c>
      <c r="Y970" s="22">
        <f>IFERROR((Registro[[#This Row],[Avance Total]]/Registro[[#This Row],[Meta]]),0)</f>
        <v>0</v>
      </c>
      <c r="Z970" s="22">
        <f>IFERROR((Registro[[#This Row],[Avance Total]]-Registro[[#This Row],[Línea Base 2025]])/Registro[[#This Row],[Línea Base 2025]],0)</f>
        <v>-1</v>
      </c>
      <c r="AA970" s="20">
        <v>2026</v>
      </c>
    </row>
    <row r="971" spans="1:27" hidden="1">
      <c r="A971" s="14">
        <v>1075</v>
      </c>
      <c r="B971" s="15" t="s">
        <v>104</v>
      </c>
      <c r="C971" s="16">
        <v>118</v>
      </c>
      <c r="D971" s="16" t="s">
        <v>188</v>
      </c>
      <c r="E971" s="17" t="s">
        <v>9</v>
      </c>
      <c r="F971" s="24">
        <v>0</v>
      </c>
      <c r="G971" s="19">
        <v>34</v>
      </c>
      <c r="H971" s="19">
        <v>0</v>
      </c>
      <c r="I971" s="19">
        <v>0</v>
      </c>
      <c r="T971" s="19">
        <f>Registro[[#This Row],[Mes 1]]+Registro[[#This Row],[Mes 2]]+Registro[[#This Row],[Mes 3]]</f>
        <v>0</v>
      </c>
      <c r="U971" s="19">
        <f>Registro[[#This Row],[Mes 4]]+Registro[[#This Row],[Mes 5]]+Registro[[#This Row],[Mes 6]]</f>
        <v>0</v>
      </c>
      <c r="V971" s="19">
        <f>Registro[[#This Row],[Mes 7]]+Registro[[#This Row],[Mes 8]]+Registro[[#This Row],[Mes 9]]</f>
        <v>0</v>
      </c>
      <c r="W971" s="20">
        <f>Registro[[#This Row],[Mes 10]]+Registro[[#This Row],[Mes 11]]+Registro[[#This Row],[Mes 12]]</f>
        <v>0</v>
      </c>
      <c r="X971" s="20">
        <f>SUM(Registro[[#This Row],[Trim I]],Registro[[#This Row],[Trim II]],Registro[[#This Row],[Trim III]],Registro[[#This Row],[Trim IV]])</f>
        <v>0</v>
      </c>
      <c r="Y971" s="22">
        <f>IFERROR((Registro[[#This Row],[Avance Total]]/Registro[[#This Row],[Meta]]),0)</f>
        <v>0</v>
      </c>
      <c r="Z971" s="22">
        <f>IFERROR((Registro[[#This Row],[Avance Total]]-Registro[[#This Row],[Línea Base 2025]])/Registro[[#This Row],[Línea Base 2025]],0)</f>
        <v>0</v>
      </c>
      <c r="AA971" s="20">
        <v>2026</v>
      </c>
    </row>
    <row r="972" spans="1:27" hidden="1">
      <c r="A972" s="14">
        <v>1075</v>
      </c>
      <c r="B972" s="15" t="s">
        <v>104</v>
      </c>
      <c r="C972" s="16">
        <v>119</v>
      </c>
      <c r="D972" s="16" t="s">
        <v>190</v>
      </c>
      <c r="E972" s="17" t="s">
        <v>189</v>
      </c>
      <c r="F972" s="24">
        <v>0</v>
      </c>
      <c r="G972" s="19">
        <v>6</v>
      </c>
      <c r="H972" s="19">
        <v>0</v>
      </c>
      <c r="I972" s="19">
        <v>0</v>
      </c>
      <c r="T972" s="19">
        <f>Registro[[#This Row],[Mes 1]]+Registro[[#This Row],[Mes 2]]+Registro[[#This Row],[Mes 3]]</f>
        <v>0</v>
      </c>
      <c r="U972" s="19">
        <f>Registro[[#This Row],[Mes 4]]+Registro[[#This Row],[Mes 5]]+Registro[[#This Row],[Mes 6]]</f>
        <v>0</v>
      </c>
      <c r="V972" s="19">
        <f>Registro[[#This Row],[Mes 7]]+Registro[[#This Row],[Mes 8]]+Registro[[#This Row],[Mes 9]]</f>
        <v>0</v>
      </c>
      <c r="W972" s="20">
        <f>Registro[[#This Row],[Mes 10]]+Registro[[#This Row],[Mes 11]]+Registro[[#This Row],[Mes 12]]</f>
        <v>0</v>
      </c>
      <c r="X972" s="20">
        <f>SUM(Registro[[#This Row],[Trim I]],Registro[[#This Row],[Trim II]],Registro[[#This Row],[Trim III]],Registro[[#This Row],[Trim IV]])</f>
        <v>0</v>
      </c>
      <c r="Y972" s="22">
        <f>IFERROR((Registro[[#This Row],[Avance Total]]/Registro[[#This Row],[Meta]]),0)</f>
        <v>0</v>
      </c>
      <c r="Z972" s="22">
        <f>IFERROR((Registro[[#This Row],[Avance Total]]-Registro[[#This Row],[Línea Base 2025]])/Registro[[#This Row],[Línea Base 2025]],0)</f>
        <v>0</v>
      </c>
      <c r="AA972" s="20">
        <v>2026</v>
      </c>
    </row>
    <row r="973" spans="1:27" hidden="1">
      <c r="A973" s="14">
        <v>1075</v>
      </c>
      <c r="B973" s="15" t="s">
        <v>104</v>
      </c>
      <c r="C973" s="16">
        <v>120</v>
      </c>
      <c r="D973" s="16" t="s">
        <v>192</v>
      </c>
      <c r="E973" s="17" t="s">
        <v>191</v>
      </c>
      <c r="F973" s="24">
        <v>0</v>
      </c>
      <c r="G973" s="19">
        <v>30</v>
      </c>
      <c r="H973" s="19">
        <v>3</v>
      </c>
      <c r="I973" s="19">
        <v>1</v>
      </c>
      <c r="T973" s="19">
        <f>Registro[[#This Row],[Mes 1]]+Registro[[#This Row],[Mes 2]]+Registro[[#This Row],[Mes 3]]</f>
        <v>4</v>
      </c>
      <c r="U973" s="19">
        <f>Registro[[#This Row],[Mes 4]]+Registro[[#This Row],[Mes 5]]+Registro[[#This Row],[Mes 6]]</f>
        <v>0</v>
      </c>
      <c r="V973" s="19">
        <f>Registro[[#This Row],[Mes 7]]+Registro[[#This Row],[Mes 8]]+Registro[[#This Row],[Mes 9]]</f>
        <v>0</v>
      </c>
      <c r="W973" s="20">
        <f>Registro[[#This Row],[Mes 10]]+Registro[[#This Row],[Mes 11]]+Registro[[#This Row],[Mes 12]]</f>
        <v>0</v>
      </c>
      <c r="X973" s="20">
        <f>SUM(Registro[[#This Row],[Trim I]],Registro[[#This Row],[Trim II]],Registro[[#This Row],[Trim III]],Registro[[#This Row],[Trim IV]])</f>
        <v>4</v>
      </c>
      <c r="Y973" s="22">
        <f>IFERROR((Registro[[#This Row],[Avance Total]]/Registro[[#This Row],[Meta]]),0)</f>
        <v>0.13333333333333333</v>
      </c>
      <c r="Z973" s="22">
        <f>IFERROR((Registro[[#This Row],[Avance Total]]-Registro[[#This Row],[Línea Base 2025]])/Registro[[#This Row],[Línea Base 2025]],0)</f>
        <v>0</v>
      </c>
      <c r="AA973" s="20">
        <v>2026</v>
      </c>
    </row>
    <row r="974" spans="1:27" hidden="1">
      <c r="A974" s="14">
        <v>1075</v>
      </c>
      <c r="B974" s="15" t="s">
        <v>104</v>
      </c>
      <c r="C974" s="16">
        <v>121</v>
      </c>
      <c r="D974" s="16" t="s">
        <v>194</v>
      </c>
      <c r="E974" s="17" t="s">
        <v>193</v>
      </c>
      <c r="F974" s="24">
        <v>6</v>
      </c>
      <c r="G974" s="19">
        <v>18</v>
      </c>
      <c r="H974" s="19">
        <v>0</v>
      </c>
      <c r="I974" s="19">
        <v>0</v>
      </c>
      <c r="T974" s="19">
        <f>Registro[[#This Row],[Mes 1]]+Registro[[#This Row],[Mes 2]]+Registro[[#This Row],[Mes 3]]</f>
        <v>0</v>
      </c>
      <c r="U974" s="19">
        <f>Registro[[#This Row],[Mes 4]]+Registro[[#This Row],[Mes 5]]+Registro[[#This Row],[Mes 6]]</f>
        <v>0</v>
      </c>
      <c r="V974" s="19">
        <f>Registro[[#This Row],[Mes 7]]+Registro[[#This Row],[Mes 8]]+Registro[[#This Row],[Mes 9]]</f>
        <v>0</v>
      </c>
      <c r="W974" s="20">
        <f>Registro[[#This Row],[Mes 10]]+Registro[[#This Row],[Mes 11]]+Registro[[#This Row],[Mes 12]]</f>
        <v>0</v>
      </c>
      <c r="X974" s="20">
        <f>SUM(Registro[[#This Row],[Trim I]],Registro[[#This Row],[Trim II]],Registro[[#This Row],[Trim III]],Registro[[#This Row],[Trim IV]])</f>
        <v>0</v>
      </c>
      <c r="Y974" s="22">
        <f>IFERROR((Registro[[#This Row],[Avance Total]]/Registro[[#This Row],[Meta]]),0)</f>
        <v>0</v>
      </c>
      <c r="Z974" s="22">
        <f>IFERROR((Registro[[#This Row],[Avance Total]]-Registro[[#This Row],[Línea Base 2025]])/Registro[[#This Row],[Línea Base 2025]],0)</f>
        <v>-1</v>
      </c>
      <c r="AA974" s="20">
        <v>2026</v>
      </c>
    </row>
    <row r="975" spans="1:27" hidden="1">
      <c r="A975" s="14">
        <v>1075</v>
      </c>
      <c r="B975" s="15" t="s">
        <v>104</v>
      </c>
      <c r="C975" s="16">
        <v>122</v>
      </c>
      <c r="D975" s="16" t="s">
        <v>196</v>
      </c>
      <c r="E975" s="17" t="s">
        <v>195</v>
      </c>
      <c r="F975" s="24">
        <v>14</v>
      </c>
      <c r="G975" s="19">
        <v>17</v>
      </c>
      <c r="H975" s="19">
        <v>0</v>
      </c>
      <c r="I975" s="19">
        <v>0</v>
      </c>
      <c r="T975" s="19">
        <f>Registro[[#This Row],[Mes 1]]+Registro[[#This Row],[Mes 2]]+Registro[[#This Row],[Mes 3]]</f>
        <v>0</v>
      </c>
      <c r="U975" s="19">
        <f>Registro[[#This Row],[Mes 4]]+Registro[[#This Row],[Mes 5]]+Registro[[#This Row],[Mes 6]]</f>
        <v>0</v>
      </c>
      <c r="V975" s="19">
        <f>Registro[[#This Row],[Mes 7]]+Registro[[#This Row],[Mes 8]]+Registro[[#This Row],[Mes 9]]</f>
        <v>0</v>
      </c>
      <c r="W975" s="20">
        <f>Registro[[#This Row],[Mes 10]]+Registro[[#This Row],[Mes 11]]+Registro[[#This Row],[Mes 12]]</f>
        <v>0</v>
      </c>
      <c r="X975" s="20">
        <f>SUM(Registro[[#This Row],[Trim I]],Registro[[#This Row],[Trim II]],Registro[[#This Row],[Trim III]],Registro[[#This Row],[Trim IV]])</f>
        <v>0</v>
      </c>
      <c r="Y975" s="22">
        <f>IFERROR((Registro[[#This Row],[Avance Total]]/Registro[[#This Row],[Meta]]),0)</f>
        <v>0</v>
      </c>
      <c r="Z975" s="22">
        <f>IFERROR((Registro[[#This Row],[Avance Total]]-Registro[[#This Row],[Línea Base 2025]])/Registro[[#This Row],[Línea Base 2025]],0)</f>
        <v>-1</v>
      </c>
      <c r="AA975" s="20">
        <v>2026</v>
      </c>
    </row>
    <row r="976" spans="1:27" hidden="1">
      <c r="A976" s="14">
        <v>1075</v>
      </c>
      <c r="B976" s="15" t="s">
        <v>104</v>
      </c>
      <c r="C976" s="16">
        <v>123</v>
      </c>
      <c r="D976" s="16" t="s">
        <v>198</v>
      </c>
      <c r="E976" s="17" t="s">
        <v>197</v>
      </c>
      <c r="F976" s="24">
        <v>0</v>
      </c>
      <c r="G976" s="19">
        <v>2</v>
      </c>
      <c r="H976" s="19">
        <v>0</v>
      </c>
      <c r="I976" s="19">
        <v>0</v>
      </c>
      <c r="T976" s="19">
        <f>Registro[[#This Row],[Mes 1]]+Registro[[#This Row],[Mes 2]]+Registro[[#This Row],[Mes 3]]</f>
        <v>0</v>
      </c>
      <c r="U976" s="19">
        <f>Registro[[#This Row],[Mes 4]]+Registro[[#This Row],[Mes 5]]+Registro[[#This Row],[Mes 6]]</f>
        <v>0</v>
      </c>
      <c r="V976" s="19">
        <f>Registro[[#This Row],[Mes 7]]+Registro[[#This Row],[Mes 8]]+Registro[[#This Row],[Mes 9]]</f>
        <v>0</v>
      </c>
      <c r="W976" s="20">
        <f>Registro[[#This Row],[Mes 10]]+Registro[[#This Row],[Mes 11]]+Registro[[#This Row],[Mes 12]]</f>
        <v>0</v>
      </c>
      <c r="X976" s="20">
        <f>SUM(Registro[[#This Row],[Trim I]],Registro[[#This Row],[Trim II]],Registro[[#This Row],[Trim III]],Registro[[#This Row],[Trim IV]])</f>
        <v>0</v>
      </c>
      <c r="Y976" s="22">
        <f>IFERROR((Registro[[#This Row],[Avance Total]]/Registro[[#This Row],[Meta]]),0)</f>
        <v>0</v>
      </c>
      <c r="Z976" s="22">
        <f>IFERROR((Registro[[#This Row],[Avance Total]]-Registro[[#This Row],[Línea Base 2025]])/Registro[[#This Row],[Línea Base 2025]],0)</f>
        <v>0</v>
      </c>
      <c r="AA976" s="20">
        <v>2026</v>
      </c>
    </row>
    <row r="977" spans="1:27" hidden="1">
      <c r="A977" s="14">
        <v>1076</v>
      </c>
      <c r="B977" s="15" t="s">
        <v>13</v>
      </c>
      <c r="C977" s="16">
        <v>111</v>
      </c>
      <c r="D977" s="16" t="s">
        <v>171</v>
      </c>
      <c r="E977" s="17" t="s">
        <v>172</v>
      </c>
      <c r="F977" s="24">
        <v>1</v>
      </c>
      <c r="G977" s="19">
        <v>88</v>
      </c>
      <c r="H977" s="19">
        <v>2</v>
      </c>
      <c r="I977" s="19">
        <v>5</v>
      </c>
      <c r="T977" s="19">
        <f>Registro[[#This Row],[Mes 1]]+Registro[[#This Row],[Mes 2]]+Registro[[#This Row],[Mes 3]]</f>
        <v>7</v>
      </c>
      <c r="U977" s="19">
        <f>Registro[[#This Row],[Mes 4]]+Registro[[#This Row],[Mes 5]]+Registro[[#This Row],[Mes 6]]</f>
        <v>0</v>
      </c>
      <c r="V977" s="19">
        <f>Registro[[#This Row],[Mes 7]]+Registro[[#This Row],[Mes 8]]+Registro[[#This Row],[Mes 9]]</f>
        <v>0</v>
      </c>
      <c r="W977" s="20">
        <f>Registro[[#This Row],[Mes 10]]+Registro[[#This Row],[Mes 11]]+Registro[[#This Row],[Mes 12]]</f>
        <v>0</v>
      </c>
      <c r="X977" s="20">
        <f>SUM(Registro[[#This Row],[Trim I]],Registro[[#This Row],[Trim II]],Registro[[#This Row],[Trim III]],Registro[[#This Row],[Trim IV]])</f>
        <v>7</v>
      </c>
      <c r="Y977" s="22">
        <f>IFERROR((Registro[[#This Row],[Avance Total]]/Registro[[#This Row],[Meta]]),0)</f>
        <v>7.9545454545454544E-2</v>
      </c>
      <c r="Z977" s="22">
        <f>IFERROR((Registro[[#This Row],[Avance Total]]-Registro[[#This Row],[Línea Base 2025]])/Registro[[#This Row],[Línea Base 2025]],0)</f>
        <v>6</v>
      </c>
      <c r="AA977" s="20">
        <v>2026</v>
      </c>
    </row>
    <row r="978" spans="1:27" hidden="1">
      <c r="A978" s="14">
        <v>1076</v>
      </c>
      <c r="B978" s="15" t="s">
        <v>13</v>
      </c>
      <c r="C978" s="16">
        <v>112</v>
      </c>
      <c r="D978" s="16" t="s">
        <v>173</v>
      </c>
      <c r="E978" s="17" t="s">
        <v>7</v>
      </c>
      <c r="F978" s="24">
        <v>0</v>
      </c>
      <c r="G978" s="19">
        <v>2</v>
      </c>
      <c r="H978" s="19">
        <v>0</v>
      </c>
      <c r="I978" s="19">
        <v>0</v>
      </c>
      <c r="T978" s="19">
        <f>Registro[[#This Row],[Mes 1]]+Registro[[#This Row],[Mes 2]]+Registro[[#This Row],[Mes 3]]</f>
        <v>0</v>
      </c>
      <c r="U978" s="19">
        <f>Registro[[#This Row],[Mes 4]]+Registro[[#This Row],[Mes 5]]+Registro[[#This Row],[Mes 6]]</f>
        <v>0</v>
      </c>
      <c r="V978" s="19">
        <f>Registro[[#This Row],[Mes 7]]+Registro[[#This Row],[Mes 8]]+Registro[[#This Row],[Mes 9]]</f>
        <v>0</v>
      </c>
      <c r="W978" s="20">
        <f>Registro[[#This Row],[Mes 10]]+Registro[[#This Row],[Mes 11]]+Registro[[#This Row],[Mes 12]]</f>
        <v>0</v>
      </c>
      <c r="X978" s="20">
        <f>SUM(Registro[[#This Row],[Trim I]],Registro[[#This Row],[Trim II]],Registro[[#This Row],[Trim III]],Registro[[#This Row],[Trim IV]])</f>
        <v>0</v>
      </c>
      <c r="Y978" s="22">
        <f>IFERROR((Registro[[#This Row],[Avance Total]]/Registro[[#This Row],[Meta]]),0)</f>
        <v>0</v>
      </c>
      <c r="Z978" s="22">
        <f>IFERROR((Registro[[#This Row],[Avance Total]]-Registro[[#This Row],[Línea Base 2025]])/Registro[[#This Row],[Línea Base 2025]],0)</f>
        <v>0</v>
      </c>
      <c r="AA978" s="20">
        <v>2026</v>
      </c>
    </row>
    <row r="979" spans="1:27" hidden="1">
      <c r="A979" s="14">
        <v>1076</v>
      </c>
      <c r="B979" s="15" t="s">
        <v>13</v>
      </c>
      <c r="C979" s="16">
        <v>113</v>
      </c>
      <c r="D979" s="16" t="s">
        <v>179</v>
      </c>
      <c r="E979" s="17" t="s">
        <v>178</v>
      </c>
      <c r="F979" s="24">
        <v>2</v>
      </c>
      <c r="G979" s="19">
        <v>67</v>
      </c>
      <c r="H979" s="19">
        <v>2</v>
      </c>
      <c r="I979" s="19">
        <v>2</v>
      </c>
      <c r="T979" s="19">
        <f>Registro[[#This Row],[Mes 1]]+Registro[[#This Row],[Mes 2]]+Registro[[#This Row],[Mes 3]]</f>
        <v>4</v>
      </c>
      <c r="U979" s="19">
        <f>Registro[[#This Row],[Mes 4]]+Registro[[#This Row],[Mes 5]]+Registro[[#This Row],[Mes 6]]</f>
        <v>0</v>
      </c>
      <c r="V979" s="19">
        <f>Registro[[#This Row],[Mes 7]]+Registro[[#This Row],[Mes 8]]+Registro[[#This Row],[Mes 9]]</f>
        <v>0</v>
      </c>
      <c r="W979" s="20">
        <f>Registro[[#This Row],[Mes 10]]+Registro[[#This Row],[Mes 11]]+Registro[[#This Row],[Mes 12]]</f>
        <v>0</v>
      </c>
      <c r="X979" s="20">
        <f>SUM(Registro[[#This Row],[Trim I]],Registro[[#This Row],[Trim II]],Registro[[#This Row],[Trim III]],Registro[[#This Row],[Trim IV]])</f>
        <v>4</v>
      </c>
      <c r="Y979" s="22">
        <f>IFERROR((Registro[[#This Row],[Avance Total]]/Registro[[#This Row],[Meta]]),0)</f>
        <v>5.9701492537313432E-2</v>
      </c>
      <c r="Z979" s="22">
        <f>IFERROR((Registro[[#This Row],[Avance Total]]-Registro[[#This Row],[Línea Base 2025]])/Registro[[#This Row],[Línea Base 2025]],0)</f>
        <v>1</v>
      </c>
      <c r="AA979" s="20">
        <v>2026</v>
      </c>
    </row>
    <row r="980" spans="1:27" hidden="1">
      <c r="A980" s="14">
        <v>1076</v>
      </c>
      <c r="B980" s="15" t="s">
        <v>13</v>
      </c>
      <c r="C980" s="16">
        <v>114</v>
      </c>
      <c r="D980" s="16" t="s">
        <v>181</v>
      </c>
      <c r="E980" s="17" t="s">
        <v>180</v>
      </c>
      <c r="F980" s="24">
        <v>0</v>
      </c>
      <c r="G980" s="19">
        <v>0</v>
      </c>
      <c r="H980" s="19">
        <v>9</v>
      </c>
      <c r="I980" s="19">
        <v>0</v>
      </c>
      <c r="T980" s="19">
        <f>Registro[[#This Row],[Mes 1]]+Registro[[#This Row],[Mes 2]]+Registro[[#This Row],[Mes 3]]</f>
        <v>9</v>
      </c>
      <c r="U980" s="19">
        <f>Registro[[#This Row],[Mes 4]]+Registro[[#This Row],[Mes 5]]+Registro[[#This Row],[Mes 6]]</f>
        <v>0</v>
      </c>
      <c r="V980" s="19">
        <f>Registro[[#This Row],[Mes 7]]+Registro[[#This Row],[Mes 8]]+Registro[[#This Row],[Mes 9]]</f>
        <v>0</v>
      </c>
      <c r="W980" s="20">
        <f>Registro[[#This Row],[Mes 10]]+Registro[[#This Row],[Mes 11]]+Registro[[#This Row],[Mes 12]]</f>
        <v>0</v>
      </c>
      <c r="X980" s="20">
        <f>SUM(Registro[[#This Row],[Trim I]],Registro[[#This Row],[Trim II]],Registro[[#This Row],[Trim III]],Registro[[#This Row],[Trim IV]])</f>
        <v>9</v>
      </c>
      <c r="Y980" s="22">
        <f>IFERROR((Registro[[#This Row],[Avance Total]]/Registro[[#This Row],[Meta]]),0)</f>
        <v>0</v>
      </c>
      <c r="Z980" s="22">
        <f>IFERROR((Registro[[#This Row],[Avance Total]]-Registro[[#This Row],[Línea Base 2025]])/Registro[[#This Row],[Línea Base 2025]],0)</f>
        <v>0</v>
      </c>
      <c r="AA980" s="20">
        <v>2026</v>
      </c>
    </row>
    <row r="981" spans="1:27" hidden="1">
      <c r="A981" s="14">
        <v>1076</v>
      </c>
      <c r="B981" s="15" t="s">
        <v>13</v>
      </c>
      <c r="C981" s="16">
        <v>115</v>
      </c>
      <c r="D981" s="16" t="s">
        <v>183</v>
      </c>
      <c r="E981" s="17" t="s">
        <v>182</v>
      </c>
      <c r="F981" s="24">
        <v>0</v>
      </c>
      <c r="G981" s="19">
        <v>0</v>
      </c>
      <c r="H981" s="19">
        <v>0</v>
      </c>
      <c r="I981" s="19">
        <v>0</v>
      </c>
      <c r="T981" s="19">
        <f>Registro[[#This Row],[Mes 1]]+Registro[[#This Row],[Mes 2]]+Registro[[#This Row],[Mes 3]]</f>
        <v>0</v>
      </c>
      <c r="U981" s="19">
        <f>Registro[[#This Row],[Mes 4]]+Registro[[#This Row],[Mes 5]]+Registro[[#This Row],[Mes 6]]</f>
        <v>0</v>
      </c>
      <c r="V981" s="19">
        <f>Registro[[#This Row],[Mes 7]]+Registro[[#This Row],[Mes 8]]+Registro[[#This Row],[Mes 9]]</f>
        <v>0</v>
      </c>
      <c r="W981" s="20">
        <f>Registro[[#This Row],[Mes 10]]+Registro[[#This Row],[Mes 11]]+Registro[[#This Row],[Mes 12]]</f>
        <v>0</v>
      </c>
      <c r="X981" s="20">
        <f>SUM(Registro[[#This Row],[Trim I]],Registro[[#This Row],[Trim II]],Registro[[#This Row],[Trim III]],Registro[[#This Row],[Trim IV]])</f>
        <v>0</v>
      </c>
      <c r="Y981" s="22">
        <f>IFERROR((Registro[[#This Row],[Avance Total]]/Registro[[#This Row],[Meta]]),0)</f>
        <v>0</v>
      </c>
      <c r="Z981" s="22">
        <f>IFERROR((Registro[[#This Row],[Avance Total]]-Registro[[#This Row],[Línea Base 2025]])/Registro[[#This Row],[Línea Base 2025]],0)</f>
        <v>0</v>
      </c>
      <c r="AA981" s="20">
        <v>2026</v>
      </c>
    </row>
    <row r="982" spans="1:27">
      <c r="A982" s="14">
        <v>1076</v>
      </c>
      <c r="B982" s="15" t="s">
        <v>13</v>
      </c>
      <c r="C982" s="16">
        <v>116</v>
      </c>
      <c r="D982" s="16" t="s">
        <v>185</v>
      </c>
      <c r="E982" s="17" t="s">
        <v>184</v>
      </c>
      <c r="F982" s="24">
        <v>0</v>
      </c>
      <c r="G982" s="19">
        <v>1</v>
      </c>
      <c r="H982" s="19">
        <v>0</v>
      </c>
      <c r="I982" s="19">
        <v>0</v>
      </c>
      <c r="T982" s="19">
        <f>Registro[[#This Row],[Mes 1]]+Registro[[#This Row],[Mes 2]]+Registro[[#This Row],[Mes 3]]</f>
        <v>0</v>
      </c>
      <c r="U982" s="19">
        <f>Registro[[#This Row],[Mes 4]]+Registro[[#This Row],[Mes 5]]+Registro[[#This Row],[Mes 6]]</f>
        <v>0</v>
      </c>
      <c r="V982" s="19">
        <f>Registro[[#This Row],[Mes 7]]+Registro[[#This Row],[Mes 8]]+Registro[[#This Row],[Mes 9]]</f>
        <v>0</v>
      </c>
      <c r="W982" s="20">
        <f>Registro[[#This Row],[Mes 10]]+Registro[[#This Row],[Mes 11]]+Registro[[#This Row],[Mes 12]]</f>
        <v>0</v>
      </c>
      <c r="X982" s="20">
        <f>SUM(Registro[[#This Row],[Trim I]],Registro[[#This Row],[Trim II]],Registro[[#This Row],[Trim III]],Registro[[#This Row],[Trim IV]])</f>
        <v>0</v>
      </c>
      <c r="Y982" s="22">
        <f>IFERROR((Registro[[#This Row],[Avance Total]]/Registro[[#This Row],[Meta]]),0)</f>
        <v>0</v>
      </c>
      <c r="Z982" s="22">
        <f>IFERROR((Registro[[#This Row],[Avance Total]]-Registro[[#This Row],[Línea Base 2025]])/Registro[[#This Row],[Línea Base 2025]],0)</f>
        <v>0</v>
      </c>
      <c r="AA982" s="20">
        <v>2026</v>
      </c>
    </row>
    <row r="983" spans="1:27" hidden="1">
      <c r="A983" s="14">
        <v>1076</v>
      </c>
      <c r="B983" s="15" t="s">
        <v>13</v>
      </c>
      <c r="C983" s="16">
        <v>117</v>
      </c>
      <c r="D983" s="16" t="s">
        <v>187</v>
      </c>
      <c r="E983" s="17" t="s">
        <v>186</v>
      </c>
      <c r="F983" s="24">
        <v>0</v>
      </c>
      <c r="G983" s="19">
        <v>0</v>
      </c>
      <c r="H983" s="19">
        <v>0</v>
      </c>
      <c r="I983" s="19">
        <v>0</v>
      </c>
      <c r="T983" s="19">
        <f>Registro[[#This Row],[Mes 1]]+Registro[[#This Row],[Mes 2]]+Registro[[#This Row],[Mes 3]]</f>
        <v>0</v>
      </c>
      <c r="U983" s="19">
        <f>Registro[[#This Row],[Mes 4]]+Registro[[#This Row],[Mes 5]]+Registro[[#This Row],[Mes 6]]</f>
        <v>0</v>
      </c>
      <c r="V983" s="19">
        <f>Registro[[#This Row],[Mes 7]]+Registro[[#This Row],[Mes 8]]+Registro[[#This Row],[Mes 9]]</f>
        <v>0</v>
      </c>
      <c r="W983" s="20">
        <f>Registro[[#This Row],[Mes 10]]+Registro[[#This Row],[Mes 11]]+Registro[[#This Row],[Mes 12]]</f>
        <v>0</v>
      </c>
      <c r="X983" s="20">
        <f>SUM(Registro[[#This Row],[Trim I]],Registro[[#This Row],[Trim II]],Registro[[#This Row],[Trim III]],Registro[[#This Row],[Trim IV]])</f>
        <v>0</v>
      </c>
      <c r="Y983" s="22">
        <f>IFERROR((Registro[[#This Row],[Avance Total]]/Registro[[#This Row],[Meta]]),0)</f>
        <v>0</v>
      </c>
      <c r="Z983" s="22">
        <f>IFERROR((Registro[[#This Row],[Avance Total]]-Registro[[#This Row],[Línea Base 2025]])/Registro[[#This Row],[Línea Base 2025]],0)</f>
        <v>0</v>
      </c>
      <c r="AA983" s="20">
        <v>2026</v>
      </c>
    </row>
    <row r="984" spans="1:27" hidden="1">
      <c r="A984" s="14">
        <v>1076</v>
      </c>
      <c r="B984" s="15" t="s">
        <v>13</v>
      </c>
      <c r="C984" s="16">
        <v>118</v>
      </c>
      <c r="D984" s="16" t="s">
        <v>188</v>
      </c>
      <c r="E984" s="17" t="s">
        <v>9</v>
      </c>
      <c r="F984" s="24">
        <v>0</v>
      </c>
      <c r="G984" s="19">
        <v>0</v>
      </c>
      <c r="H984" s="19">
        <v>0</v>
      </c>
      <c r="I984" s="19">
        <v>0</v>
      </c>
      <c r="T984" s="19">
        <f>Registro[[#This Row],[Mes 1]]+Registro[[#This Row],[Mes 2]]+Registro[[#This Row],[Mes 3]]</f>
        <v>0</v>
      </c>
      <c r="U984" s="19">
        <f>Registro[[#This Row],[Mes 4]]+Registro[[#This Row],[Mes 5]]+Registro[[#This Row],[Mes 6]]</f>
        <v>0</v>
      </c>
      <c r="V984" s="19">
        <f>Registro[[#This Row],[Mes 7]]+Registro[[#This Row],[Mes 8]]+Registro[[#This Row],[Mes 9]]</f>
        <v>0</v>
      </c>
      <c r="W984" s="20">
        <f>Registro[[#This Row],[Mes 10]]+Registro[[#This Row],[Mes 11]]+Registro[[#This Row],[Mes 12]]</f>
        <v>0</v>
      </c>
      <c r="X984" s="20">
        <f>SUM(Registro[[#This Row],[Trim I]],Registro[[#This Row],[Trim II]],Registro[[#This Row],[Trim III]],Registro[[#This Row],[Trim IV]])</f>
        <v>0</v>
      </c>
      <c r="Y984" s="22">
        <f>IFERROR((Registro[[#This Row],[Avance Total]]/Registro[[#This Row],[Meta]]),0)</f>
        <v>0</v>
      </c>
      <c r="Z984" s="22">
        <f>IFERROR((Registro[[#This Row],[Avance Total]]-Registro[[#This Row],[Línea Base 2025]])/Registro[[#This Row],[Línea Base 2025]],0)</f>
        <v>0</v>
      </c>
      <c r="AA984" s="20">
        <v>2026</v>
      </c>
    </row>
    <row r="985" spans="1:27" hidden="1">
      <c r="A985" s="14">
        <v>1076</v>
      </c>
      <c r="B985" s="15" t="s">
        <v>13</v>
      </c>
      <c r="C985" s="16">
        <v>119</v>
      </c>
      <c r="D985" s="16" t="s">
        <v>190</v>
      </c>
      <c r="E985" s="17" t="s">
        <v>189</v>
      </c>
      <c r="F985" s="24">
        <v>0</v>
      </c>
      <c r="G985" s="19">
        <v>1</v>
      </c>
      <c r="H985" s="19">
        <v>0</v>
      </c>
      <c r="I985" s="19">
        <v>0</v>
      </c>
      <c r="T985" s="19">
        <f>Registro[[#This Row],[Mes 1]]+Registro[[#This Row],[Mes 2]]+Registro[[#This Row],[Mes 3]]</f>
        <v>0</v>
      </c>
      <c r="U985" s="19">
        <f>Registro[[#This Row],[Mes 4]]+Registro[[#This Row],[Mes 5]]+Registro[[#This Row],[Mes 6]]</f>
        <v>0</v>
      </c>
      <c r="V985" s="19">
        <f>Registro[[#This Row],[Mes 7]]+Registro[[#This Row],[Mes 8]]+Registro[[#This Row],[Mes 9]]</f>
        <v>0</v>
      </c>
      <c r="W985" s="20">
        <f>Registro[[#This Row],[Mes 10]]+Registro[[#This Row],[Mes 11]]+Registro[[#This Row],[Mes 12]]</f>
        <v>0</v>
      </c>
      <c r="X985" s="20">
        <f>SUM(Registro[[#This Row],[Trim I]],Registro[[#This Row],[Trim II]],Registro[[#This Row],[Trim III]],Registro[[#This Row],[Trim IV]])</f>
        <v>0</v>
      </c>
      <c r="Y985" s="22">
        <f>IFERROR((Registro[[#This Row],[Avance Total]]/Registro[[#This Row],[Meta]]),0)</f>
        <v>0</v>
      </c>
      <c r="Z985" s="22">
        <f>IFERROR((Registro[[#This Row],[Avance Total]]-Registro[[#This Row],[Línea Base 2025]])/Registro[[#This Row],[Línea Base 2025]],0)</f>
        <v>0</v>
      </c>
      <c r="AA985" s="20">
        <v>2026</v>
      </c>
    </row>
    <row r="986" spans="1:27" hidden="1">
      <c r="A986" s="14">
        <v>1076</v>
      </c>
      <c r="B986" s="15" t="s">
        <v>13</v>
      </c>
      <c r="C986" s="16">
        <v>120</v>
      </c>
      <c r="D986" s="16" t="s">
        <v>192</v>
      </c>
      <c r="E986" s="17" t="s">
        <v>191</v>
      </c>
      <c r="F986" s="24">
        <v>0</v>
      </c>
      <c r="G986" s="19">
        <v>0</v>
      </c>
      <c r="H986" s="19">
        <v>0</v>
      </c>
      <c r="I986" s="19">
        <v>0</v>
      </c>
      <c r="T986" s="19">
        <f>Registro[[#This Row],[Mes 1]]+Registro[[#This Row],[Mes 2]]+Registro[[#This Row],[Mes 3]]</f>
        <v>0</v>
      </c>
      <c r="U986" s="19">
        <f>Registro[[#This Row],[Mes 4]]+Registro[[#This Row],[Mes 5]]+Registro[[#This Row],[Mes 6]]</f>
        <v>0</v>
      </c>
      <c r="V986" s="19">
        <f>Registro[[#This Row],[Mes 7]]+Registro[[#This Row],[Mes 8]]+Registro[[#This Row],[Mes 9]]</f>
        <v>0</v>
      </c>
      <c r="W986" s="20">
        <f>Registro[[#This Row],[Mes 10]]+Registro[[#This Row],[Mes 11]]+Registro[[#This Row],[Mes 12]]</f>
        <v>0</v>
      </c>
      <c r="X986" s="20">
        <f>SUM(Registro[[#This Row],[Trim I]],Registro[[#This Row],[Trim II]],Registro[[#This Row],[Trim III]],Registro[[#This Row],[Trim IV]])</f>
        <v>0</v>
      </c>
      <c r="Y986" s="22">
        <f>IFERROR((Registro[[#This Row],[Avance Total]]/Registro[[#This Row],[Meta]]),0)</f>
        <v>0</v>
      </c>
      <c r="Z986" s="22">
        <f>IFERROR((Registro[[#This Row],[Avance Total]]-Registro[[#This Row],[Línea Base 2025]])/Registro[[#This Row],[Línea Base 2025]],0)</f>
        <v>0</v>
      </c>
      <c r="AA986" s="20">
        <v>2026</v>
      </c>
    </row>
    <row r="987" spans="1:27" hidden="1">
      <c r="A987" s="14">
        <v>1076</v>
      </c>
      <c r="B987" s="15" t="s">
        <v>13</v>
      </c>
      <c r="C987" s="16">
        <v>121</v>
      </c>
      <c r="D987" s="16" t="s">
        <v>194</v>
      </c>
      <c r="E987" s="17" t="s">
        <v>193</v>
      </c>
      <c r="F987" s="24">
        <v>0</v>
      </c>
      <c r="G987" s="19">
        <v>0</v>
      </c>
      <c r="H987" s="19">
        <v>0</v>
      </c>
      <c r="I987" s="19">
        <v>0</v>
      </c>
      <c r="T987" s="19">
        <f>Registro[[#This Row],[Mes 1]]+Registro[[#This Row],[Mes 2]]+Registro[[#This Row],[Mes 3]]</f>
        <v>0</v>
      </c>
      <c r="U987" s="19">
        <f>Registro[[#This Row],[Mes 4]]+Registro[[#This Row],[Mes 5]]+Registro[[#This Row],[Mes 6]]</f>
        <v>0</v>
      </c>
      <c r="V987" s="19">
        <f>Registro[[#This Row],[Mes 7]]+Registro[[#This Row],[Mes 8]]+Registro[[#This Row],[Mes 9]]</f>
        <v>0</v>
      </c>
      <c r="W987" s="20">
        <f>Registro[[#This Row],[Mes 10]]+Registro[[#This Row],[Mes 11]]+Registro[[#This Row],[Mes 12]]</f>
        <v>0</v>
      </c>
      <c r="X987" s="20">
        <f>SUM(Registro[[#This Row],[Trim I]],Registro[[#This Row],[Trim II]],Registro[[#This Row],[Trim III]],Registro[[#This Row],[Trim IV]])</f>
        <v>0</v>
      </c>
      <c r="Y987" s="22">
        <f>IFERROR((Registro[[#This Row],[Avance Total]]/Registro[[#This Row],[Meta]]),0)</f>
        <v>0</v>
      </c>
      <c r="Z987" s="22">
        <f>IFERROR((Registro[[#This Row],[Avance Total]]-Registro[[#This Row],[Línea Base 2025]])/Registro[[#This Row],[Línea Base 2025]],0)</f>
        <v>0</v>
      </c>
      <c r="AA987" s="20">
        <v>2026</v>
      </c>
    </row>
    <row r="988" spans="1:27" hidden="1">
      <c r="A988" s="14">
        <v>1076</v>
      </c>
      <c r="B988" s="15" t="s">
        <v>13</v>
      </c>
      <c r="C988" s="16">
        <v>122</v>
      </c>
      <c r="D988" s="16" t="s">
        <v>196</v>
      </c>
      <c r="E988" s="17" t="s">
        <v>195</v>
      </c>
      <c r="F988" s="24">
        <v>0</v>
      </c>
      <c r="G988" s="19">
        <v>0</v>
      </c>
      <c r="H988" s="19">
        <v>0</v>
      </c>
      <c r="I988" s="19">
        <v>0</v>
      </c>
      <c r="T988" s="19">
        <f>Registro[[#This Row],[Mes 1]]+Registro[[#This Row],[Mes 2]]+Registro[[#This Row],[Mes 3]]</f>
        <v>0</v>
      </c>
      <c r="U988" s="19">
        <f>Registro[[#This Row],[Mes 4]]+Registro[[#This Row],[Mes 5]]+Registro[[#This Row],[Mes 6]]</f>
        <v>0</v>
      </c>
      <c r="V988" s="19">
        <f>Registro[[#This Row],[Mes 7]]+Registro[[#This Row],[Mes 8]]+Registro[[#This Row],[Mes 9]]</f>
        <v>0</v>
      </c>
      <c r="W988" s="20">
        <f>Registro[[#This Row],[Mes 10]]+Registro[[#This Row],[Mes 11]]+Registro[[#This Row],[Mes 12]]</f>
        <v>0</v>
      </c>
      <c r="X988" s="20">
        <f>SUM(Registro[[#This Row],[Trim I]],Registro[[#This Row],[Trim II]],Registro[[#This Row],[Trim III]],Registro[[#This Row],[Trim IV]])</f>
        <v>0</v>
      </c>
      <c r="Y988" s="22">
        <f>IFERROR((Registro[[#This Row],[Avance Total]]/Registro[[#This Row],[Meta]]),0)</f>
        <v>0</v>
      </c>
      <c r="Z988" s="22">
        <f>IFERROR((Registro[[#This Row],[Avance Total]]-Registro[[#This Row],[Línea Base 2025]])/Registro[[#This Row],[Línea Base 2025]],0)</f>
        <v>0</v>
      </c>
      <c r="AA988" s="20">
        <v>2026</v>
      </c>
    </row>
    <row r="989" spans="1:27" hidden="1">
      <c r="A989" s="14">
        <v>1076</v>
      </c>
      <c r="B989" s="15" t="s">
        <v>13</v>
      </c>
      <c r="C989" s="16">
        <v>123</v>
      </c>
      <c r="D989" s="16" t="s">
        <v>198</v>
      </c>
      <c r="E989" s="17" t="s">
        <v>197</v>
      </c>
      <c r="F989" s="24">
        <v>0</v>
      </c>
      <c r="G989" s="19">
        <v>0</v>
      </c>
      <c r="H989" s="19">
        <v>0</v>
      </c>
      <c r="I989" s="19">
        <v>0</v>
      </c>
      <c r="T989" s="19">
        <f>Registro[[#This Row],[Mes 1]]+Registro[[#This Row],[Mes 2]]+Registro[[#This Row],[Mes 3]]</f>
        <v>0</v>
      </c>
      <c r="U989" s="19">
        <f>Registro[[#This Row],[Mes 4]]+Registro[[#This Row],[Mes 5]]+Registro[[#This Row],[Mes 6]]</f>
        <v>0</v>
      </c>
      <c r="V989" s="19">
        <f>Registro[[#This Row],[Mes 7]]+Registro[[#This Row],[Mes 8]]+Registro[[#This Row],[Mes 9]]</f>
        <v>0</v>
      </c>
      <c r="W989" s="20">
        <f>Registro[[#This Row],[Mes 10]]+Registro[[#This Row],[Mes 11]]+Registro[[#This Row],[Mes 12]]</f>
        <v>0</v>
      </c>
      <c r="X989" s="20">
        <f>SUM(Registro[[#This Row],[Trim I]],Registro[[#This Row],[Trim II]],Registro[[#This Row],[Trim III]],Registro[[#This Row],[Trim IV]])</f>
        <v>0</v>
      </c>
      <c r="Y989" s="22">
        <f>IFERROR((Registro[[#This Row],[Avance Total]]/Registro[[#This Row],[Meta]]),0)</f>
        <v>0</v>
      </c>
      <c r="Z989" s="22">
        <f>IFERROR((Registro[[#This Row],[Avance Total]]-Registro[[#This Row],[Línea Base 2025]])/Registro[[#This Row],[Línea Base 2025]],0)</f>
        <v>0</v>
      </c>
      <c r="AA989" s="20">
        <v>2026</v>
      </c>
    </row>
    <row r="990" spans="1:27" hidden="1">
      <c r="A990" s="14">
        <v>1077</v>
      </c>
      <c r="B990" s="15" t="s">
        <v>13</v>
      </c>
      <c r="C990" s="16">
        <v>111</v>
      </c>
      <c r="D990" s="16" t="s">
        <v>171</v>
      </c>
      <c r="E990" s="17" t="s">
        <v>172</v>
      </c>
      <c r="F990" s="24">
        <v>14</v>
      </c>
      <c r="G990" s="19">
        <v>72</v>
      </c>
      <c r="H990" s="19">
        <v>0</v>
      </c>
      <c r="I990" s="19">
        <v>0</v>
      </c>
      <c r="T990" s="19">
        <f>Registro[[#This Row],[Mes 1]]+Registro[[#This Row],[Mes 2]]+Registro[[#This Row],[Mes 3]]</f>
        <v>0</v>
      </c>
      <c r="U990" s="19">
        <f>Registro[[#This Row],[Mes 4]]+Registro[[#This Row],[Mes 5]]+Registro[[#This Row],[Mes 6]]</f>
        <v>0</v>
      </c>
      <c r="V990" s="19">
        <f>Registro[[#This Row],[Mes 7]]+Registro[[#This Row],[Mes 8]]+Registro[[#This Row],[Mes 9]]</f>
        <v>0</v>
      </c>
      <c r="W990" s="20">
        <f>Registro[[#This Row],[Mes 10]]+Registro[[#This Row],[Mes 11]]+Registro[[#This Row],[Mes 12]]</f>
        <v>0</v>
      </c>
      <c r="X990" s="20">
        <f>SUM(Registro[[#This Row],[Trim I]],Registro[[#This Row],[Trim II]],Registro[[#This Row],[Trim III]],Registro[[#This Row],[Trim IV]])</f>
        <v>0</v>
      </c>
      <c r="Y990" s="22">
        <f>IFERROR((Registro[[#This Row],[Avance Total]]/Registro[[#This Row],[Meta]]),0)</f>
        <v>0</v>
      </c>
      <c r="Z990" s="22">
        <f>IFERROR((Registro[[#This Row],[Avance Total]]-Registro[[#This Row],[Línea Base 2025]])/Registro[[#This Row],[Línea Base 2025]],0)</f>
        <v>-1</v>
      </c>
      <c r="AA990" s="20">
        <v>2026</v>
      </c>
    </row>
    <row r="991" spans="1:27" hidden="1">
      <c r="A991" s="14">
        <v>1077</v>
      </c>
      <c r="B991" s="15" t="s">
        <v>13</v>
      </c>
      <c r="C991" s="16">
        <v>112</v>
      </c>
      <c r="D991" s="16" t="s">
        <v>173</v>
      </c>
      <c r="E991" s="17" t="s">
        <v>7</v>
      </c>
      <c r="F991" s="24">
        <v>0</v>
      </c>
      <c r="G991" s="19">
        <v>5</v>
      </c>
      <c r="H991" s="19">
        <v>0</v>
      </c>
      <c r="I991" s="19">
        <v>0</v>
      </c>
      <c r="T991" s="19">
        <f>Registro[[#This Row],[Mes 1]]+Registro[[#This Row],[Mes 2]]+Registro[[#This Row],[Mes 3]]</f>
        <v>0</v>
      </c>
      <c r="U991" s="19">
        <f>Registro[[#This Row],[Mes 4]]+Registro[[#This Row],[Mes 5]]+Registro[[#This Row],[Mes 6]]</f>
        <v>0</v>
      </c>
      <c r="V991" s="19">
        <f>Registro[[#This Row],[Mes 7]]+Registro[[#This Row],[Mes 8]]+Registro[[#This Row],[Mes 9]]</f>
        <v>0</v>
      </c>
      <c r="W991" s="20">
        <f>Registro[[#This Row],[Mes 10]]+Registro[[#This Row],[Mes 11]]+Registro[[#This Row],[Mes 12]]</f>
        <v>0</v>
      </c>
      <c r="X991" s="20">
        <f>SUM(Registro[[#This Row],[Trim I]],Registro[[#This Row],[Trim II]],Registro[[#This Row],[Trim III]],Registro[[#This Row],[Trim IV]])</f>
        <v>0</v>
      </c>
      <c r="Y991" s="22">
        <f>IFERROR((Registro[[#This Row],[Avance Total]]/Registro[[#This Row],[Meta]]),0)</f>
        <v>0</v>
      </c>
      <c r="Z991" s="22">
        <f>IFERROR((Registro[[#This Row],[Avance Total]]-Registro[[#This Row],[Línea Base 2025]])/Registro[[#This Row],[Línea Base 2025]],0)</f>
        <v>0</v>
      </c>
      <c r="AA991" s="20">
        <v>2026</v>
      </c>
    </row>
    <row r="992" spans="1:27" hidden="1">
      <c r="A992" s="14">
        <v>1077</v>
      </c>
      <c r="B992" s="15" t="s">
        <v>13</v>
      </c>
      <c r="C992" s="16">
        <v>113</v>
      </c>
      <c r="D992" s="16" t="s">
        <v>179</v>
      </c>
      <c r="E992" s="17" t="s">
        <v>178</v>
      </c>
      <c r="F992" s="24">
        <v>4</v>
      </c>
      <c r="G992" s="19">
        <v>73</v>
      </c>
      <c r="H992" s="19">
        <v>1</v>
      </c>
      <c r="I992" s="19">
        <v>0</v>
      </c>
      <c r="T992" s="19">
        <f>Registro[[#This Row],[Mes 1]]+Registro[[#This Row],[Mes 2]]+Registro[[#This Row],[Mes 3]]</f>
        <v>1</v>
      </c>
      <c r="U992" s="19">
        <f>Registro[[#This Row],[Mes 4]]+Registro[[#This Row],[Mes 5]]+Registro[[#This Row],[Mes 6]]</f>
        <v>0</v>
      </c>
      <c r="V992" s="19">
        <f>Registro[[#This Row],[Mes 7]]+Registro[[#This Row],[Mes 8]]+Registro[[#This Row],[Mes 9]]</f>
        <v>0</v>
      </c>
      <c r="W992" s="20">
        <f>Registro[[#This Row],[Mes 10]]+Registro[[#This Row],[Mes 11]]+Registro[[#This Row],[Mes 12]]</f>
        <v>0</v>
      </c>
      <c r="X992" s="20">
        <f>SUM(Registro[[#This Row],[Trim I]],Registro[[#This Row],[Trim II]],Registro[[#This Row],[Trim III]],Registro[[#This Row],[Trim IV]])</f>
        <v>1</v>
      </c>
      <c r="Y992" s="22">
        <f>IFERROR((Registro[[#This Row],[Avance Total]]/Registro[[#This Row],[Meta]]),0)</f>
        <v>1.3698630136986301E-2</v>
      </c>
      <c r="Z992" s="22">
        <f>IFERROR((Registro[[#This Row],[Avance Total]]-Registro[[#This Row],[Línea Base 2025]])/Registro[[#This Row],[Línea Base 2025]],0)</f>
        <v>-0.75</v>
      </c>
      <c r="AA992" s="20">
        <v>2026</v>
      </c>
    </row>
    <row r="993" spans="1:27" hidden="1">
      <c r="A993" s="14">
        <v>1077</v>
      </c>
      <c r="B993" s="15" t="s">
        <v>13</v>
      </c>
      <c r="C993" s="16">
        <v>114</v>
      </c>
      <c r="D993" s="16" t="s">
        <v>181</v>
      </c>
      <c r="E993" s="17" t="s">
        <v>180</v>
      </c>
      <c r="F993" s="24">
        <v>0</v>
      </c>
      <c r="G993" s="19">
        <v>0</v>
      </c>
      <c r="H993" s="19">
        <v>13</v>
      </c>
      <c r="I993" s="19">
        <v>0</v>
      </c>
      <c r="T993" s="19">
        <f>Registro[[#This Row],[Mes 1]]+Registro[[#This Row],[Mes 2]]+Registro[[#This Row],[Mes 3]]</f>
        <v>13</v>
      </c>
      <c r="U993" s="19">
        <f>Registro[[#This Row],[Mes 4]]+Registro[[#This Row],[Mes 5]]+Registro[[#This Row],[Mes 6]]</f>
        <v>0</v>
      </c>
      <c r="V993" s="19">
        <f>Registro[[#This Row],[Mes 7]]+Registro[[#This Row],[Mes 8]]+Registro[[#This Row],[Mes 9]]</f>
        <v>0</v>
      </c>
      <c r="W993" s="20">
        <f>Registro[[#This Row],[Mes 10]]+Registro[[#This Row],[Mes 11]]+Registro[[#This Row],[Mes 12]]</f>
        <v>0</v>
      </c>
      <c r="X993" s="20">
        <f>SUM(Registro[[#This Row],[Trim I]],Registro[[#This Row],[Trim II]],Registro[[#This Row],[Trim III]],Registro[[#This Row],[Trim IV]])</f>
        <v>13</v>
      </c>
      <c r="Y993" s="22">
        <f>IFERROR((Registro[[#This Row],[Avance Total]]/Registro[[#This Row],[Meta]]),0)</f>
        <v>0</v>
      </c>
      <c r="Z993" s="22">
        <f>IFERROR((Registro[[#This Row],[Avance Total]]-Registro[[#This Row],[Línea Base 2025]])/Registro[[#This Row],[Línea Base 2025]],0)</f>
        <v>0</v>
      </c>
      <c r="AA993" s="20">
        <v>2026</v>
      </c>
    </row>
    <row r="994" spans="1:27" hidden="1">
      <c r="A994" s="14">
        <v>1077</v>
      </c>
      <c r="B994" s="15" t="s">
        <v>13</v>
      </c>
      <c r="C994" s="16">
        <v>115</v>
      </c>
      <c r="D994" s="16" t="s">
        <v>183</v>
      </c>
      <c r="E994" s="17" t="s">
        <v>182</v>
      </c>
      <c r="F994" s="24">
        <v>0</v>
      </c>
      <c r="G994" s="19">
        <v>0</v>
      </c>
      <c r="H994" s="19">
        <v>0</v>
      </c>
      <c r="I994" s="19">
        <v>0</v>
      </c>
      <c r="T994" s="19">
        <f>Registro[[#This Row],[Mes 1]]+Registro[[#This Row],[Mes 2]]+Registro[[#This Row],[Mes 3]]</f>
        <v>0</v>
      </c>
      <c r="U994" s="19">
        <f>Registro[[#This Row],[Mes 4]]+Registro[[#This Row],[Mes 5]]+Registro[[#This Row],[Mes 6]]</f>
        <v>0</v>
      </c>
      <c r="V994" s="19">
        <f>Registro[[#This Row],[Mes 7]]+Registro[[#This Row],[Mes 8]]+Registro[[#This Row],[Mes 9]]</f>
        <v>0</v>
      </c>
      <c r="W994" s="20">
        <f>Registro[[#This Row],[Mes 10]]+Registro[[#This Row],[Mes 11]]+Registro[[#This Row],[Mes 12]]</f>
        <v>0</v>
      </c>
      <c r="X994" s="20">
        <f>SUM(Registro[[#This Row],[Trim I]],Registro[[#This Row],[Trim II]],Registro[[#This Row],[Trim III]],Registro[[#This Row],[Trim IV]])</f>
        <v>0</v>
      </c>
      <c r="Y994" s="22">
        <f>IFERROR((Registro[[#This Row],[Avance Total]]/Registro[[#This Row],[Meta]]),0)</f>
        <v>0</v>
      </c>
      <c r="Z994" s="22">
        <f>IFERROR((Registro[[#This Row],[Avance Total]]-Registro[[#This Row],[Línea Base 2025]])/Registro[[#This Row],[Línea Base 2025]],0)</f>
        <v>0</v>
      </c>
      <c r="AA994" s="20">
        <v>2026</v>
      </c>
    </row>
    <row r="995" spans="1:27">
      <c r="A995" s="14">
        <v>1077</v>
      </c>
      <c r="B995" s="15" t="s">
        <v>13</v>
      </c>
      <c r="C995" s="16">
        <v>116</v>
      </c>
      <c r="D995" s="16" t="s">
        <v>185</v>
      </c>
      <c r="E995" s="17" t="s">
        <v>184</v>
      </c>
      <c r="F995" s="24">
        <v>0</v>
      </c>
      <c r="G995" s="19">
        <v>1</v>
      </c>
      <c r="H995" s="19">
        <v>0</v>
      </c>
      <c r="I995" s="19">
        <v>0</v>
      </c>
      <c r="T995" s="19">
        <f>Registro[[#This Row],[Mes 1]]+Registro[[#This Row],[Mes 2]]+Registro[[#This Row],[Mes 3]]</f>
        <v>0</v>
      </c>
      <c r="U995" s="19">
        <f>Registro[[#This Row],[Mes 4]]+Registro[[#This Row],[Mes 5]]+Registro[[#This Row],[Mes 6]]</f>
        <v>0</v>
      </c>
      <c r="V995" s="19">
        <f>Registro[[#This Row],[Mes 7]]+Registro[[#This Row],[Mes 8]]+Registro[[#This Row],[Mes 9]]</f>
        <v>0</v>
      </c>
      <c r="W995" s="20">
        <f>Registro[[#This Row],[Mes 10]]+Registro[[#This Row],[Mes 11]]+Registro[[#This Row],[Mes 12]]</f>
        <v>0</v>
      </c>
      <c r="X995" s="20">
        <f>SUM(Registro[[#This Row],[Trim I]],Registro[[#This Row],[Trim II]],Registro[[#This Row],[Trim III]],Registro[[#This Row],[Trim IV]])</f>
        <v>0</v>
      </c>
      <c r="Y995" s="22">
        <f>IFERROR((Registro[[#This Row],[Avance Total]]/Registro[[#This Row],[Meta]]),0)</f>
        <v>0</v>
      </c>
      <c r="Z995" s="22">
        <f>IFERROR((Registro[[#This Row],[Avance Total]]-Registro[[#This Row],[Línea Base 2025]])/Registro[[#This Row],[Línea Base 2025]],0)</f>
        <v>0</v>
      </c>
      <c r="AA995" s="20">
        <v>2026</v>
      </c>
    </row>
    <row r="996" spans="1:27" hidden="1">
      <c r="A996" s="14">
        <v>1077</v>
      </c>
      <c r="B996" s="15" t="s">
        <v>13</v>
      </c>
      <c r="C996" s="16">
        <v>117</v>
      </c>
      <c r="D996" s="16" t="s">
        <v>187</v>
      </c>
      <c r="E996" s="17" t="s">
        <v>186</v>
      </c>
      <c r="F996" s="24">
        <v>1</v>
      </c>
      <c r="G996" s="19">
        <v>0</v>
      </c>
      <c r="H996" s="19">
        <v>0</v>
      </c>
      <c r="I996" s="19">
        <v>0</v>
      </c>
      <c r="T996" s="19">
        <f>Registro[[#This Row],[Mes 1]]+Registro[[#This Row],[Mes 2]]+Registro[[#This Row],[Mes 3]]</f>
        <v>0</v>
      </c>
      <c r="U996" s="19">
        <f>Registro[[#This Row],[Mes 4]]+Registro[[#This Row],[Mes 5]]+Registro[[#This Row],[Mes 6]]</f>
        <v>0</v>
      </c>
      <c r="V996" s="19">
        <f>Registro[[#This Row],[Mes 7]]+Registro[[#This Row],[Mes 8]]+Registro[[#This Row],[Mes 9]]</f>
        <v>0</v>
      </c>
      <c r="W996" s="20">
        <f>Registro[[#This Row],[Mes 10]]+Registro[[#This Row],[Mes 11]]+Registro[[#This Row],[Mes 12]]</f>
        <v>0</v>
      </c>
      <c r="X996" s="20">
        <f>SUM(Registro[[#This Row],[Trim I]],Registro[[#This Row],[Trim II]],Registro[[#This Row],[Trim III]],Registro[[#This Row],[Trim IV]])</f>
        <v>0</v>
      </c>
      <c r="Y996" s="22">
        <f>IFERROR((Registro[[#This Row],[Avance Total]]/Registro[[#This Row],[Meta]]),0)</f>
        <v>0</v>
      </c>
      <c r="Z996" s="22">
        <f>IFERROR((Registro[[#This Row],[Avance Total]]-Registro[[#This Row],[Línea Base 2025]])/Registro[[#This Row],[Línea Base 2025]],0)</f>
        <v>-1</v>
      </c>
      <c r="AA996" s="20">
        <v>2026</v>
      </c>
    </row>
    <row r="997" spans="1:27" hidden="1">
      <c r="A997" s="14">
        <v>1077</v>
      </c>
      <c r="B997" s="15" t="s">
        <v>13</v>
      </c>
      <c r="C997" s="16">
        <v>118</v>
      </c>
      <c r="D997" s="16" t="s">
        <v>188</v>
      </c>
      <c r="E997" s="17" t="s">
        <v>9</v>
      </c>
      <c r="F997" s="24">
        <v>0</v>
      </c>
      <c r="G997" s="19">
        <v>0</v>
      </c>
      <c r="H997" s="19">
        <v>0</v>
      </c>
      <c r="I997" s="19">
        <v>0</v>
      </c>
      <c r="T997" s="19">
        <f>Registro[[#This Row],[Mes 1]]+Registro[[#This Row],[Mes 2]]+Registro[[#This Row],[Mes 3]]</f>
        <v>0</v>
      </c>
      <c r="U997" s="19">
        <f>Registro[[#This Row],[Mes 4]]+Registro[[#This Row],[Mes 5]]+Registro[[#This Row],[Mes 6]]</f>
        <v>0</v>
      </c>
      <c r="V997" s="19">
        <f>Registro[[#This Row],[Mes 7]]+Registro[[#This Row],[Mes 8]]+Registro[[#This Row],[Mes 9]]</f>
        <v>0</v>
      </c>
      <c r="W997" s="20">
        <f>Registro[[#This Row],[Mes 10]]+Registro[[#This Row],[Mes 11]]+Registro[[#This Row],[Mes 12]]</f>
        <v>0</v>
      </c>
      <c r="X997" s="20">
        <f>SUM(Registro[[#This Row],[Trim I]],Registro[[#This Row],[Trim II]],Registro[[#This Row],[Trim III]],Registro[[#This Row],[Trim IV]])</f>
        <v>0</v>
      </c>
      <c r="Y997" s="22">
        <f>IFERROR((Registro[[#This Row],[Avance Total]]/Registro[[#This Row],[Meta]]),0)</f>
        <v>0</v>
      </c>
      <c r="Z997" s="22">
        <f>IFERROR((Registro[[#This Row],[Avance Total]]-Registro[[#This Row],[Línea Base 2025]])/Registro[[#This Row],[Línea Base 2025]],0)</f>
        <v>0</v>
      </c>
      <c r="AA997" s="20">
        <v>2026</v>
      </c>
    </row>
    <row r="998" spans="1:27" hidden="1">
      <c r="A998" s="14">
        <v>1077</v>
      </c>
      <c r="B998" s="15" t="s">
        <v>13</v>
      </c>
      <c r="C998" s="16">
        <v>119</v>
      </c>
      <c r="D998" s="16" t="s">
        <v>190</v>
      </c>
      <c r="E998" s="17" t="s">
        <v>189</v>
      </c>
      <c r="F998" s="24">
        <v>0</v>
      </c>
      <c r="G998" s="19">
        <v>1</v>
      </c>
      <c r="H998" s="19">
        <v>0</v>
      </c>
      <c r="I998" s="19">
        <v>0</v>
      </c>
      <c r="T998" s="19">
        <f>Registro[[#This Row],[Mes 1]]+Registro[[#This Row],[Mes 2]]+Registro[[#This Row],[Mes 3]]</f>
        <v>0</v>
      </c>
      <c r="U998" s="19">
        <f>Registro[[#This Row],[Mes 4]]+Registro[[#This Row],[Mes 5]]+Registro[[#This Row],[Mes 6]]</f>
        <v>0</v>
      </c>
      <c r="V998" s="19">
        <f>Registro[[#This Row],[Mes 7]]+Registro[[#This Row],[Mes 8]]+Registro[[#This Row],[Mes 9]]</f>
        <v>0</v>
      </c>
      <c r="W998" s="20">
        <f>Registro[[#This Row],[Mes 10]]+Registro[[#This Row],[Mes 11]]+Registro[[#This Row],[Mes 12]]</f>
        <v>0</v>
      </c>
      <c r="X998" s="20">
        <f>SUM(Registro[[#This Row],[Trim I]],Registro[[#This Row],[Trim II]],Registro[[#This Row],[Trim III]],Registro[[#This Row],[Trim IV]])</f>
        <v>0</v>
      </c>
      <c r="Y998" s="22">
        <f>IFERROR((Registro[[#This Row],[Avance Total]]/Registro[[#This Row],[Meta]]),0)</f>
        <v>0</v>
      </c>
      <c r="Z998" s="22">
        <f>IFERROR((Registro[[#This Row],[Avance Total]]-Registro[[#This Row],[Línea Base 2025]])/Registro[[#This Row],[Línea Base 2025]],0)</f>
        <v>0</v>
      </c>
      <c r="AA998" s="20">
        <v>2026</v>
      </c>
    </row>
    <row r="999" spans="1:27" hidden="1">
      <c r="A999" s="14">
        <v>1077</v>
      </c>
      <c r="B999" s="15" t="s">
        <v>13</v>
      </c>
      <c r="C999" s="16">
        <v>120</v>
      </c>
      <c r="D999" s="16" t="s">
        <v>192</v>
      </c>
      <c r="E999" s="17" t="s">
        <v>191</v>
      </c>
      <c r="F999" s="24">
        <v>0</v>
      </c>
      <c r="G999" s="19">
        <v>0</v>
      </c>
      <c r="H999" s="19">
        <v>0</v>
      </c>
      <c r="I999" s="19">
        <v>0</v>
      </c>
      <c r="T999" s="19">
        <f>Registro[[#This Row],[Mes 1]]+Registro[[#This Row],[Mes 2]]+Registro[[#This Row],[Mes 3]]</f>
        <v>0</v>
      </c>
      <c r="U999" s="19">
        <f>Registro[[#This Row],[Mes 4]]+Registro[[#This Row],[Mes 5]]+Registro[[#This Row],[Mes 6]]</f>
        <v>0</v>
      </c>
      <c r="V999" s="19">
        <f>Registro[[#This Row],[Mes 7]]+Registro[[#This Row],[Mes 8]]+Registro[[#This Row],[Mes 9]]</f>
        <v>0</v>
      </c>
      <c r="W999" s="20">
        <f>Registro[[#This Row],[Mes 10]]+Registro[[#This Row],[Mes 11]]+Registro[[#This Row],[Mes 12]]</f>
        <v>0</v>
      </c>
      <c r="X999" s="20">
        <f>SUM(Registro[[#This Row],[Trim I]],Registro[[#This Row],[Trim II]],Registro[[#This Row],[Trim III]],Registro[[#This Row],[Trim IV]])</f>
        <v>0</v>
      </c>
      <c r="Y999" s="22">
        <f>IFERROR((Registro[[#This Row],[Avance Total]]/Registro[[#This Row],[Meta]]),0)</f>
        <v>0</v>
      </c>
      <c r="Z999" s="22">
        <f>IFERROR((Registro[[#This Row],[Avance Total]]-Registro[[#This Row],[Línea Base 2025]])/Registro[[#This Row],[Línea Base 2025]],0)</f>
        <v>0</v>
      </c>
      <c r="AA999" s="20">
        <v>2026</v>
      </c>
    </row>
    <row r="1000" spans="1:27" hidden="1">
      <c r="A1000" s="14">
        <v>1077</v>
      </c>
      <c r="B1000" s="15" t="s">
        <v>13</v>
      </c>
      <c r="C1000" s="16">
        <v>121</v>
      </c>
      <c r="D1000" s="16" t="s">
        <v>194</v>
      </c>
      <c r="E1000" s="17" t="s">
        <v>193</v>
      </c>
      <c r="F1000" s="24">
        <v>0</v>
      </c>
      <c r="G1000" s="19">
        <v>0</v>
      </c>
      <c r="H1000" s="19">
        <v>0</v>
      </c>
      <c r="I1000" s="19">
        <v>0</v>
      </c>
      <c r="T1000" s="19">
        <f>Registro[[#This Row],[Mes 1]]+Registro[[#This Row],[Mes 2]]+Registro[[#This Row],[Mes 3]]</f>
        <v>0</v>
      </c>
      <c r="U1000" s="19">
        <f>Registro[[#This Row],[Mes 4]]+Registro[[#This Row],[Mes 5]]+Registro[[#This Row],[Mes 6]]</f>
        <v>0</v>
      </c>
      <c r="V1000" s="19">
        <f>Registro[[#This Row],[Mes 7]]+Registro[[#This Row],[Mes 8]]+Registro[[#This Row],[Mes 9]]</f>
        <v>0</v>
      </c>
      <c r="W1000" s="20">
        <f>Registro[[#This Row],[Mes 10]]+Registro[[#This Row],[Mes 11]]+Registro[[#This Row],[Mes 12]]</f>
        <v>0</v>
      </c>
      <c r="X1000" s="20">
        <f>SUM(Registro[[#This Row],[Trim I]],Registro[[#This Row],[Trim II]],Registro[[#This Row],[Trim III]],Registro[[#This Row],[Trim IV]])</f>
        <v>0</v>
      </c>
      <c r="Y1000" s="22">
        <f>IFERROR((Registro[[#This Row],[Avance Total]]/Registro[[#This Row],[Meta]]),0)</f>
        <v>0</v>
      </c>
      <c r="Z1000" s="22">
        <f>IFERROR((Registro[[#This Row],[Avance Total]]-Registro[[#This Row],[Línea Base 2025]])/Registro[[#This Row],[Línea Base 2025]],0)</f>
        <v>0</v>
      </c>
      <c r="AA1000" s="20">
        <v>2026</v>
      </c>
    </row>
    <row r="1001" spans="1:27" hidden="1">
      <c r="A1001" s="14">
        <v>1077</v>
      </c>
      <c r="B1001" s="15" t="s">
        <v>13</v>
      </c>
      <c r="C1001" s="16">
        <v>122</v>
      </c>
      <c r="D1001" s="16" t="s">
        <v>196</v>
      </c>
      <c r="E1001" s="17" t="s">
        <v>195</v>
      </c>
      <c r="F1001" s="24">
        <v>0</v>
      </c>
      <c r="G1001" s="19">
        <v>0</v>
      </c>
      <c r="H1001" s="19">
        <v>0</v>
      </c>
      <c r="I1001" s="19">
        <v>0</v>
      </c>
      <c r="T1001" s="19">
        <f>Registro[[#This Row],[Mes 1]]+Registro[[#This Row],[Mes 2]]+Registro[[#This Row],[Mes 3]]</f>
        <v>0</v>
      </c>
      <c r="U1001" s="19">
        <f>Registro[[#This Row],[Mes 4]]+Registro[[#This Row],[Mes 5]]+Registro[[#This Row],[Mes 6]]</f>
        <v>0</v>
      </c>
      <c r="V1001" s="19">
        <f>Registro[[#This Row],[Mes 7]]+Registro[[#This Row],[Mes 8]]+Registro[[#This Row],[Mes 9]]</f>
        <v>0</v>
      </c>
      <c r="W1001" s="20">
        <f>Registro[[#This Row],[Mes 10]]+Registro[[#This Row],[Mes 11]]+Registro[[#This Row],[Mes 12]]</f>
        <v>0</v>
      </c>
      <c r="X1001" s="20">
        <f>SUM(Registro[[#This Row],[Trim I]],Registro[[#This Row],[Trim II]],Registro[[#This Row],[Trim III]],Registro[[#This Row],[Trim IV]])</f>
        <v>0</v>
      </c>
      <c r="Y1001" s="22">
        <f>IFERROR((Registro[[#This Row],[Avance Total]]/Registro[[#This Row],[Meta]]),0)</f>
        <v>0</v>
      </c>
      <c r="Z1001" s="22">
        <f>IFERROR((Registro[[#This Row],[Avance Total]]-Registro[[#This Row],[Línea Base 2025]])/Registro[[#This Row],[Línea Base 2025]],0)</f>
        <v>0</v>
      </c>
      <c r="AA1001" s="20">
        <v>2026</v>
      </c>
    </row>
    <row r="1002" spans="1:27" hidden="1">
      <c r="A1002" s="14">
        <v>1077</v>
      </c>
      <c r="B1002" s="15" t="s">
        <v>13</v>
      </c>
      <c r="C1002" s="16">
        <v>123</v>
      </c>
      <c r="D1002" s="16" t="s">
        <v>198</v>
      </c>
      <c r="E1002" s="17" t="s">
        <v>197</v>
      </c>
      <c r="F1002" s="24">
        <v>0</v>
      </c>
      <c r="G1002" s="19">
        <v>0</v>
      </c>
      <c r="H1002" s="19">
        <v>0</v>
      </c>
      <c r="I1002" s="19">
        <v>0</v>
      </c>
      <c r="T1002" s="19">
        <f>Registro[[#This Row],[Mes 1]]+Registro[[#This Row],[Mes 2]]+Registro[[#This Row],[Mes 3]]</f>
        <v>0</v>
      </c>
      <c r="U1002" s="19">
        <f>Registro[[#This Row],[Mes 4]]+Registro[[#This Row],[Mes 5]]+Registro[[#This Row],[Mes 6]]</f>
        <v>0</v>
      </c>
      <c r="V1002" s="19">
        <f>Registro[[#This Row],[Mes 7]]+Registro[[#This Row],[Mes 8]]+Registro[[#This Row],[Mes 9]]</f>
        <v>0</v>
      </c>
      <c r="W1002" s="20">
        <f>Registro[[#This Row],[Mes 10]]+Registro[[#This Row],[Mes 11]]+Registro[[#This Row],[Mes 12]]</f>
        <v>0</v>
      </c>
      <c r="X1002" s="20">
        <f>SUM(Registro[[#This Row],[Trim I]],Registro[[#This Row],[Trim II]],Registro[[#This Row],[Trim III]],Registro[[#This Row],[Trim IV]])</f>
        <v>0</v>
      </c>
      <c r="Y1002" s="22">
        <f>IFERROR((Registro[[#This Row],[Avance Total]]/Registro[[#This Row],[Meta]]),0)</f>
        <v>0</v>
      </c>
      <c r="Z1002" s="22">
        <f>IFERROR((Registro[[#This Row],[Avance Total]]-Registro[[#This Row],[Línea Base 2025]])/Registro[[#This Row],[Línea Base 2025]],0)</f>
        <v>0</v>
      </c>
      <c r="AA1002" s="20">
        <v>2026</v>
      </c>
    </row>
    <row r="1003" spans="1:27" hidden="1">
      <c r="A1003" s="14">
        <v>1078</v>
      </c>
      <c r="B1003" s="15" t="s">
        <v>105</v>
      </c>
      <c r="C1003" s="16">
        <v>111</v>
      </c>
      <c r="D1003" s="16" t="s">
        <v>171</v>
      </c>
      <c r="E1003" s="17" t="s">
        <v>172</v>
      </c>
      <c r="F1003" s="24">
        <v>72</v>
      </c>
      <c r="G1003" s="19">
        <v>58</v>
      </c>
      <c r="H1003" s="19">
        <v>5</v>
      </c>
      <c r="I1003" s="19">
        <v>2</v>
      </c>
      <c r="T1003" s="19">
        <f>Registro[[#This Row],[Mes 1]]+Registro[[#This Row],[Mes 2]]+Registro[[#This Row],[Mes 3]]</f>
        <v>7</v>
      </c>
      <c r="U1003" s="19">
        <f>Registro[[#This Row],[Mes 4]]+Registro[[#This Row],[Mes 5]]+Registro[[#This Row],[Mes 6]]</f>
        <v>0</v>
      </c>
      <c r="V1003" s="19">
        <f>Registro[[#This Row],[Mes 7]]+Registro[[#This Row],[Mes 8]]+Registro[[#This Row],[Mes 9]]</f>
        <v>0</v>
      </c>
      <c r="W1003" s="20">
        <f>Registro[[#This Row],[Mes 10]]+Registro[[#This Row],[Mes 11]]+Registro[[#This Row],[Mes 12]]</f>
        <v>0</v>
      </c>
      <c r="X1003" s="20">
        <f>SUM(Registro[[#This Row],[Trim I]],Registro[[#This Row],[Trim II]],Registro[[#This Row],[Trim III]],Registro[[#This Row],[Trim IV]])</f>
        <v>7</v>
      </c>
      <c r="Y1003" s="22">
        <f>IFERROR((Registro[[#This Row],[Avance Total]]/Registro[[#This Row],[Meta]]),0)</f>
        <v>0.1206896551724138</v>
      </c>
      <c r="Z1003" s="22">
        <f>IFERROR((Registro[[#This Row],[Avance Total]]-Registro[[#This Row],[Línea Base 2025]])/Registro[[#This Row],[Línea Base 2025]],0)</f>
        <v>-0.90277777777777779</v>
      </c>
      <c r="AA1003" s="20">
        <v>2026</v>
      </c>
    </row>
    <row r="1004" spans="1:27" hidden="1">
      <c r="A1004" s="14">
        <v>1078</v>
      </c>
      <c r="B1004" s="15" t="s">
        <v>105</v>
      </c>
      <c r="C1004" s="16">
        <v>112</v>
      </c>
      <c r="D1004" s="16" t="s">
        <v>173</v>
      </c>
      <c r="E1004" s="17" t="s">
        <v>7</v>
      </c>
      <c r="F1004" s="24">
        <v>49</v>
      </c>
      <c r="G1004" s="19">
        <v>146</v>
      </c>
      <c r="H1004" s="19">
        <v>0</v>
      </c>
      <c r="I1004" s="19">
        <v>0</v>
      </c>
      <c r="T1004" s="19">
        <f>Registro[[#This Row],[Mes 1]]+Registro[[#This Row],[Mes 2]]+Registro[[#This Row],[Mes 3]]</f>
        <v>0</v>
      </c>
      <c r="U1004" s="19">
        <f>Registro[[#This Row],[Mes 4]]+Registro[[#This Row],[Mes 5]]+Registro[[#This Row],[Mes 6]]</f>
        <v>0</v>
      </c>
      <c r="V1004" s="19">
        <f>Registro[[#This Row],[Mes 7]]+Registro[[#This Row],[Mes 8]]+Registro[[#This Row],[Mes 9]]</f>
        <v>0</v>
      </c>
      <c r="W1004" s="20">
        <f>Registro[[#This Row],[Mes 10]]+Registro[[#This Row],[Mes 11]]+Registro[[#This Row],[Mes 12]]</f>
        <v>0</v>
      </c>
      <c r="X1004" s="20">
        <f>SUM(Registro[[#This Row],[Trim I]],Registro[[#This Row],[Trim II]],Registro[[#This Row],[Trim III]],Registro[[#This Row],[Trim IV]])</f>
        <v>0</v>
      </c>
      <c r="Y1004" s="22">
        <f>IFERROR((Registro[[#This Row],[Avance Total]]/Registro[[#This Row],[Meta]]),0)</f>
        <v>0</v>
      </c>
      <c r="Z1004" s="22">
        <f>IFERROR((Registro[[#This Row],[Avance Total]]-Registro[[#This Row],[Línea Base 2025]])/Registro[[#This Row],[Línea Base 2025]],0)</f>
        <v>-1</v>
      </c>
      <c r="AA1004" s="20">
        <v>2026</v>
      </c>
    </row>
    <row r="1005" spans="1:27" hidden="1">
      <c r="A1005" s="14">
        <v>1078</v>
      </c>
      <c r="B1005" s="15" t="s">
        <v>105</v>
      </c>
      <c r="C1005" s="16">
        <v>113</v>
      </c>
      <c r="D1005" s="16" t="s">
        <v>179</v>
      </c>
      <c r="E1005" s="17" t="s">
        <v>178</v>
      </c>
      <c r="F1005" s="24">
        <v>31</v>
      </c>
      <c r="G1005" s="19">
        <v>344</v>
      </c>
      <c r="H1005" s="19">
        <v>2</v>
      </c>
      <c r="I1005" s="19">
        <v>1</v>
      </c>
      <c r="T1005" s="19">
        <f>Registro[[#This Row],[Mes 1]]+Registro[[#This Row],[Mes 2]]+Registro[[#This Row],[Mes 3]]</f>
        <v>3</v>
      </c>
      <c r="U1005" s="19">
        <f>Registro[[#This Row],[Mes 4]]+Registro[[#This Row],[Mes 5]]+Registro[[#This Row],[Mes 6]]</f>
        <v>0</v>
      </c>
      <c r="V1005" s="19">
        <f>Registro[[#This Row],[Mes 7]]+Registro[[#This Row],[Mes 8]]+Registro[[#This Row],[Mes 9]]</f>
        <v>0</v>
      </c>
      <c r="W1005" s="20">
        <f>Registro[[#This Row],[Mes 10]]+Registro[[#This Row],[Mes 11]]+Registro[[#This Row],[Mes 12]]</f>
        <v>0</v>
      </c>
      <c r="X1005" s="20">
        <f>SUM(Registro[[#This Row],[Trim I]],Registro[[#This Row],[Trim II]],Registro[[#This Row],[Trim III]],Registro[[#This Row],[Trim IV]])</f>
        <v>3</v>
      </c>
      <c r="Y1005" s="22">
        <f>IFERROR((Registro[[#This Row],[Avance Total]]/Registro[[#This Row],[Meta]]),0)</f>
        <v>8.7209302325581394E-3</v>
      </c>
      <c r="Z1005" s="22">
        <f>IFERROR((Registro[[#This Row],[Avance Total]]-Registro[[#This Row],[Línea Base 2025]])/Registro[[#This Row],[Línea Base 2025]],0)</f>
        <v>-0.90322580645161288</v>
      </c>
      <c r="AA1005" s="20">
        <v>2026</v>
      </c>
    </row>
    <row r="1006" spans="1:27" hidden="1">
      <c r="A1006" s="14">
        <v>1078</v>
      </c>
      <c r="B1006" s="15" t="s">
        <v>105</v>
      </c>
      <c r="C1006" s="16">
        <v>114</v>
      </c>
      <c r="D1006" s="16" t="s">
        <v>181</v>
      </c>
      <c r="E1006" s="17" t="s">
        <v>180</v>
      </c>
      <c r="F1006" s="24">
        <v>0</v>
      </c>
      <c r="G1006" s="19">
        <v>29</v>
      </c>
      <c r="H1006" s="19">
        <v>19</v>
      </c>
      <c r="I1006" s="19">
        <v>0</v>
      </c>
      <c r="T1006" s="19">
        <f>Registro[[#This Row],[Mes 1]]+Registro[[#This Row],[Mes 2]]+Registro[[#This Row],[Mes 3]]</f>
        <v>19</v>
      </c>
      <c r="U1006" s="19">
        <f>Registro[[#This Row],[Mes 4]]+Registro[[#This Row],[Mes 5]]+Registro[[#This Row],[Mes 6]]</f>
        <v>0</v>
      </c>
      <c r="V1006" s="19">
        <f>Registro[[#This Row],[Mes 7]]+Registro[[#This Row],[Mes 8]]+Registro[[#This Row],[Mes 9]]</f>
        <v>0</v>
      </c>
      <c r="W1006" s="20">
        <f>Registro[[#This Row],[Mes 10]]+Registro[[#This Row],[Mes 11]]+Registro[[#This Row],[Mes 12]]</f>
        <v>0</v>
      </c>
      <c r="X1006" s="20">
        <f>SUM(Registro[[#This Row],[Trim I]],Registro[[#This Row],[Trim II]],Registro[[#This Row],[Trim III]],Registro[[#This Row],[Trim IV]])</f>
        <v>19</v>
      </c>
      <c r="Y1006" s="22">
        <f>IFERROR((Registro[[#This Row],[Avance Total]]/Registro[[#This Row],[Meta]]),0)</f>
        <v>0.65517241379310343</v>
      </c>
      <c r="Z1006" s="22">
        <f>IFERROR((Registro[[#This Row],[Avance Total]]-Registro[[#This Row],[Línea Base 2025]])/Registro[[#This Row],[Línea Base 2025]],0)</f>
        <v>0</v>
      </c>
      <c r="AA1006" s="20">
        <v>2026</v>
      </c>
    </row>
    <row r="1007" spans="1:27" hidden="1">
      <c r="A1007" s="14">
        <v>1078</v>
      </c>
      <c r="B1007" s="15" t="s">
        <v>105</v>
      </c>
      <c r="C1007" s="16">
        <v>115</v>
      </c>
      <c r="D1007" s="16" t="s">
        <v>183</v>
      </c>
      <c r="E1007" s="17" t="s">
        <v>182</v>
      </c>
      <c r="F1007" s="24">
        <v>13</v>
      </c>
      <c r="G1007" s="19">
        <v>10</v>
      </c>
      <c r="H1007" s="19">
        <v>0</v>
      </c>
      <c r="I1007" s="19">
        <v>0</v>
      </c>
      <c r="T1007" s="19">
        <f>Registro[[#This Row],[Mes 1]]+Registro[[#This Row],[Mes 2]]+Registro[[#This Row],[Mes 3]]</f>
        <v>0</v>
      </c>
      <c r="U1007" s="19">
        <f>Registro[[#This Row],[Mes 4]]+Registro[[#This Row],[Mes 5]]+Registro[[#This Row],[Mes 6]]</f>
        <v>0</v>
      </c>
      <c r="V1007" s="19">
        <f>Registro[[#This Row],[Mes 7]]+Registro[[#This Row],[Mes 8]]+Registro[[#This Row],[Mes 9]]</f>
        <v>0</v>
      </c>
      <c r="W1007" s="20">
        <f>Registro[[#This Row],[Mes 10]]+Registro[[#This Row],[Mes 11]]+Registro[[#This Row],[Mes 12]]</f>
        <v>0</v>
      </c>
      <c r="X1007" s="20">
        <f>SUM(Registro[[#This Row],[Trim I]],Registro[[#This Row],[Trim II]],Registro[[#This Row],[Trim III]],Registro[[#This Row],[Trim IV]])</f>
        <v>0</v>
      </c>
      <c r="Y1007" s="22">
        <f>IFERROR((Registro[[#This Row],[Avance Total]]/Registro[[#This Row],[Meta]]),0)</f>
        <v>0</v>
      </c>
      <c r="Z1007" s="22">
        <f>IFERROR((Registro[[#This Row],[Avance Total]]-Registro[[#This Row],[Línea Base 2025]])/Registro[[#This Row],[Línea Base 2025]],0)</f>
        <v>-1</v>
      </c>
      <c r="AA1007" s="20">
        <v>2026</v>
      </c>
    </row>
    <row r="1008" spans="1:27">
      <c r="A1008" s="14">
        <v>1078</v>
      </c>
      <c r="B1008" s="15" t="s">
        <v>105</v>
      </c>
      <c r="C1008" s="16">
        <v>116</v>
      </c>
      <c r="D1008" s="16" t="s">
        <v>185</v>
      </c>
      <c r="E1008" s="17" t="s">
        <v>184</v>
      </c>
      <c r="F1008" s="24">
        <v>2</v>
      </c>
      <c r="G1008" s="19">
        <v>4</v>
      </c>
      <c r="H1008" s="19">
        <v>0</v>
      </c>
      <c r="I1008" s="19">
        <v>0</v>
      </c>
      <c r="T1008" s="19">
        <f>Registro[[#This Row],[Mes 1]]+Registro[[#This Row],[Mes 2]]+Registro[[#This Row],[Mes 3]]</f>
        <v>0</v>
      </c>
      <c r="U1008" s="19">
        <f>Registro[[#This Row],[Mes 4]]+Registro[[#This Row],[Mes 5]]+Registro[[#This Row],[Mes 6]]</f>
        <v>0</v>
      </c>
      <c r="V1008" s="19">
        <f>Registro[[#This Row],[Mes 7]]+Registro[[#This Row],[Mes 8]]+Registro[[#This Row],[Mes 9]]</f>
        <v>0</v>
      </c>
      <c r="W1008" s="20">
        <f>Registro[[#This Row],[Mes 10]]+Registro[[#This Row],[Mes 11]]+Registro[[#This Row],[Mes 12]]</f>
        <v>0</v>
      </c>
      <c r="X1008" s="20">
        <f>SUM(Registro[[#This Row],[Trim I]],Registro[[#This Row],[Trim II]],Registro[[#This Row],[Trim III]],Registro[[#This Row],[Trim IV]])</f>
        <v>0</v>
      </c>
      <c r="Y1008" s="22">
        <f>IFERROR((Registro[[#This Row],[Avance Total]]/Registro[[#This Row],[Meta]]),0)</f>
        <v>0</v>
      </c>
      <c r="Z1008" s="22">
        <f>IFERROR((Registro[[#This Row],[Avance Total]]-Registro[[#This Row],[Línea Base 2025]])/Registro[[#This Row],[Línea Base 2025]],0)</f>
        <v>-1</v>
      </c>
      <c r="AA1008" s="20">
        <v>2026</v>
      </c>
    </row>
    <row r="1009" spans="1:27" hidden="1">
      <c r="A1009" s="14">
        <v>1078</v>
      </c>
      <c r="B1009" s="15" t="s">
        <v>105</v>
      </c>
      <c r="C1009" s="16">
        <v>117</v>
      </c>
      <c r="D1009" s="16" t="s">
        <v>187</v>
      </c>
      <c r="E1009" s="17" t="s">
        <v>186</v>
      </c>
      <c r="F1009" s="24">
        <v>4</v>
      </c>
      <c r="G1009" s="19">
        <v>7</v>
      </c>
      <c r="H1009" s="19">
        <v>0</v>
      </c>
      <c r="I1009" s="19">
        <v>0</v>
      </c>
      <c r="T1009" s="19">
        <f>Registro[[#This Row],[Mes 1]]+Registro[[#This Row],[Mes 2]]+Registro[[#This Row],[Mes 3]]</f>
        <v>0</v>
      </c>
      <c r="U1009" s="19">
        <f>Registro[[#This Row],[Mes 4]]+Registro[[#This Row],[Mes 5]]+Registro[[#This Row],[Mes 6]]</f>
        <v>0</v>
      </c>
      <c r="V1009" s="19">
        <f>Registro[[#This Row],[Mes 7]]+Registro[[#This Row],[Mes 8]]+Registro[[#This Row],[Mes 9]]</f>
        <v>0</v>
      </c>
      <c r="W1009" s="20">
        <f>Registro[[#This Row],[Mes 10]]+Registro[[#This Row],[Mes 11]]+Registro[[#This Row],[Mes 12]]</f>
        <v>0</v>
      </c>
      <c r="X1009" s="20">
        <f>SUM(Registro[[#This Row],[Trim I]],Registro[[#This Row],[Trim II]],Registro[[#This Row],[Trim III]],Registro[[#This Row],[Trim IV]])</f>
        <v>0</v>
      </c>
      <c r="Y1009" s="22">
        <f>IFERROR((Registro[[#This Row],[Avance Total]]/Registro[[#This Row],[Meta]]),0)</f>
        <v>0</v>
      </c>
      <c r="Z1009" s="22">
        <f>IFERROR((Registro[[#This Row],[Avance Total]]-Registro[[#This Row],[Línea Base 2025]])/Registro[[#This Row],[Línea Base 2025]],0)</f>
        <v>-1</v>
      </c>
      <c r="AA1009" s="20">
        <v>2026</v>
      </c>
    </row>
    <row r="1010" spans="1:27" hidden="1">
      <c r="A1010" s="14">
        <v>1078</v>
      </c>
      <c r="B1010" s="15" t="s">
        <v>105</v>
      </c>
      <c r="C1010" s="16">
        <v>118</v>
      </c>
      <c r="D1010" s="16" t="s">
        <v>188</v>
      </c>
      <c r="E1010" s="17" t="s">
        <v>9</v>
      </c>
      <c r="F1010" s="24">
        <v>0</v>
      </c>
      <c r="G1010" s="19">
        <v>5</v>
      </c>
      <c r="H1010" s="19">
        <v>0</v>
      </c>
      <c r="I1010" s="19">
        <v>0</v>
      </c>
      <c r="T1010" s="19">
        <f>Registro[[#This Row],[Mes 1]]+Registro[[#This Row],[Mes 2]]+Registro[[#This Row],[Mes 3]]</f>
        <v>0</v>
      </c>
      <c r="U1010" s="19">
        <f>Registro[[#This Row],[Mes 4]]+Registro[[#This Row],[Mes 5]]+Registro[[#This Row],[Mes 6]]</f>
        <v>0</v>
      </c>
      <c r="V1010" s="19">
        <f>Registro[[#This Row],[Mes 7]]+Registro[[#This Row],[Mes 8]]+Registro[[#This Row],[Mes 9]]</f>
        <v>0</v>
      </c>
      <c r="W1010" s="20">
        <f>Registro[[#This Row],[Mes 10]]+Registro[[#This Row],[Mes 11]]+Registro[[#This Row],[Mes 12]]</f>
        <v>0</v>
      </c>
      <c r="X1010" s="20">
        <f>SUM(Registro[[#This Row],[Trim I]],Registro[[#This Row],[Trim II]],Registro[[#This Row],[Trim III]],Registro[[#This Row],[Trim IV]])</f>
        <v>0</v>
      </c>
      <c r="Y1010" s="22">
        <f>IFERROR((Registro[[#This Row],[Avance Total]]/Registro[[#This Row],[Meta]]),0)</f>
        <v>0</v>
      </c>
      <c r="Z1010" s="22">
        <f>IFERROR((Registro[[#This Row],[Avance Total]]-Registro[[#This Row],[Línea Base 2025]])/Registro[[#This Row],[Línea Base 2025]],0)</f>
        <v>0</v>
      </c>
      <c r="AA1010" s="20">
        <v>2026</v>
      </c>
    </row>
    <row r="1011" spans="1:27" hidden="1">
      <c r="A1011" s="14">
        <v>1078</v>
      </c>
      <c r="B1011" s="15" t="s">
        <v>105</v>
      </c>
      <c r="C1011" s="16">
        <v>119</v>
      </c>
      <c r="D1011" s="16" t="s">
        <v>190</v>
      </c>
      <c r="E1011" s="17" t="s">
        <v>189</v>
      </c>
      <c r="F1011" s="24">
        <v>0</v>
      </c>
      <c r="G1011" s="19">
        <v>3</v>
      </c>
      <c r="H1011" s="19">
        <v>0</v>
      </c>
      <c r="I1011" s="19">
        <v>0</v>
      </c>
      <c r="T1011" s="19">
        <f>Registro[[#This Row],[Mes 1]]+Registro[[#This Row],[Mes 2]]+Registro[[#This Row],[Mes 3]]</f>
        <v>0</v>
      </c>
      <c r="U1011" s="19">
        <f>Registro[[#This Row],[Mes 4]]+Registro[[#This Row],[Mes 5]]+Registro[[#This Row],[Mes 6]]</f>
        <v>0</v>
      </c>
      <c r="V1011" s="19">
        <f>Registro[[#This Row],[Mes 7]]+Registro[[#This Row],[Mes 8]]+Registro[[#This Row],[Mes 9]]</f>
        <v>0</v>
      </c>
      <c r="W1011" s="20">
        <f>Registro[[#This Row],[Mes 10]]+Registro[[#This Row],[Mes 11]]+Registro[[#This Row],[Mes 12]]</f>
        <v>0</v>
      </c>
      <c r="X1011" s="20">
        <f>SUM(Registro[[#This Row],[Trim I]],Registro[[#This Row],[Trim II]],Registro[[#This Row],[Trim III]],Registro[[#This Row],[Trim IV]])</f>
        <v>0</v>
      </c>
      <c r="Y1011" s="22">
        <f>IFERROR((Registro[[#This Row],[Avance Total]]/Registro[[#This Row],[Meta]]),0)</f>
        <v>0</v>
      </c>
      <c r="Z1011" s="22">
        <f>IFERROR((Registro[[#This Row],[Avance Total]]-Registro[[#This Row],[Línea Base 2025]])/Registro[[#This Row],[Línea Base 2025]],0)</f>
        <v>0</v>
      </c>
      <c r="AA1011" s="20">
        <v>2026</v>
      </c>
    </row>
    <row r="1012" spans="1:27" hidden="1">
      <c r="A1012" s="14">
        <v>1078</v>
      </c>
      <c r="B1012" s="15" t="s">
        <v>105</v>
      </c>
      <c r="C1012" s="16">
        <v>120</v>
      </c>
      <c r="D1012" s="16" t="s">
        <v>192</v>
      </c>
      <c r="E1012" s="17" t="s">
        <v>191</v>
      </c>
      <c r="F1012" s="24">
        <v>30</v>
      </c>
      <c r="G1012" s="19">
        <v>53</v>
      </c>
      <c r="H1012" s="19">
        <v>0</v>
      </c>
      <c r="I1012" s="19">
        <v>2</v>
      </c>
      <c r="T1012" s="19">
        <f>Registro[[#This Row],[Mes 1]]+Registro[[#This Row],[Mes 2]]+Registro[[#This Row],[Mes 3]]</f>
        <v>2</v>
      </c>
      <c r="U1012" s="19">
        <f>Registro[[#This Row],[Mes 4]]+Registro[[#This Row],[Mes 5]]+Registro[[#This Row],[Mes 6]]</f>
        <v>0</v>
      </c>
      <c r="V1012" s="19">
        <f>Registro[[#This Row],[Mes 7]]+Registro[[#This Row],[Mes 8]]+Registro[[#This Row],[Mes 9]]</f>
        <v>0</v>
      </c>
      <c r="W1012" s="20">
        <f>Registro[[#This Row],[Mes 10]]+Registro[[#This Row],[Mes 11]]+Registro[[#This Row],[Mes 12]]</f>
        <v>0</v>
      </c>
      <c r="X1012" s="20">
        <f>SUM(Registro[[#This Row],[Trim I]],Registro[[#This Row],[Trim II]],Registro[[#This Row],[Trim III]],Registro[[#This Row],[Trim IV]])</f>
        <v>2</v>
      </c>
      <c r="Y1012" s="22">
        <f>IFERROR((Registro[[#This Row],[Avance Total]]/Registro[[#This Row],[Meta]]),0)</f>
        <v>3.7735849056603772E-2</v>
      </c>
      <c r="Z1012" s="22">
        <f>IFERROR((Registro[[#This Row],[Avance Total]]-Registro[[#This Row],[Línea Base 2025]])/Registro[[#This Row],[Línea Base 2025]],0)</f>
        <v>-0.93333333333333335</v>
      </c>
      <c r="AA1012" s="20">
        <v>2026</v>
      </c>
    </row>
    <row r="1013" spans="1:27" hidden="1">
      <c r="A1013" s="14">
        <v>1078</v>
      </c>
      <c r="B1013" s="15" t="s">
        <v>105</v>
      </c>
      <c r="C1013" s="16">
        <v>121</v>
      </c>
      <c r="D1013" s="16" t="s">
        <v>194</v>
      </c>
      <c r="E1013" s="17" t="s">
        <v>193</v>
      </c>
      <c r="F1013" s="24">
        <v>0</v>
      </c>
      <c r="G1013" s="19">
        <v>11</v>
      </c>
      <c r="H1013" s="19">
        <v>0</v>
      </c>
      <c r="I1013" s="19">
        <v>1</v>
      </c>
      <c r="T1013" s="19">
        <f>Registro[[#This Row],[Mes 1]]+Registro[[#This Row],[Mes 2]]+Registro[[#This Row],[Mes 3]]</f>
        <v>1</v>
      </c>
      <c r="U1013" s="19">
        <f>Registro[[#This Row],[Mes 4]]+Registro[[#This Row],[Mes 5]]+Registro[[#This Row],[Mes 6]]</f>
        <v>0</v>
      </c>
      <c r="V1013" s="19">
        <f>Registro[[#This Row],[Mes 7]]+Registro[[#This Row],[Mes 8]]+Registro[[#This Row],[Mes 9]]</f>
        <v>0</v>
      </c>
      <c r="W1013" s="20">
        <f>Registro[[#This Row],[Mes 10]]+Registro[[#This Row],[Mes 11]]+Registro[[#This Row],[Mes 12]]</f>
        <v>0</v>
      </c>
      <c r="X1013" s="20">
        <f>SUM(Registro[[#This Row],[Trim I]],Registro[[#This Row],[Trim II]],Registro[[#This Row],[Trim III]],Registro[[#This Row],[Trim IV]])</f>
        <v>1</v>
      </c>
      <c r="Y1013" s="22">
        <f>IFERROR((Registro[[#This Row],[Avance Total]]/Registro[[#This Row],[Meta]]),0)</f>
        <v>9.0909090909090912E-2</v>
      </c>
      <c r="Z1013" s="22">
        <f>IFERROR((Registro[[#This Row],[Avance Total]]-Registro[[#This Row],[Línea Base 2025]])/Registro[[#This Row],[Línea Base 2025]],0)</f>
        <v>0</v>
      </c>
      <c r="AA1013" s="20">
        <v>2026</v>
      </c>
    </row>
    <row r="1014" spans="1:27" hidden="1">
      <c r="A1014" s="14">
        <v>1078</v>
      </c>
      <c r="B1014" s="15" t="s">
        <v>105</v>
      </c>
      <c r="C1014" s="16">
        <v>122</v>
      </c>
      <c r="D1014" s="16" t="s">
        <v>196</v>
      </c>
      <c r="E1014" s="17" t="s">
        <v>195</v>
      </c>
      <c r="F1014" s="24">
        <v>3</v>
      </c>
      <c r="G1014" s="19">
        <v>10</v>
      </c>
      <c r="H1014" s="19">
        <v>0</v>
      </c>
      <c r="I1014" s="19">
        <v>0</v>
      </c>
      <c r="T1014" s="19">
        <f>Registro[[#This Row],[Mes 1]]+Registro[[#This Row],[Mes 2]]+Registro[[#This Row],[Mes 3]]</f>
        <v>0</v>
      </c>
      <c r="U1014" s="19">
        <f>Registro[[#This Row],[Mes 4]]+Registro[[#This Row],[Mes 5]]+Registro[[#This Row],[Mes 6]]</f>
        <v>0</v>
      </c>
      <c r="V1014" s="19">
        <f>Registro[[#This Row],[Mes 7]]+Registro[[#This Row],[Mes 8]]+Registro[[#This Row],[Mes 9]]</f>
        <v>0</v>
      </c>
      <c r="W1014" s="20">
        <f>Registro[[#This Row],[Mes 10]]+Registro[[#This Row],[Mes 11]]+Registro[[#This Row],[Mes 12]]</f>
        <v>0</v>
      </c>
      <c r="X1014" s="20">
        <f>SUM(Registro[[#This Row],[Trim I]],Registro[[#This Row],[Trim II]],Registro[[#This Row],[Trim III]],Registro[[#This Row],[Trim IV]])</f>
        <v>0</v>
      </c>
      <c r="Y1014" s="22">
        <f>IFERROR((Registro[[#This Row],[Avance Total]]/Registro[[#This Row],[Meta]]),0)</f>
        <v>0</v>
      </c>
      <c r="Z1014" s="22">
        <f>IFERROR((Registro[[#This Row],[Avance Total]]-Registro[[#This Row],[Línea Base 2025]])/Registro[[#This Row],[Línea Base 2025]],0)</f>
        <v>-1</v>
      </c>
      <c r="AA1014" s="20">
        <v>2026</v>
      </c>
    </row>
    <row r="1015" spans="1:27" hidden="1">
      <c r="A1015" s="14">
        <v>1078</v>
      </c>
      <c r="B1015" s="15" t="s">
        <v>105</v>
      </c>
      <c r="C1015" s="16">
        <v>123</v>
      </c>
      <c r="D1015" s="16" t="s">
        <v>198</v>
      </c>
      <c r="E1015" s="17" t="s">
        <v>197</v>
      </c>
      <c r="F1015" s="24">
        <v>0</v>
      </c>
      <c r="G1015" s="19">
        <v>5</v>
      </c>
      <c r="H1015" s="19">
        <v>0</v>
      </c>
      <c r="I1015" s="19">
        <v>0</v>
      </c>
      <c r="T1015" s="19">
        <f>Registro[[#This Row],[Mes 1]]+Registro[[#This Row],[Mes 2]]+Registro[[#This Row],[Mes 3]]</f>
        <v>0</v>
      </c>
      <c r="U1015" s="19">
        <f>Registro[[#This Row],[Mes 4]]+Registro[[#This Row],[Mes 5]]+Registro[[#This Row],[Mes 6]]</f>
        <v>0</v>
      </c>
      <c r="V1015" s="19">
        <f>Registro[[#This Row],[Mes 7]]+Registro[[#This Row],[Mes 8]]+Registro[[#This Row],[Mes 9]]</f>
        <v>0</v>
      </c>
      <c r="W1015" s="20">
        <f>Registro[[#This Row],[Mes 10]]+Registro[[#This Row],[Mes 11]]+Registro[[#This Row],[Mes 12]]</f>
        <v>0</v>
      </c>
      <c r="X1015" s="20">
        <f>SUM(Registro[[#This Row],[Trim I]],Registro[[#This Row],[Trim II]],Registro[[#This Row],[Trim III]],Registro[[#This Row],[Trim IV]])</f>
        <v>0</v>
      </c>
      <c r="Y1015" s="22">
        <f>IFERROR((Registro[[#This Row],[Avance Total]]/Registro[[#This Row],[Meta]]),0)</f>
        <v>0</v>
      </c>
      <c r="Z1015" s="22">
        <f>IFERROR((Registro[[#This Row],[Avance Total]]-Registro[[#This Row],[Línea Base 2025]])/Registro[[#This Row],[Línea Base 2025]],0)</f>
        <v>0</v>
      </c>
      <c r="AA1015" s="20">
        <v>2026</v>
      </c>
    </row>
    <row r="1016" spans="1:27" hidden="1">
      <c r="A1016" s="14">
        <v>1079</v>
      </c>
      <c r="B1016" s="15" t="s">
        <v>106</v>
      </c>
      <c r="C1016" s="16">
        <v>111</v>
      </c>
      <c r="D1016" s="16" t="s">
        <v>171</v>
      </c>
      <c r="E1016" s="17" t="s">
        <v>172</v>
      </c>
      <c r="F1016" s="24">
        <v>38</v>
      </c>
      <c r="G1016" s="19">
        <v>207</v>
      </c>
      <c r="H1016" s="19">
        <v>5</v>
      </c>
      <c r="I1016" s="19">
        <v>2</v>
      </c>
      <c r="T1016" s="19">
        <f>Registro[[#This Row],[Mes 1]]+Registro[[#This Row],[Mes 2]]+Registro[[#This Row],[Mes 3]]</f>
        <v>7</v>
      </c>
      <c r="U1016" s="19">
        <f>Registro[[#This Row],[Mes 4]]+Registro[[#This Row],[Mes 5]]+Registro[[#This Row],[Mes 6]]</f>
        <v>0</v>
      </c>
      <c r="V1016" s="19">
        <f>Registro[[#This Row],[Mes 7]]+Registro[[#This Row],[Mes 8]]+Registro[[#This Row],[Mes 9]]</f>
        <v>0</v>
      </c>
      <c r="W1016" s="20">
        <f>Registro[[#This Row],[Mes 10]]+Registro[[#This Row],[Mes 11]]+Registro[[#This Row],[Mes 12]]</f>
        <v>0</v>
      </c>
      <c r="X1016" s="20">
        <f>SUM(Registro[[#This Row],[Trim I]],Registro[[#This Row],[Trim II]],Registro[[#This Row],[Trim III]],Registro[[#This Row],[Trim IV]])</f>
        <v>7</v>
      </c>
      <c r="Y1016" s="22">
        <f>IFERROR((Registro[[#This Row],[Avance Total]]/Registro[[#This Row],[Meta]]),0)</f>
        <v>3.3816425120772944E-2</v>
      </c>
      <c r="Z1016" s="22">
        <f>IFERROR((Registro[[#This Row],[Avance Total]]-Registro[[#This Row],[Línea Base 2025]])/Registro[[#This Row],[Línea Base 2025]],0)</f>
        <v>-0.81578947368421051</v>
      </c>
      <c r="AA1016" s="20">
        <v>2026</v>
      </c>
    </row>
    <row r="1017" spans="1:27" hidden="1">
      <c r="A1017" s="14">
        <v>1079</v>
      </c>
      <c r="B1017" s="15" t="s">
        <v>106</v>
      </c>
      <c r="C1017" s="16">
        <v>112</v>
      </c>
      <c r="D1017" s="16" t="s">
        <v>173</v>
      </c>
      <c r="E1017" s="17" t="s">
        <v>7</v>
      </c>
      <c r="F1017" s="24">
        <v>26</v>
      </c>
      <c r="G1017" s="19">
        <v>99</v>
      </c>
      <c r="H1017" s="19">
        <v>0</v>
      </c>
      <c r="I1017" s="19">
        <v>0</v>
      </c>
      <c r="T1017" s="19">
        <f>Registro[[#This Row],[Mes 1]]+Registro[[#This Row],[Mes 2]]+Registro[[#This Row],[Mes 3]]</f>
        <v>0</v>
      </c>
      <c r="U1017" s="19">
        <f>Registro[[#This Row],[Mes 4]]+Registro[[#This Row],[Mes 5]]+Registro[[#This Row],[Mes 6]]</f>
        <v>0</v>
      </c>
      <c r="V1017" s="19">
        <f>Registro[[#This Row],[Mes 7]]+Registro[[#This Row],[Mes 8]]+Registro[[#This Row],[Mes 9]]</f>
        <v>0</v>
      </c>
      <c r="W1017" s="20">
        <f>Registro[[#This Row],[Mes 10]]+Registro[[#This Row],[Mes 11]]+Registro[[#This Row],[Mes 12]]</f>
        <v>0</v>
      </c>
      <c r="X1017" s="20">
        <f>SUM(Registro[[#This Row],[Trim I]],Registro[[#This Row],[Trim II]],Registro[[#This Row],[Trim III]],Registro[[#This Row],[Trim IV]])</f>
        <v>0</v>
      </c>
      <c r="Y1017" s="22">
        <f>IFERROR((Registro[[#This Row],[Avance Total]]/Registro[[#This Row],[Meta]]),0)</f>
        <v>0</v>
      </c>
      <c r="Z1017" s="22">
        <f>IFERROR((Registro[[#This Row],[Avance Total]]-Registro[[#This Row],[Línea Base 2025]])/Registro[[#This Row],[Línea Base 2025]],0)</f>
        <v>-1</v>
      </c>
      <c r="AA1017" s="20">
        <v>2026</v>
      </c>
    </row>
    <row r="1018" spans="1:27" hidden="1">
      <c r="A1018" s="14">
        <v>1079</v>
      </c>
      <c r="B1018" s="15" t="s">
        <v>106</v>
      </c>
      <c r="C1018" s="16">
        <v>113</v>
      </c>
      <c r="D1018" s="16" t="s">
        <v>179</v>
      </c>
      <c r="E1018" s="17" t="s">
        <v>178</v>
      </c>
      <c r="F1018" s="24">
        <v>45</v>
      </c>
      <c r="G1018" s="19">
        <v>342</v>
      </c>
      <c r="H1018" s="19">
        <v>1</v>
      </c>
      <c r="I1018" s="19">
        <v>1</v>
      </c>
      <c r="T1018" s="19">
        <f>Registro[[#This Row],[Mes 1]]+Registro[[#This Row],[Mes 2]]+Registro[[#This Row],[Mes 3]]</f>
        <v>2</v>
      </c>
      <c r="U1018" s="19">
        <f>Registro[[#This Row],[Mes 4]]+Registro[[#This Row],[Mes 5]]+Registro[[#This Row],[Mes 6]]</f>
        <v>0</v>
      </c>
      <c r="V1018" s="19">
        <f>Registro[[#This Row],[Mes 7]]+Registro[[#This Row],[Mes 8]]+Registro[[#This Row],[Mes 9]]</f>
        <v>0</v>
      </c>
      <c r="W1018" s="20">
        <f>Registro[[#This Row],[Mes 10]]+Registro[[#This Row],[Mes 11]]+Registro[[#This Row],[Mes 12]]</f>
        <v>0</v>
      </c>
      <c r="X1018" s="20">
        <f>SUM(Registro[[#This Row],[Trim I]],Registro[[#This Row],[Trim II]],Registro[[#This Row],[Trim III]],Registro[[#This Row],[Trim IV]])</f>
        <v>2</v>
      </c>
      <c r="Y1018" s="22">
        <f>IFERROR((Registro[[#This Row],[Avance Total]]/Registro[[#This Row],[Meta]]),0)</f>
        <v>5.8479532163742687E-3</v>
      </c>
      <c r="Z1018" s="22">
        <f>IFERROR((Registro[[#This Row],[Avance Total]]-Registro[[#This Row],[Línea Base 2025]])/Registro[[#This Row],[Línea Base 2025]],0)</f>
        <v>-0.9555555555555556</v>
      </c>
      <c r="AA1018" s="20">
        <v>2026</v>
      </c>
    </row>
    <row r="1019" spans="1:27" hidden="1">
      <c r="A1019" s="14">
        <v>1079</v>
      </c>
      <c r="B1019" s="15" t="s">
        <v>106</v>
      </c>
      <c r="C1019" s="16">
        <v>114</v>
      </c>
      <c r="D1019" s="16" t="s">
        <v>181</v>
      </c>
      <c r="E1019" s="17" t="s">
        <v>180</v>
      </c>
      <c r="F1019" s="24">
        <v>0</v>
      </c>
      <c r="G1019" s="19">
        <v>21</v>
      </c>
      <c r="H1019" s="19">
        <v>6</v>
      </c>
      <c r="I1019" s="19">
        <v>0</v>
      </c>
      <c r="T1019" s="19">
        <f>Registro[[#This Row],[Mes 1]]+Registro[[#This Row],[Mes 2]]+Registro[[#This Row],[Mes 3]]</f>
        <v>6</v>
      </c>
      <c r="U1019" s="19">
        <f>Registro[[#This Row],[Mes 4]]+Registro[[#This Row],[Mes 5]]+Registro[[#This Row],[Mes 6]]</f>
        <v>0</v>
      </c>
      <c r="V1019" s="19">
        <f>Registro[[#This Row],[Mes 7]]+Registro[[#This Row],[Mes 8]]+Registro[[#This Row],[Mes 9]]</f>
        <v>0</v>
      </c>
      <c r="W1019" s="20">
        <f>Registro[[#This Row],[Mes 10]]+Registro[[#This Row],[Mes 11]]+Registro[[#This Row],[Mes 12]]</f>
        <v>0</v>
      </c>
      <c r="X1019" s="20">
        <f>SUM(Registro[[#This Row],[Trim I]],Registro[[#This Row],[Trim II]],Registro[[#This Row],[Trim III]],Registro[[#This Row],[Trim IV]])</f>
        <v>6</v>
      </c>
      <c r="Y1019" s="22">
        <f>IFERROR((Registro[[#This Row],[Avance Total]]/Registro[[#This Row],[Meta]]),0)</f>
        <v>0.2857142857142857</v>
      </c>
      <c r="Z1019" s="22">
        <f>IFERROR((Registro[[#This Row],[Avance Total]]-Registro[[#This Row],[Línea Base 2025]])/Registro[[#This Row],[Línea Base 2025]],0)</f>
        <v>0</v>
      </c>
      <c r="AA1019" s="20">
        <v>2026</v>
      </c>
    </row>
    <row r="1020" spans="1:27" hidden="1">
      <c r="A1020" s="14">
        <v>1079</v>
      </c>
      <c r="B1020" s="15" t="s">
        <v>106</v>
      </c>
      <c r="C1020" s="16">
        <v>115</v>
      </c>
      <c r="D1020" s="16" t="s">
        <v>183</v>
      </c>
      <c r="E1020" s="17" t="s">
        <v>182</v>
      </c>
      <c r="F1020" s="24">
        <v>8</v>
      </c>
      <c r="G1020" s="19">
        <v>19</v>
      </c>
      <c r="H1020" s="19">
        <v>0</v>
      </c>
      <c r="I1020" s="19">
        <v>0</v>
      </c>
      <c r="T1020" s="19">
        <f>Registro[[#This Row],[Mes 1]]+Registro[[#This Row],[Mes 2]]+Registro[[#This Row],[Mes 3]]</f>
        <v>0</v>
      </c>
      <c r="U1020" s="19">
        <f>Registro[[#This Row],[Mes 4]]+Registro[[#This Row],[Mes 5]]+Registro[[#This Row],[Mes 6]]</f>
        <v>0</v>
      </c>
      <c r="V1020" s="19">
        <f>Registro[[#This Row],[Mes 7]]+Registro[[#This Row],[Mes 8]]+Registro[[#This Row],[Mes 9]]</f>
        <v>0</v>
      </c>
      <c r="W1020" s="20">
        <f>Registro[[#This Row],[Mes 10]]+Registro[[#This Row],[Mes 11]]+Registro[[#This Row],[Mes 12]]</f>
        <v>0</v>
      </c>
      <c r="X1020" s="20">
        <f>SUM(Registro[[#This Row],[Trim I]],Registro[[#This Row],[Trim II]],Registro[[#This Row],[Trim III]],Registro[[#This Row],[Trim IV]])</f>
        <v>0</v>
      </c>
      <c r="Y1020" s="22">
        <f>IFERROR((Registro[[#This Row],[Avance Total]]/Registro[[#This Row],[Meta]]),0)</f>
        <v>0</v>
      </c>
      <c r="Z1020" s="22">
        <f>IFERROR((Registro[[#This Row],[Avance Total]]-Registro[[#This Row],[Línea Base 2025]])/Registro[[#This Row],[Línea Base 2025]],0)</f>
        <v>-1</v>
      </c>
      <c r="AA1020" s="20">
        <v>2026</v>
      </c>
    </row>
    <row r="1021" spans="1:27">
      <c r="A1021" s="14">
        <v>1079</v>
      </c>
      <c r="B1021" s="15" t="s">
        <v>106</v>
      </c>
      <c r="C1021" s="16">
        <v>116</v>
      </c>
      <c r="D1021" s="16" t="s">
        <v>185</v>
      </c>
      <c r="E1021" s="17" t="s">
        <v>184</v>
      </c>
      <c r="F1021" s="24">
        <v>1</v>
      </c>
      <c r="G1021" s="19">
        <v>6</v>
      </c>
      <c r="H1021" s="19">
        <v>0</v>
      </c>
      <c r="I1021" s="19">
        <v>0</v>
      </c>
      <c r="T1021" s="19">
        <f>Registro[[#This Row],[Mes 1]]+Registro[[#This Row],[Mes 2]]+Registro[[#This Row],[Mes 3]]</f>
        <v>0</v>
      </c>
      <c r="U1021" s="19">
        <f>Registro[[#This Row],[Mes 4]]+Registro[[#This Row],[Mes 5]]+Registro[[#This Row],[Mes 6]]</f>
        <v>0</v>
      </c>
      <c r="V1021" s="19">
        <f>Registro[[#This Row],[Mes 7]]+Registro[[#This Row],[Mes 8]]+Registro[[#This Row],[Mes 9]]</f>
        <v>0</v>
      </c>
      <c r="W1021" s="20">
        <f>Registro[[#This Row],[Mes 10]]+Registro[[#This Row],[Mes 11]]+Registro[[#This Row],[Mes 12]]</f>
        <v>0</v>
      </c>
      <c r="X1021" s="20">
        <f>SUM(Registro[[#This Row],[Trim I]],Registro[[#This Row],[Trim II]],Registro[[#This Row],[Trim III]],Registro[[#This Row],[Trim IV]])</f>
        <v>0</v>
      </c>
      <c r="Y1021" s="22">
        <f>IFERROR((Registro[[#This Row],[Avance Total]]/Registro[[#This Row],[Meta]]),0)</f>
        <v>0</v>
      </c>
      <c r="Z1021" s="22">
        <f>IFERROR((Registro[[#This Row],[Avance Total]]-Registro[[#This Row],[Línea Base 2025]])/Registro[[#This Row],[Línea Base 2025]],0)</f>
        <v>-1</v>
      </c>
      <c r="AA1021" s="20">
        <v>2026</v>
      </c>
    </row>
    <row r="1022" spans="1:27" hidden="1">
      <c r="A1022" s="14">
        <v>1079</v>
      </c>
      <c r="B1022" s="15" t="s">
        <v>106</v>
      </c>
      <c r="C1022" s="16">
        <v>117</v>
      </c>
      <c r="D1022" s="16" t="s">
        <v>187</v>
      </c>
      <c r="E1022" s="17" t="s">
        <v>186</v>
      </c>
      <c r="F1022" s="24">
        <v>2</v>
      </c>
      <c r="G1022" s="19">
        <v>6</v>
      </c>
      <c r="H1022" s="19">
        <v>0</v>
      </c>
      <c r="I1022" s="19">
        <v>0</v>
      </c>
      <c r="T1022" s="19">
        <f>Registro[[#This Row],[Mes 1]]+Registro[[#This Row],[Mes 2]]+Registro[[#This Row],[Mes 3]]</f>
        <v>0</v>
      </c>
      <c r="U1022" s="19">
        <f>Registro[[#This Row],[Mes 4]]+Registro[[#This Row],[Mes 5]]+Registro[[#This Row],[Mes 6]]</f>
        <v>0</v>
      </c>
      <c r="V1022" s="19">
        <f>Registro[[#This Row],[Mes 7]]+Registro[[#This Row],[Mes 8]]+Registro[[#This Row],[Mes 9]]</f>
        <v>0</v>
      </c>
      <c r="W1022" s="20">
        <f>Registro[[#This Row],[Mes 10]]+Registro[[#This Row],[Mes 11]]+Registro[[#This Row],[Mes 12]]</f>
        <v>0</v>
      </c>
      <c r="X1022" s="20">
        <f>SUM(Registro[[#This Row],[Trim I]],Registro[[#This Row],[Trim II]],Registro[[#This Row],[Trim III]],Registro[[#This Row],[Trim IV]])</f>
        <v>0</v>
      </c>
      <c r="Y1022" s="22">
        <f>IFERROR((Registro[[#This Row],[Avance Total]]/Registro[[#This Row],[Meta]]),0)</f>
        <v>0</v>
      </c>
      <c r="Z1022" s="22">
        <f>IFERROR((Registro[[#This Row],[Avance Total]]-Registro[[#This Row],[Línea Base 2025]])/Registro[[#This Row],[Línea Base 2025]],0)</f>
        <v>-1</v>
      </c>
      <c r="AA1022" s="20">
        <v>2026</v>
      </c>
    </row>
    <row r="1023" spans="1:27" hidden="1">
      <c r="A1023" s="14">
        <v>1079</v>
      </c>
      <c r="B1023" s="15" t="s">
        <v>106</v>
      </c>
      <c r="C1023" s="16">
        <v>118</v>
      </c>
      <c r="D1023" s="16" t="s">
        <v>188</v>
      </c>
      <c r="E1023" s="17" t="s">
        <v>9</v>
      </c>
      <c r="F1023" s="24">
        <v>0</v>
      </c>
      <c r="G1023" s="19">
        <v>2</v>
      </c>
      <c r="H1023" s="19">
        <v>0</v>
      </c>
      <c r="I1023" s="19">
        <v>0</v>
      </c>
      <c r="T1023" s="19">
        <f>Registro[[#This Row],[Mes 1]]+Registro[[#This Row],[Mes 2]]+Registro[[#This Row],[Mes 3]]</f>
        <v>0</v>
      </c>
      <c r="U1023" s="19">
        <f>Registro[[#This Row],[Mes 4]]+Registro[[#This Row],[Mes 5]]+Registro[[#This Row],[Mes 6]]</f>
        <v>0</v>
      </c>
      <c r="V1023" s="19">
        <f>Registro[[#This Row],[Mes 7]]+Registro[[#This Row],[Mes 8]]+Registro[[#This Row],[Mes 9]]</f>
        <v>0</v>
      </c>
      <c r="W1023" s="20">
        <f>Registro[[#This Row],[Mes 10]]+Registro[[#This Row],[Mes 11]]+Registro[[#This Row],[Mes 12]]</f>
        <v>0</v>
      </c>
      <c r="X1023" s="20">
        <f>SUM(Registro[[#This Row],[Trim I]],Registro[[#This Row],[Trim II]],Registro[[#This Row],[Trim III]],Registro[[#This Row],[Trim IV]])</f>
        <v>0</v>
      </c>
      <c r="Y1023" s="22">
        <f>IFERROR((Registro[[#This Row],[Avance Total]]/Registro[[#This Row],[Meta]]),0)</f>
        <v>0</v>
      </c>
      <c r="Z1023" s="22">
        <f>IFERROR((Registro[[#This Row],[Avance Total]]-Registro[[#This Row],[Línea Base 2025]])/Registro[[#This Row],[Línea Base 2025]],0)</f>
        <v>0</v>
      </c>
      <c r="AA1023" s="20">
        <v>2026</v>
      </c>
    </row>
    <row r="1024" spans="1:27" hidden="1">
      <c r="A1024" s="14">
        <v>1079</v>
      </c>
      <c r="B1024" s="15" t="s">
        <v>106</v>
      </c>
      <c r="C1024" s="16">
        <v>119</v>
      </c>
      <c r="D1024" s="16" t="s">
        <v>190</v>
      </c>
      <c r="E1024" s="17" t="s">
        <v>189</v>
      </c>
      <c r="F1024" s="24">
        <v>0</v>
      </c>
      <c r="G1024" s="19">
        <v>5</v>
      </c>
      <c r="H1024" s="19">
        <v>0</v>
      </c>
      <c r="I1024" s="19">
        <v>0</v>
      </c>
      <c r="T1024" s="19">
        <f>Registro[[#This Row],[Mes 1]]+Registro[[#This Row],[Mes 2]]+Registro[[#This Row],[Mes 3]]</f>
        <v>0</v>
      </c>
      <c r="U1024" s="19">
        <f>Registro[[#This Row],[Mes 4]]+Registro[[#This Row],[Mes 5]]+Registro[[#This Row],[Mes 6]]</f>
        <v>0</v>
      </c>
      <c r="V1024" s="19">
        <f>Registro[[#This Row],[Mes 7]]+Registro[[#This Row],[Mes 8]]+Registro[[#This Row],[Mes 9]]</f>
        <v>0</v>
      </c>
      <c r="W1024" s="20">
        <f>Registro[[#This Row],[Mes 10]]+Registro[[#This Row],[Mes 11]]+Registro[[#This Row],[Mes 12]]</f>
        <v>0</v>
      </c>
      <c r="X1024" s="20">
        <f>SUM(Registro[[#This Row],[Trim I]],Registro[[#This Row],[Trim II]],Registro[[#This Row],[Trim III]],Registro[[#This Row],[Trim IV]])</f>
        <v>0</v>
      </c>
      <c r="Y1024" s="22">
        <f>IFERROR((Registro[[#This Row],[Avance Total]]/Registro[[#This Row],[Meta]]),0)</f>
        <v>0</v>
      </c>
      <c r="Z1024" s="22">
        <f>IFERROR((Registro[[#This Row],[Avance Total]]-Registro[[#This Row],[Línea Base 2025]])/Registro[[#This Row],[Línea Base 2025]],0)</f>
        <v>0</v>
      </c>
      <c r="AA1024" s="20">
        <v>2026</v>
      </c>
    </row>
    <row r="1025" spans="1:27" hidden="1">
      <c r="A1025" s="14">
        <v>1079</v>
      </c>
      <c r="B1025" s="15" t="s">
        <v>106</v>
      </c>
      <c r="C1025" s="16">
        <v>120</v>
      </c>
      <c r="D1025" s="16" t="s">
        <v>192</v>
      </c>
      <c r="E1025" s="17" t="s">
        <v>191</v>
      </c>
      <c r="F1025" s="24">
        <v>12</v>
      </c>
      <c r="G1025" s="19">
        <v>48</v>
      </c>
      <c r="H1025" s="19">
        <v>0</v>
      </c>
      <c r="I1025" s="19">
        <v>0</v>
      </c>
      <c r="T1025" s="19">
        <f>Registro[[#This Row],[Mes 1]]+Registro[[#This Row],[Mes 2]]+Registro[[#This Row],[Mes 3]]</f>
        <v>0</v>
      </c>
      <c r="U1025" s="19">
        <f>Registro[[#This Row],[Mes 4]]+Registro[[#This Row],[Mes 5]]+Registro[[#This Row],[Mes 6]]</f>
        <v>0</v>
      </c>
      <c r="V1025" s="19">
        <f>Registro[[#This Row],[Mes 7]]+Registro[[#This Row],[Mes 8]]+Registro[[#This Row],[Mes 9]]</f>
        <v>0</v>
      </c>
      <c r="W1025" s="20">
        <f>Registro[[#This Row],[Mes 10]]+Registro[[#This Row],[Mes 11]]+Registro[[#This Row],[Mes 12]]</f>
        <v>0</v>
      </c>
      <c r="X1025" s="20">
        <f>SUM(Registro[[#This Row],[Trim I]],Registro[[#This Row],[Trim II]],Registro[[#This Row],[Trim III]],Registro[[#This Row],[Trim IV]])</f>
        <v>0</v>
      </c>
      <c r="Y1025" s="22">
        <f>IFERROR((Registro[[#This Row],[Avance Total]]/Registro[[#This Row],[Meta]]),0)</f>
        <v>0</v>
      </c>
      <c r="Z1025" s="22">
        <f>IFERROR((Registro[[#This Row],[Avance Total]]-Registro[[#This Row],[Línea Base 2025]])/Registro[[#This Row],[Línea Base 2025]],0)</f>
        <v>-1</v>
      </c>
      <c r="AA1025" s="20">
        <v>2026</v>
      </c>
    </row>
    <row r="1026" spans="1:27" hidden="1">
      <c r="A1026" s="14">
        <v>1079</v>
      </c>
      <c r="B1026" s="15" t="s">
        <v>106</v>
      </c>
      <c r="C1026" s="16">
        <v>121</v>
      </c>
      <c r="D1026" s="16" t="s">
        <v>194</v>
      </c>
      <c r="E1026" s="17" t="s">
        <v>193</v>
      </c>
      <c r="F1026" s="24">
        <v>0</v>
      </c>
      <c r="G1026" s="19">
        <v>7</v>
      </c>
      <c r="H1026" s="19">
        <v>0</v>
      </c>
      <c r="I1026" s="19">
        <v>0</v>
      </c>
      <c r="T1026" s="19">
        <f>Registro[[#This Row],[Mes 1]]+Registro[[#This Row],[Mes 2]]+Registro[[#This Row],[Mes 3]]</f>
        <v>0</v>
      </c>
      <c r="U1026" s="19">
        <f>Registro[[#This Row],[Mes 4]]+Registro[[#This Row],[Mes 5]]+Registro[[#This Row],[Mes 6]]</f>
        <v>0</v>
      </c>
      <c r="V1026" s="19">
        <f>Registro[[#This Row],[Mes 7]]+Registro[[#This Row],[Mes 8]]+Registro[[#This Row],[Mes 9]]</f>
        <v>0</v>
      </c>
      <c r="W1026" s="20">
        <f>Registro[[#This Row],[Mes 10]]+Registro[[#This Row],[Mes 11]]+Registro[[#This Row],[Mes 12]]</f>
        <v>0</v>
      </c>
      <c r="X1026" s="20">
        <f>SUM(Registro[[#This Row],[Trim I]],Registro[[#This Row],[Trim II]],Registro[[#This Row],[Trim III]],Registro[[#This Row],[Trim IV]])</f>
        <v>0</v>
      </c>
      <c r="Y1026" s="22">
        <f>IFERROR((Registro[[#This Row],[Avance Total]]/Registro[[#This Row],[Meta]]),0)</f>
        <v>0</v>
      </c>
      <c r="Z1026" s="22">
        <f>IFERROR((Registro[[#This Row],[Avance Total]]-Registro[[#This Row],[Línea Base 2025]])/Registro[[#This Row],[Línea Base 2025]],0)</f>
        <v>0</v>
      </c>
      <c r="AA1026" s="20">
        <v>2026</v>
      </c>
    </row>
    <row r="1027" spans="1:27" hidden="1">
      <c r="A1027" s="14">
        <v>1079</v>
      </c>
      <c r="B1027" s="15" t="s">
        <v>106</v>
      </c>
      <c r="C1027" s="16">
        <v>122</v>
      </c>
      <c r="D1027" s="16" t="s">
        <v>196</v>
      </c>
      <c r="E1027" s="17" t="s">
        <v>195</v>
      </c>
      <c r="F1027" s="24">
        <v>2</v>
      </c>
      <c r="G1027" s="19">
        <v>7</v>
      </c>
      <c r="H1027" s="19">
        <v>0</v>
      </c>
      <c r="I1027" s="19">
        <v>0</v>
      </c>
      <c r="T1027" s="19">
        <f>Registro[[#This Row],[Mes 1]]+Registro[[#This Row],[Mes 2]]+Registro[[#This Row],[Mes 3]]</f>
        <v>0</v>
      </c>
      <c r="U1027" s="19">
        <f>Registro[[#This Row],[Mes 4]]+Registro[[#This Row],[Mes 5]]+Registro[[#This Row],[Mes 6]]</f>
        <v>0</v>
      </c>
      <c r="V1027" s="19">
        <f>Registro[[#This Row],[Mes 7]]+Registro[[#This Row],[Mes 8]]+Registro[[#This Row],[Mes 9]]</f>
        <v>0</v>
      </c>
      <c r="W1027" s="20">
        <f>Registro[[#This Row],[Mes 10]]+Registro[[#This Row],[Mes 11]]+Registro[[#This Row],[Mes 12]]</f>
        <v>0</v>
      </c>
      <c r="X1027" s="20">
        <f>SUM(Registro[[#This Row],[Trim I]],Registro[[#This Row],[Trim II]],Registro[[#This Row],[Trim III]],Registro[[#This Row],[Trim IV]])</f>
        <v>0</v>
      </c>
      <c r="Y1027" s="22">
        <f>IFERROR((Registro[[#This Row],[Avance Total]]/Registro[[#This Row],[Meta]]),0)</f>
        <v>0</v>
      </c>
      <c r="Z1027" s="22">
        <f>IFERROR((Registro[[#This Row],[Avance Total]]-Registro[[#This Row],[Línea Base 2025]])/Registro[[#This Row],[Línea Base 2025]],0)</f>
        <v>-1</v>
      </c>
      <c r="AA1027" s="20">
        <v>2026</v>
      </c>
    </row>
    <row r="1028" spans="1:27" hidden="1">
      <c r="A1028" s="14">
        <v>1079</v>
      </c>
      <c r="B1028" s="15" t="s">
        <v>106</v>
      </c>
      <c r="C1028" s="16">
        <v>123</v>
      </c>
      <c r="D1028" s="16" t="s">
        <v>198</v>
      </c>
      <c r="E1028" s="17" t="s">
        <v>197</v>
      </c>
      <c r="F1028" s="24">
        <v>0</v>
      </c>
      <c r="G1028" s="19">
        <v>9</v>
      </c>
      <c r="H1028" s="19">
        <v>0</v>
      </c>
      <c r="I1028" s="19">
        <v>0</v>
      </c>
      <c r="T1028" s="19">
        <f>Registro[[#This Row],[Mes 1]]+Registro[[#This Row],[Mes 2]]+Registro[[#This Row],[Mes 3]]</f>
        <v>0</v>
      </c>
      <c r="U1028" s="19">
        <f>Registro[[#This Row],[Mes 4]]+Registro[[#This Row],[Mes 5]]+Registro[[#This Row],[Mes 6]]</f>
        <v>0</v>
      </c>
      <c r="V1028" s="19">
        <f>Registro[[#This Row],[Mes 7]]+Registro[[#This Row],[Mes 8]]+Registro[[#This Row],[Mes 9]]</f>
        <v>0</v>
      </c>
      <c r="W1028" s="20">
        <f>Registro[[#This Row],[Mes 10]]+Registro[[#This Row],[Mes 11]]+Registro[[#This Row],[Mes 12]]</f>
        <v>0</v>
      </c>
      <c r="X1028" s="20">
        <f>SUM(Registro[[#This Row],[Trim I]],Registro[[#This Row],[Trim II]],Registro[[#This Row],[Trim III]],Registro[[#This Row],[Trim IV]])</f>
        <v>0</v>
      </c>
      <c r="Y1028" s="22">
        <f>IFERROR((Registro[[#This Row],[Avance Total]]/Registro[[#This Row],[Meta]]),0)</f>
        <v>0</v>
      </c>
      <c r="Z1028" s="22">
        <f>IFERROR((Registro[[#This Row],[Avance Total]]-Registro[[#This Row],[Línea Base 2025]])/Registro[[#This Row],[Línea Base 2025]],0)</f>
        <v>0</v>
      </c>
      <c r="AA1028" s="20">
        <v>2026</v>
      </c>
    </row>
    <row r="1029" spans="1:27" hidden="1">
      <c r="A1029" s="14">
        <v>1080</v>
      </c>
      <c r="B1029" s="15" t="s">
        <v>13</v>
      </c>
      <c r="C1029" s="16">
        <v>111</v>
      </c>
      <c r="D1029" s="16" t="s">
        <v>171</v>
      </c>
      <c r="E1029" s="17" t="s">
        <v>172</v>
      </c>
      <c r="F1029" s="24">
        <v>2</v>
      </c>
      <c r="G1029" s="19">
        <v>173</v>
      </c>
      <c r="H1029" s="19">
        <v>2</v>
      </c>
      <c r="I1029" s="19">
        <v>9</v>
      </c>
      <c r="T1029" s="19">
        <f>Registro[[#This Row],[Mes 1]]+Registro[[#This Row],[Mes 2]]+Registro[[#This Row],[Mes 3]]</f>
        <v>11</v>
      </c>
      <c r="U1029" s="19">
        <f>Registro[[#This Row],[Mes 4]]+Registro[[#This Row],[Mes 5]]+Registro[[#This Row],[Mes 6]]</f>
        <v>0</v>
      </c>
      <c r="V1029" s="19">
        <f>Registro[[#This Row],[Mes 7]]+Registro[[#This Row],[Mes 8]]+Registro[[#This Row],[Mes 9]]</f>
        <v>0</v>
      </c>
      <c r="W1029" s="20">
        <f>Registro[[#This Row],[Mes 10]]+Registro[[#This Row],[Mes 11]]+Registro[[#This Row],[Mes 12]]</f>
        <v>0</v>
      </c>
      <c r="X1029" s="20">
        <f>SUM(Registro[[#This Row],[Trim I]],Registro[[#This Row],[Trim II]],Registro[[#This Row],[Trim III]],Registro[[#This Row],[Trim IV]])</f>
        <v>11</v>
      </c>
      <c r="Y1029" s="22">
        <f>IFERROR((Registro[[#This Row],[Avance Total]]/Registro[[#This Row],[Meta]]),0)</f>
        <v>6.358381502890173E-2</v>
      </c>
      <c r="Z1029" s="22">
        <f>IFERROR((Registro[[#This Row],[Avance Total]]-Registro[[#This Row],[Línea Base 2025]])/Registro[[#This Row],[Línea Base 2025]],0)</f>
        <v>4.5</v>
      </c>
      <c r="AA1029" s="20">
        <v>2026</v>
      </c>
    </row>
    <row r="1030" spans="1:27" hidden="1">
      <c r="A1030" s="14">
        <v>1080</v>
      </c>
      <c r="B1030" s="15" t="s">
        <v>13</v>
      </c>
      <c r="C1030" s="16">
        <v>112</v>
      </c>
      <c r="D1030" s="16" t="s">
        <v>173</v>
      </c>
      <c r="E1030" s="17" t="s">
        <v>7</v>
      </c>
      <c r="F1030" s="24">
        <v>0</v>
      </c>
      <c r="G1030" s="19">
        <v>7</v>
      </c>
      <c r="H1030" s="19">
        <v>0</v>
      </c>
      <c r="I1030" s="19">
        <v>0</v>
      </c>
      <c r="T1030" s="19">
        <f>Registro[[#This Row],[Mes 1]]+Registro[[#This Row],[Mes 2]]+Registro[[#This Row],[Mes 3]]</f>
        <v>0</v>
      </c>
      <c r="U1030" s="19">
        <f>Registro[[#This Row],[Mes 4]]+Registro[[#This Row],[Mes 5]]+Registro[[#This Row],[Mes 6]]</f>
        <v>0</v>
      </c>
      <c r="V1030" s="19">
        <f>Registro[[#This Row],[Mes 7]]+Registro[[#This Row],[Mes 8]]+Registro[[#This Row],[Mes 9]]</f>
        <v>0</v>
      </c>
      <c r="W1030" s="20">
        <f>Registro[[#This Row],[Mes 10]]+Registro[[#This Row],[Mes 11]]+Registro[[#This Row],[Mes 12]]</f>
        <v>0</v>
      </c>
      <c r="X1030" s="20">
        <f>SUM(Registro[[#This Row],[Trim I]],Registro[[#This Row],[Trim II]],Registro[[#This Row],[Trim III]],Registro[[#This Row],[Trim IV]])</f>
        <v>0</v>
      </c>
      <c r="Y1030" s="22">
        <f>IFERROR((Registro[[#This Row],[Avance Total]]/Registro[[#This Row],[Meta]]),0)</f>
        <v>0</v>
      </c>
      <c r="Z1030" s="22">
        <f>IFERROR((Registro[[#This Row],[Avance Total]]-Registro[[#This Row],[Línea Base 2025]])/Registro[[#This Row],[Línea Base 2025]],0)</f>
        <v>0</v>
      </c>
      <c r="AA1030" s="20">
        <v>2026</v>
      </c>
    </row>
    <row r="1031" spans="1:27" hidden="1">
      <c r="A1031" s="14">
        <v>1080</v>
      </c>
      <c r="B1031" s="15" t="s">
        <v>13</v>
      </c>
      <c r="C1031" s="16">
        <v>113</v>
      </c>
      <c r="D1031" s="16" t="s">
        <v>179</v>
      </c>
      <c r="E1031" s="17" t="s">
        <v>178</v>
      </c>
      <c r="F1031" s="24">
        <v>9</v>
      </c>
      <c r="G1031" s="19">
        <v>106</v>
      </c>
      <c r="H1031" s="19">
        <v>1</v>
      </c>
      <c r="I1031" s="19">
        <v>1</v>
      </c>
      <c r="T1031" s="19">
        <f>Registro[[#This Row],[Mes 1]]+Registro[[#This Row],[Mes 2]]+Registro[[#This Row],[Mes 3]]</f>
        <v>2</v>
      </c>
      <c r="U1031" s="19">
        <f>Registro[[#This Row],[Mes 4]]+Registro[[#This Row],[Mes 5]]+Registro[[#This Row],[Mes 6]]</f>
        <v>0</v>
      </c>
      <c r="V1031" s="19">
        <f>Registro[[#This Row],[Mes 7]]+Registro[[#This Row],[Mes 8]]+Registro[[#This Row],[Mes 9]]</f>
        <v>0</v>
      </c>
      <c r="W1031" s="20">
        <f>Registro[[#This Row],[Mes 10]]+Registro[[#This Row],[Mes 11]]+Registro[[#This Row],[Mes 12]]</f>
        <v>0</v>
      </c>
      <c r="X1031" s="20">
        <f>SUM(Registro[[#This Row],[Trim I]],Registro[[#This Row],[Trim II]],Registro[[#This Row],[Trim III]],Registro[[#This Row],[Trim IV]])</f>
        <v>2</v>
      </c>
      <c r="Y1031" s="22">
        <f>IFERROR((Registro[[#This Row],[Avance Total]]/Registro[[#This Row],[Meta]]),0)</f>
        <v>1.8867924528301886E-2</v>
      </c>
      <c r="Z1031" s="22">
        <f>IFERROR((Registro[[#This Row],[Avance Total]]-Registro[[#This Row],[Línea Base 2025]])/Registro[[#This Row],[Línea Base 2025]],0)</f>
        <v>-0.77777777777777779</v>
      </c>
      <c r="AA1031" s="20">
        <v>2026</v>
      </c>
    </row>
    <row r="1032" spans="1:27" hidden="1">
      <c r="A1032" s="14">
        <v>1080</v>
      </c>
      <c r="B1032" s="15" t="s">
        <v>13</v>
      </c>
      <c r="C1032" s="16">
        <v>114</v>
      </c>
      <c r="D1032" s="16" t="s">
        <v>181</v>
      </c>
      <c r="E1032" s="17" t="s">
        <v>180</v>
      </c>
      <c r="F1032" s="24">
        <v>0</v>
      </c>
      <c r="G1032" s="19">
        <v>0</v>
      </c>
      <c r="H1032" s="19">
        <v>3</v>
      </c>
      <c r="I1032" s="19">
        <v>0</v>
      </c>
      <c r="T1032" s="19">
        <f>Registro[[#This Row],[Mes 1]]+Registro[[#This Row],[Mes 2]]+Registro[[#This Row],[Mes 3]]</f>
        <v>3</v>
      </c>
      <c r="U1032" s="19">
        <f>Registro[[#This Row],[Mes 4]]+Registro[[#This Row],[Mes 5]]+Registro[[#This Row],[Mes 6]]</f>
        <v>0</v>
      </c>
      <c r="V1032" s="19">
        <f>Registro[[#This Row],[Mes 7]]+Registro[[#This Row],[Mes 8]]+Registro[[#This Row],[Mes 9]]</f>
        <v>0</v>
      </c>
      <c r="W1032" s="20">
        <f>Registro[[#This Row],[Mes 10]]+Registro[[#This Row],[Mes 11]]+Registro[[#This Row],[Mes 12]]</f>
        <v>0</v>
      </c>
      <c r="X1032" s="20">
        <f>SUM(Registro[[#This Row],[Trim I]],Registro[[#This Row],[Trim II]],Registro[[#This Row],[Trim III]],Registro[[#This Row],[Trim IV]])</f>
        <v>3</v>
      </c>
      <c r="Y1032" s="22">
        <f>IFERROR((Registro[[#This Row],[Avance Total]]/Registro[[#This Row],[Meta]]),0)</f>
        <v>0</v>
      </c>
      <c r="Z1032" s="22">
        <f>IFERROR((Registro[[#This Row],[Avance Total]]-Registro[[#This Row],[Línea Base 2025]])/Registro[[#This Row],[Línea Base 2025]],0)</f>
        <v>0</v>
      </c>
      <c r="AA1032" s="20">
        <v>2026</v>
      </c>
    </row>
    <row r="1033" spans="1:27" hidden="1">
      <c r="A1033" s="14">
        <v>1080</v>
      </c>
      <c r="B1033" s="15" t="s">
        <v>13</v>
      </c>
      <c r="C1033" s="16">
        <v>115</v>
      </c>
      <c r="D1033" s="16" t="s">
        <v>183</v>
      </c>
      <c r="E1033" s="17" t="s">
        <v>182</v>
      </c>
      <c r="F1033" s="24">
        <v>0</v>
      </c>
      <c r="G1033" s="19">
        <v>0</v>
      </c>
      <c r="H1033" s="19">
        <v>0</v>
      </c>
      <c r="I1033" s="19">
        <v>0</v>
      </c>
      <c r="T1033" s="19">
        <f>Registro[[#This Row],[Mes 1]]+Registro[[#This Row],[Mes 2]]+Registro[[#This Row],[Mes 3]]</f>
        <v>0</v>
      </c>
      <c r="U1033" s="19">
        <f>Registro[[#This Row],[Mes 4]]+Registro[[#This Row],[Mes 5]]+Registro[[#This Row],[Mes 6]]</f>
        <v>0</v>
      </c>
      <c r="V1033" s="19">
        <f>Registro[[#This Row],[Mes 7]]+Registro[[#This Row],[Mes 8]]+Registro[[#This Row],[Mes 9]]</f>
        <v>0</v>
      </c>
      <c r="W1033" s="20">
        <f>Registro[[#This Row],[Mes 10]]+Registro[[#This Row],[Mes 11]]+Registro[[#This Row],[Mes 12]]</f>
        <v>0</v>
      </c>
      <c r="X1033" s="20">
        <f>SUM(Registro[[#This Row],[Trim I]],Registro[[#This Row],[Trim II]],Registro[[#This Row],[Trim III]],Registro[[#This Row],[Trim IV]])</f>
        <v>0</v>
      </c>
      <c r="Y1033" s="22">
        <f>IFERROR((Registro[[#This Row],[Avance Total]]/Registro[[#This Row],[Meta]]),0)</f>
        <v>0</v>
      </c>
      <c r="Z1033" s="22">
        <f>IFERROR((Registro[[#This Row],[Avance Total]]-Registro[[#This Row],[Línea Base 2025]])/Registro[[#This Row],[Línea Base 2025]],0)</f>
        <v>0</v>
      </c>
      <c r="AA1033" s="20">
        <v>2026</v>
      </c>
    </row>
    <row r="1034" spans="1:27">
      <c r="A1034" s="14">
        <v>1080</v>
      </c>
      <c r="B1034" s="15" t="s">
        <v>13</v>
      </c>
      <c r="C1034" s="16">
        <v>116</v>
      </c>
      <c r="D1034" s="16" t="s">
        <v>185</v>
      </c>
      <c r="E1034" s="17" t="s">
        <v>184</v>
      </c>
      <c r="F1034" s="24">
        <v>1</v>
      </c>
      <c r="G1034" s="19">
        <v>1</v>
      </c>
      <c r="H1034" s="19">
        <v>0</v>
      </c>
      <c r="I1034" s="19">
        <v>0</v>
      </c>
      <c r="T1034" s="19">
        <f>Registro[[#This Row],[Mes 1]]+Registro[[#This Row],[Mes 2]]+Registro[[#This Row],[Mes 3]]</f>
        <v>0</v>
      </c>
      <c r="U1034" s="19">
        <f>Registro[[#This Row],[Mes 4]]+Registro[[#This Row],[Mes 5]]+Registro[[#This Row],[Mes 6]]</f>
        <v>0</v>
      </c>
      <c r="V1034" s="19">
        <f>Registro[[#This Row],[Mes 7]]+Registro[[#This Row],[Mes 8]]+Registro[[#This Row],[Mes 9]]</f>
        <v>0</v>
      </c>
      <c r="W1034" s="20">
        <f>Registro[[#This Row],[Mes 10]]+Registro[[#This Row],[Mes 11]]+Registro[[#This Row],[Mes 12]]</f>
        <v>0</v>
      </c>
      <c r="X1034" s="20">
        <f>SUM(Registro[[#This Row],[Trim I]],Registro[[#This Row],[Trim II]],Registro[[#This Row],[Trim III]],Registro[[#This Row],[Trim IV]])</f>
        <v>0</v>
      </c>
      <c r="Y1034" s="22">
        <f>IFERROR((Registro[[#This Row],[Avance Total]]/Registro[[#This Row],[Meta]]),0)</f>
        <v>0</v>
      </c>
      <c r="Z1034" s="22">
        <f>IFERROR((Registro[[#This Row],[Avance Total]]-Registro[[#This Row],[Línea Base 2025]])/Registro[[#This Row],[Línea Base 2025]],0)</f>
        <v>-1</v>
      </c>
      <c r="AA1034" s="20">
        <v>2026</v>
      </c>
    </row>
    <row r="1035" spans="1:27" hidden="1">
      <c r="A1035" s="14">
        <v>1080</v>
      </c>
      <c r="B1035" s="15" t="s">
        <v>13</v>
      </c>
      <c r="C1035" s="16">
        <v>117</v>
      </c>
      <c r="D1035" s="16" t="s">
        <v>187</v>
      </c>
      <c r="E1035" s="17" t="s">
        <v>186</v>
      </c>
      <c r="F1035" s="24">
        <v>1</v>
      </c>
      <c r="G1035" s="19">
        <v>0</v>
      </c>
      <c r="H1035" s="19">
        <v>0</v>
      </c>
      <c r="I1035" s="19">
        <v>0</v>
      </c>
      <c r="T1035" s="19">
        <f>Registro[[#This Row],[Mes 1]]+Registro[[#This Row],[Mes 2]]+Registro[[#This Row],[Mes 3]]</f>
        <v>0</v>
      </c>
      <c r="U1035" s="19">
        <f>Registro[[#This Row],[Mes 4]]+Registro[[#This Row],[Mes 5]]+Registro[[#This Row],[Mes 6]]</f>
        <v>0</v>
      </c>
      <c r="V1035" s="19">
        <f>Registro[[#This Row],[Mes 7]]+Registro[[#This Row],[Mes 8]]+Registro[[#This Row],[Mes 9]]</f>
        <v>0</v>
      </c>
      <c r="W1035" s="20">
        <f>Registro[[#This Row],[Mes 10]]+Registro[[#This Row],[Mes 11]]+Registro[[#This Row],[Mes 12]]</f>
        <v>0</v>
      </c>
      <c r="X1035" s="20">
        <f>SUM(Registro[[#This Row],[Trim I]],Registro[[#This Row],[Trim II]],Registro[[#This Row],[Trim III]],Registro[[#This Row],[Trim IV]])</f>
        <v>0</v>
      </c>
      <c r="Y1035" s="22">
        <f>IFERROR((Registro[[#This Row],[Avance Total]]/Registro[[#This Row],[Meta]]),0)</f>
        <v>0</v>
      </c>
      <c r="Z1035" s="22">
        <f>IFERROR((Registro[[#This Row],[Avance Total]]-Registro[[#This Row],[Línea Base 2025]])/Registro[[#This Row],[Línea Base 2025]],0)</f>
        <v>-1</v>
      </c>
      <c r="AA1035" s="20">
        <v>2026</v>
      </c>
    </row>
    <row r="1036" spans="1:27" hidden="1">
      <c r="A1036" s="14">
        <v>1080</v>
      </c>
      <c r="B1036" s="15" t="s">
        <v>13</v>
      </c>
      <c r="C1036" s="16">
        <v>118</v>
      </c>
      <c r="D1036" s="16" t="s">
        <v>188</v>
      </c>
      <c r="E1036" s="17" t="s">
        <v>9</v>
      </c>
      <c r="F1036" s="24">
        <v>0</v>
      </c>
      <c r="G1036" s="19">
        <v>0</v>
      </c>
      <c r="H1036" s="19">
        <v>0</v>
      </c>
      <c r="I1036" s="19">
        <v>0</v>
      </c>
      <c r="T1036" s="19">
        <f>Registro[[#This Row],[Mes 1]]+Registro[[#This Row],[Mes 2]]+Registro[[#This Row],[Mes 3]]</f>
        <v>0</v>
      </c>
      <c r="U1036" s="19">
        <f>Registro[[#This Row],[Mes 4]]+Registro[[#This Row],[Mes 5]]+Registro[[#This Row],[Mes 6]]</f>
        <v>0</v>
      </c>
      <c r="V1036" s="19">
        <f>Registro[[#This Row],[Mes 7]]+Registro[[#This Row],[Mes 8]]+Registro[[#This Row],[Mes 9]]</f>
        <v>0</v>
      </c>
      <c r="W1036" s="20">
        <f>Registro[[#This Row],[Mes 10]]+Registro[[#This Row],[Mes 11]]+Registro[[#This Row],[Mes 12]]</f>
        <v>0</v>
      </c>
      <c r="X1036" s="20">
        <f>SUM(Registro[[#This Row],[Trim I]],Registro[[#This Row],[Trim II]],Registro[[#This Row],[Trim III]],Registro[[#This Row],[Trim IV]])</f>
        <v>0</v>
      </c>
      <c r="Y1036" s="22">
        <f>IFERROR((Registro[[#This Row],[Avance Total]]/Registro[[#This Row],[Meta]]),0)</f>
        <v>0</v>
      </c>
      <c r="Z1036" s="22">
        <f>IFERROR((Registro[[#This Row],[Avance Total]]-Registro[[#This Row],[Línea Base 2025]])/Registro[[#This Row],[Línea Base 2025]],0)</f>
        <v>0</v>
      </c>
      <c r="AA1036" s="20">
        <v>2026</v>
      </c>
    </row>
    <row r="1037" spans="1:27" hidden="1">
      <c r="A1037" s="14">
        <v>1080</v>
      </c>
      <c r="B1037" s="15" t="s">
        <v>13</v>
      </c>
      <c r="C1037" s="16">
        <v>119</v>
      </c>
      <c r="D1037" s="16" t="s">
        <v>190</v>
      </c>
      <c r="E1037" s="17" t="s">
        <v>189</v>
      </c>
      <c r="F1037" s="24">
        <v>0</v>
      </c>
      <c r="G1037" s="19">
        <v>1</v>
      </c>
      <c r="H1037" s="19">
        <v>0</v>
      </c>
      <c r="I1037" s="19">
        <v>0</v>
      </c>
      <c r="T1037" s="19">
        <f>Registro[[#This Row],[Mes 1]]+Registro[[#This Row],[Mes 2]]+Registro[[#This Row],[Mes 3]]</f>
        <v>0</v>
      </c>
      <c r="U1037" s="19">
        <f>Registro[[#This Row],[Mes 4]]+Registro[[#This Row],[Mes 5]]+Registro[[#This Row],[Mes 6]]</f>
        <v>0</v>
      </c>
      <c r="V1037" s="19">
        <f>Registro[[#This Row],[Mes 7]]+Registro[[#This Row],[Mes 8]]+Registro[[#This Row],[Mes 9]]</f>
        <v>0</v>
      </c>
      <c r="W1037" s="20">
        <f>Registro[[#This Row],[Mes 10]]+Registro[[#This Row],[Mes 11]]+Registro[[#This Row],[Mes 12]]</f>
        <v>0</v>
      </c>
      <c r="X1037" s="20">
        <f>SUM(Registro[[#This Row],[Trim I]],Registro[[#This Row],[Trim II]],Registro[[#This Row],[Trim III]],Registro[[#This Row],[Trim IV]])</f>
        <v>0</v>
      </c>
      <c r="Y1037" s="22">
        <f>IFERROR((Registro[[#This Row],[Avance Total]]/Registro[[#This Row],[Meta]]),0)</f>
        <v>0</v>
      </c>
      <c r="Z1037" s="22">
        <f>IFERROR((Registro[[#This Row],[Avance Total]]-Registro[[#This Row],[Línea Base 2025]])/Registro[[#This Row],[Línea Base 2025]],0)</f>
        <v>0</v>
      </c>
      <c r="AA1037" s="20">
        <v>2026</v>
      </c>
    </row>
    <row r="1038" spans="1:27" hidden="1">
      <c r="A1038" s="14">
        <v>1080</v>
      </c>
      <c r="B1038" s="15" t="s">
        <v>13</v>
      </c>
      <c r="C1038" s="16">
        <v>120</v>
      </c>
      <c r="D1038" s="16" t="s">
        <v>192</v>
      </c>
      <c r="E1038" s="17" t="s">
        <v>191</v>
      </c>
      <c r="F1038" s="24">
        <v>0</v>
      </c>
      <c r="G1038" s="19">
        <v>0</v>
      </c>
      <c r="H1038" s="19">
        <v>0</v>
      </c>
      <c r="I1038" s="19">
        <v>0</v>
      </c>
      <c r="T1038" s="19">
        <f>Registro[[#This Row],[Mes 1]]+Registro[[#This Row],[Mes 2]]+Registro[[#This Row],[Mes 3]]</f>
        <v>0</v>
      </c>
      <c r="U1038" s="19">
        <f>Registro[[#This Row],[Mes 4]]+Registro[[#This Row],[Mes 5]]+Registro[[#This Row],[Mes 6]]</f>
        <v>0</v>
      </c>
      <c r="V1038" s="19">
        <f>Registro[[#This Row],[Mes 7]]+Registro[[#This Row],[Mes 8]]+Registro[[#This Row],[Mes 9]]</f>
        <v>0</v>
      </c>
      <c r="W1038" s="20">
        <f>Registro[[#This Row],[Mes 10]]+Registro[[#This Row],[Mes 11]]+Registro[[#This Row],[Mes 12]]</f>
        <v>0</v>
      </c>
      <c r="X1038" s="20">
        <f>SUM(Registro[[#This Row],[Trim I]],Registro[[#This Row],[Trim II]],Registro[[#This Row],[Trim III]],Registro[[#This Row],[Trim IV]])</f>
        <v>0</v>
      </c>
      <c r="Y1038" s="22">
        <f>IFERROR((Registro[[#This Row],[Avance Total]]/Registro[[#This Row],[Meta]]),0)</f>
        <v>0</v>
      </c>
      <c r="Z1038" s="22">
        <f>IFERROR((Registro[[#This Row],[Avance Total]]-Registro[[#This Row],[Línea Base 2025]])/Registro[[#This Row],[Línea Base 2025]],0)</f>
        <v>0</v>
      </c>
      <c r="AA1038" s="20">
        <v>2026</v>
      </c>
    </row>
    <row r="1039" spans="1:27" hidden="1">
      <c r="A1039" s="14">
        <v>1080</v>
      </c>
      <c r="B1039" s="15" t="s">
        <v>13</v>
      </c>
      <c r="C1039" s="16">
        <v>121</v>
      </c>
      <c r="D1039" s="16" t="s">
        <v>194</v>
      </c>
      <c r="E1039" s="17" t="s">
        <v>193</v>
      </c>
      <c r="F1039" s="24">
        <v>0</v>
      </c>
      <c r="G1039" s="19">
        <v>0</v>
      </c>
      <c r="H1039" s="19">
        <v>0</v>
      </c>
      <c r="I1039" s="19">
        <v>0</v>
      </c>
      <c r="T1039" s="19">
        <f>Registro[[#This Row],[Mes 1]]+Registro[[#This Row],[Mes 2]]+Registro[[#This Row],[Mes 3]]</f>
        <v>0</v>
      </c>
      <c r="U1039" s="19">
        <f>Registro[[#This Row],[Mes 4]]+Registro[[#This Row],[Mes 5]]+Registro[[#This Row],[Mes 6]]</f>
        <v>0</v>
      </c>
      <c r="V1039" s="19">
        <f>Registro[[#This Row],[Mes 7]]+Registro[[#This Row],[Mes 8]]+Registro[[#This Row],[Mes 9]]</f>
        <v>0</v>
      </c>
      <c r="W1039" s="20">
        <f>Registro[[#This Row],[Mes 10]]+Registro[[#This Row],[Mes 11]]+Registro[[#This Row],[Mes 12]]</f>
        <v>0</v>
      </c>
      <c r="X1039" s="20">
        <f>SUM(Registro[[#This Row],[Trim I]],Registro[[#This Row],[Trim II]],Registro[[#This Row],[Trim III]],Registro[[#This Row],[Trim IV]])</f>
        <v>0</v>
      </c>
      <c r="Y1039" s="22">
        <f>IFERROR((Registro[[#This Row],[Avance Total]]/Registro[[#This Row],[Meta]]),0)</f>
        <v>0</v>
      </c>
      <c r="Z1039" s="22">
        <f>IFERROR((Registro[[#This Row],[Avance Total]]-Registro[[#This Row],[Línea Base 2025]])/Registro[[#This Row],[Línea Base 2025]],0)</f>
        <v>0</v>
      </c>
      <c r="AA1039" s="20">
        <v>2026</v>
      </c>
    </row>
    <row r="1040" spans="1:27" hidden="1">
      <c r="A1040" s="14">
        <v>1080</v>
      </c>
      <c r="B1040" s="15" t="s">
        <v>13</v>
      </c>
      <c r="C1040" s="16">
        <v>122</v>
      </c>
      <c r="D1040" s="16" t="s">
        <v>196</v>
      </c>
      <c r="E1040" s="17" t="s">
        <v>195</v>
      </c>
      <c r="F1040" s="24">
        <v>0</v>
      </c>
      <c r="G1040" s="19">
        <v>0</v>
      </c>
      <c r="H1040" s="19">
        <v>0</v>
      </c>
      <c r="I1040" s="19">
        <v>0</v>
      </c>
      <c r="T1040" s="19">
        <f>Registro[[#This Row],[Mes 1]]+Registro[[#This Row],[Mes 2]]+Registro[[#This Row],[Mes 3]]</f>
        <v>0</v>
      </c>
      <c r="U1040" s="19">
        <f>Registro[[#This Row],[Mes 4]]+Registro[[#This Row],[Mes 5]]+Registro[[#This Row],[Mes 6]]</f>
        <v>0</v>
      </c>
      <c r="V1040" s="19">
        <f>Registro[[#This Row],[Mes 7]]+Registro[[#This Row],[Mes 8]]+Registro[[#This Row],[Mes 9]]</f>
        <v>0</v>
      </c>
      <c r="W1040" s="20">
        <f>Registro[[#This Row],[Mes 10]]+Registro[[#This Row],[Mes 11]]+Registro[[#This Row],[Mes 12]]</f>
        <v>0</v>
      </c>
      <c r="X1040" s="20">
        <f>SUM(Registro[[#This Row],[Trim I]],Registro[[#This Row],[Trim II]],Registro[[#This Row],[Trim III]],Registro[[#This Row],[Trim IV]])</f>
        <v>0</v>
      </c>
      <c r="Y1040" s="22">
        <f>IFERROR((Registro[[#This Row],[Avance Total]]/Registro[[#This Row],[Meta]]),0)</f>
        <v>0</v>
      </c>
      <c r="Z1040" s="22">
        <f>IFERROR((Registro[[#This Row],[Avance Total]]-Registro[[#This Row],[Línea Base 2025]])/Registro[[#This Row],[Línea Base 2025]],0)</f>
        <v>0</v>
      </c>
      <c r="AA1040" s="20">
        <v>2026</v>
      </c>
    </row>
    <row r="1041" spans="1:27" hidden="1">
      <c r="A1041" s="14">
        <v>1080</v>
      </c>
      <c r="B1041" s="15" t="s">
        <v>13</v>
      </c>
      <c r="C1041" s="16">
        <v>123</v>
      </c>
      <c r="D1041" s="16" t="s">
        <v>198</v>
      </c>
      <c r="E1041" s="17" t="s">
        <v>197</v>
      </c>
      <c r="F1041" s="24">
        <v>0</v>
      </c>
      <c r="G1041" s="19">
        <v>0</v>
      </c>
      <c r="H1041" s="19">
        <v>0</v>
      </c>
      <c r="I1041" s="19">
        <v>0</v>
      </c>
      <c r="T1041" s="19">
        <f>Registro[[#This Row],[Mes 1]]+Registro[[#This Row],[Mes 2]]+Registro[[#This Row],[Mes 3]]</f>
        <v>0</v>
      </c>
      <c r="U1041" s="19">
        <f>Registro[[#This Row],[Mes 4]]+Registro[[#This Row],[Mes 5]]+Registro[[#This Row],[Mes 6]]</f>
        <v>0</v>
      </c>
      <c r="V1041" s="19">
        <f>Registro[[#This Row],[Mes 7]]+Registro[[#This Row],[Mes 8]]+Registro[[#This Row],[Mes 9]]</f>
        <v>0</v>
      </c>
      <c r="W1041" s="20">
        <f>Registro[[#This Row],[Mes 10]]+Registro[[#This Row],[Mes 11]]+Registro[[#This Row],[Mes 12]]</f>
        <v>0</v>
      </c>
      <c r="X1041" s="20">
        <f>SUM(Registro[[#This Row],[Trim I]],Registro[[#This Row],[Trim II]],Registro[[#This Row],[Trim III]],Registro[[#This Row],[Trim IV]])</f>
        <v>0</v>
      </c>
      <c r="Y1041" s="22">
        <f>IFERROR((Registro[[#This Row],[Avance Total]]/Registro[[#This Row],[Meta]]),0)</f>
        <v>0</v>
      </c>
      <c r="Z1041" s="22">
        <f>IFERROR((Registro[[#This Row],[Avance Total]]-Registro[[#This Row],[Línea Base 2025]])/Registro[[#This Row],[Línea Base 2025]],0)</f>
        <v>0</v>
      </c>
      <c r="AA1041" s="20">
        <v>2026</v>
      </c>
    </row>
    <row r="1042" spans="1:27" hidden="1">
      <c r="A1042" s="14">
        <v>1081</v>
      </c>
      <c r="B1042" s="15" t="s">
        <v>107</v>
      </c>
      <c r="C1042" s="16">
        <v>111</v>
      </c>
      <c r="D1042" s="16" t="s">
        <v>171</v>
      </c>
      <c r="E1042" s="17" t="s">
        <v>172</v>
      </c>
      <c r="F1042" s="24">
        <v>26</v>
      </c>
      <c r="G1042" s="19">
        <v>55</v>
      </c>
      <c r="H1042" s="19">
        <v>2</v>
      </c>
      <c r="I1042" s="19">
        <v>14</v>
      </c>
      <c r="T1042" s="19">
        <f>Registro[[#This Row],[Mes 1]]+Registro[[#This Row],[Mes 2]]+Registro[[#This Row],[Mes 3]]</f>
        <v>16</v>
      </c>
      <c r="U1042" s="19">
        <f>Registro[[#This Row],[Mes 4]]+Registro[[#This Row],[Mes 5]]+Registro[[#This Row],[Mes 6]]</f>
        <v>0</v>
      </c>
      <c r="V1042" s="19">
        <f>Registro[[#This Row],[Mes 7]]+Registro[[#This Row],[Mes 8]]+Registro[[#This Row],[Mes 9]]</f>
        <v>0</v>
      </c>
      <c r="W1042" s="20">
        <f>Registro[[#This Row],[Mes 10]]+Registro[[#This Row],[Mes 11]]+Registro[[#This Row],[Mes 12]]</f>
        <v>0</v>
      </c>
      <c r="X1042" s="20">
        <f>SUM(Registro[[#This Row],[Trim I]],Registro[[#This Row],[Trim II]],Registro[[#This Row],[Trim III]],Registro[[#This Row],[Trim IV]])</f>
        <v>16</v>
      </c>
      <c r="Y1042" s="22">
        <f>IFERROR((Registro[[#This Row],[Avance Total]]/Registro[[#This Row],[Meta]]),0)</f>
        <v>0.29090909090909089</v>
      </c>
      <c r="Z1042" s="22">
        <f>IFERROR((Registro[[#This Row],[Avance Total]]-Registro[[#This Row],[Línea Base 2025]])/Registro[[#This Row],[Línea Base 2025]],0)</f>
        <v>-0.38461538461538464</v>
      </c>
      <c r="AA1042" s="20">
        <v>2026</v>
      </c>
    </row>
    <row r="1043" spans="1:27" hidden="1">
      <c r="A1043" s="14">
        <v>1081</v>
      </c>
      <c r="B1043" s="15" t="s">
        <v>107</v>
      </c>
      <c r="C1043" s="16">
        <v>112</v>
      </c>
      <c r="D1043" s="16" t="s">
        <v>173</v>
      </c>
      <c r="E1043" s="17" t="s">
        <v>7</v>
      </c>
      <c r="F1043" s="24">
        <v>13</v>
      </c>
      <c r="G1043" s="19">
        <v>61</v>
      </c>
      <c r="H1043" s="19">
        <v>0</v>
      </c>
      <c r="I1043" s="19">
        <v>0</v>
      </c>
      <c r="T1043" s="19">
        <f>Registro[[#This Row],[Mes 1]]+Registro[[#This Row],[Mes 2]]+Registro[[#This Row],[Mes 3]]</f>
        <v>0</v>
      </c>
      <c r="U1043" s="19">
        <f>Registro[[#This Row],[Mes 4]]+Registro[[#This Row],[Mes 5]]+Registro[[#This Row],[Mes 6]]</f>
        <v>0</v>
      </c>
      <c r="V1043" s="19">
        <f>Registro[[#This Row],[Mes 7]]+Registro[[#This Row],[Mes 8]]+Registro[[#This Row],[Mes 9]]</f>
        <v>0</v>
      </c>
      <c r="W1043" s="20">
        <f>Registro[[#This Row],[Mes 10]]+Registro[[#This Row],[Mes 11]]+Registro[[#This Row],[Mes 12]]</f>
        <v>0</v>
      </c>
      <c r="X1043" s="20">
        <f>SUM(Registro[[#This Row],[Trim I]],Registro[[#This Row],[Trim II]],Registro[[#This Row],[Trim III]],Registro[[#This Row],[Trim IV]])</f>
        <v>0</v>
      </c>
      <c r="Y1043" s="22">
        <f>IFERROR((Registro[[#This Row],[Avance Total]]/Registro[[#This Row],[Meta]]),0)</f>
        <v>0</v>
      </c>
      <c r="Z1043" s="22">
        <f>IFERROR((Registro[[#This Row],[Avance Total]]-Registro[[#This Row],[Línea Base 2025]])/Registro[[#This Row],[Línea Base 2025]],0)</f>
        <v>-1</v>
      </c>
      <c r="AA1043" s="20">
        <v>2026</v>
      </c>
    </row>
    <row r="1044" spans="1:27" hidden="1">
      <c r="A1044" s="14">
        <v>1081</v>
      </c>
      <c r="B1044" s="15" t="s">
        <v>107</v>
      </c>
      <c r="C1044" s="16">
        <v>113</v>
      </c>
      <c r="D1044" s="16" t="s">
        <v>179</v>
      </c>
      <c r="E1044" s="17" t="s">
        <v>178</v>
      </c>
      <c r="F1044" s="24">
        <v>45</v>
      </c>
      <c r="G1044" s="19">
        <v>123</v>
      </c>
      <c r="H1044" s="19">
        <v>1</v>
      </c>
      <c r="I1044" s="19">
        <v>3</v>
      </c>
      <c r="T1044" s="19">
        <f>Registro[[#This Row],[Mes 1]]+Registro[[#This Row],[Mes 2]]+Registro[[#This Row],[Mes 3]]</f>
        <v>4</v>
      </c>
      <c r="U1044" s="19">
        <f>Registro[[#This Row],[Mes 4]]+Registro[[#This Row],[Mes 5]]+Registro[[#This Row],[Mes 6]]</f>
        <v>0</v>
      </c>
      <c r="V1044" s="19">
        <f>Registro[[#This Row],[Mes 7]]+Registro[[#This Row],[Mes 8]]+Registro[[#This Row],[Mes 9]]</f>
        <v>0</v>
      </c>
      <c r="W1044" s="20">
        <f>Registro[[#This Row],[Mes 10]]+Registro[[#This Row],[Mes 11]]+Registro[[#This Row],[Mes 12]]</f>
        <v>0</v>
      </c>
      <c r="X1044" s="20">
        <f>SUM(Registro[[#This Row],[Trim I]],Registro[[#This Row],[Trim II]],Registro[[#This Row],[Trim III]],Registro[[#This Row],[Trim IV]])</f>
        <v>4</v>
      </c>
      <c r="Y1044" s="22">
        <f>IFERROR((Registro[[#This Row],[Avance Total]]/Registro[[#This Row],[Meta]]),0)</f>
        <v>3.2520325203252036E-2</v>
      </c>
      <c r="Z1044" s="22">
        <f>IFERROR((Registro[[#This Row],[Avance Total]]-Registro[[#This Row],[Línea Base 2025]])/Registro[[#This Row],[Línea Base 2025]],0)</f>
        <v>-0.91111111111111109</v>
      </c>
      <c r="AA1044" s="20">
        <v>2026</v>
      </c>
    </row>
    <row r="1045" spans="1:27" hidden="1">
      <c r="A1045" s="14">
        <v>1081</v>
      </c>
      <c r="B1045" s="15" t="s">
        <v>107</v>
      </c>
      <c r="C1045" s="16">
        <v>114</v>
      </c>
      <c r="D1045" s="16" t="s">
        <v>181</v>
      </c>
      <c r="E1045" s="17" t="s">
        <v>180</v>
      </c>
      <c r="F1045" s="24">
        <v>0</v>
      </c>
      <c r="G1045" s="19">
        <v>8</v>
      </c>
      <c r="H1045" s="19">
        <v>3</v>
      </c>
      <c r="I1045" s="19">
        <v>0</v>
      </c>
      <c r="T1045" s="19">
        <f>Registro[[#This Row],[Mes 1]]+Registro[[#This Row],[Mes 2]]+Registro[[#This Row],[Mes 3]]</f>
        <v>3</v>
      </c>
      <c r="U1045" s="19">
        <f>Registro[[#This Row],[Mes 4]]+Registro[[#This Row],[Mes 5]]+Registro[[#This Row],[Mes 6]]</f>
        <v>0</v>
      </c>
      <c r="V1045" s="19">
        <f>Registro[[#This Row],[Mes 7]]+Registro[[#This Row],[Mes 8]]+Registro[[#This Row],[Mes 9]]</f>
        <v>0</v>
      </c>
      <c r="W1045" s="20">
        <f>Registro[[#This Row],[Mes 10]]+Registro[[#This Row],[Mes 11]]+Registro[[#This Row],[Mes 12]]</f>
        <v>0</v>
      </c>
      <c r="X1045" s="20">
        <f>SUM(Registro[[#This Row],[Trim I]],Registro[[#This Row],[Trim II]],Registro[[#This Row],[Trim III]],Registro[[#This Row],[Trim IV]])</f>
        <v>3</v>
      </c>
      <c r="Y1045" s="22">
        <f>IFERROR((Registro[[#This Row],[Avance Total]]/Registro[[#This Row],[Meta]]),0)</f>
        <v>0.375</v>
      </c>
      <c r="Z1045" s="22">
        <f>IFERROR((Registro[[#This Row],[Avance Total]]-Registro[[#This Row],[Línea Base 2025]])/Registro[[#This Row],[Línea Base 2025]],0)</f>
        <v>0</v>
      </c>
      <c r="AA1045" s="20">
        <v>2026</v>
      </c>
    </row>
    <row r="1046" spans="1:27" hidden="1">
      <c r="A1046" s="14">
        <v>1081</v>
      </c>
      <c r="B1046" s="15" t="s">
        <v>107</v>
      </c>
      <c r="C1046" s="16">
        <v>115</v>
      </c>
      <c r="D1046" s="16" t="s">
        <v>183</v>
      </c>
      <c r="E1046" s="17" t="s">
        <v>182</v>
      </c>
      <c r="F1046" s="24">
        <v>9</v>
      </c>
      <c r="G1046" s="19">
        <v>8</v>
      </c>
      <c r="H1046" s="19">
        <v>0</v>
      </c>
      <c r="I1046" s="19">
        <v>0</v>
      </c>
      <c r="T1046" s="19">
        <f>Registro[[#This Row],[Mes 1]]+Registro[[#This Row],[Mes 2]]+Registro[[#This Row],[Mes 3]]</f>
        <v>0</v>
      </c>
      <c r="U1046" s="19">
        <f>Registro[[#This Row],[Mes 4]]+Registro[[#This Row],[Mes 5]]+Registro[[#This Row],[Mes 6]]</f>
        <v>0</v>
      </c>
      <c r="V1046" s="19">
        <f>Registro[[#This Row],[Mes 7]]+Registro[[#This Row],[Mes 8]]+Registro[[#This Row],[Mes 9]]</f>
        <v>0</v>
      </c>
      <c r="W1046" s="20">
        <f>Registro[[#This Row],[Mes 10]]+Registro[[#This Row],[Mes 11]]+Registro[[#This Row],[Mes 12]]</f>
        <v>0</v>
      </c>
      <c r="X1046" s="20">
        <f>SUM(Registro[[#This Row],[Trim I]],Registro[[#This Row],[Trim II]],Registro[[#This Row],[Trim III]],Registro[[#This Row],[Trim IV]])</f>
        <v>0</v>
      </c>
      <c r="Y1046" s="22">
        <f>IFERROR((Registro[[#This Row],[Avance Total]]/Registro[[#This Row],[Meta]]),0)</f>
        <v>0</v>
      </c>
      <c r="Z1046" s="22">
        <f>IFERROR((Registro[[#This Row],[Avance Total]]-Registro[[#This Row],[Línea Base 2025]])/Registro[[#This Row],[Línea Base 2025]],0)</f>
        <v>-1</v>
      </c>
      <c r="AA1046" s="20">
        <v>2026</v>
      </c>
    </row>
    <row r="1047" spans="1:27">
      <c r="A1047" s="14">
        <v>1081</v>
      </c>
      <c r="B1047" s="15" t="s">
        <v>107</v>
      </c>
      <c r="C1047" s="16">
        <v>116</v>
      </c>
      <c r="D1047" s="16" t="s">
        <v>185</v>
      </c>
      <c r="E1047" s="17" t="s">
        <v>184</v>
      </c>
      <c r="F1047" s="24">
        <v>1</v>
      </c>
      <c r="G1047" s="19">
        <v>0</v>
      </c>
      <c r="H1047" s="19">
        <v>0</v>
      </c>
      <c r="I1047" s="19">
        <v>0</v>
      </c>
      <c r="T1047" s="19">
        <f>Registro[[#This Row],[Mes 1]]+Registro[[#This Row],[Mes 2]]+Registro[[#This Row],[Mes 3]]</f>
        <v>0</v>
      </c>
      <c r="U1047" s="19">
        <f>Registro[[#This Row],[Mes 4]]+Registro[[#This Row],[Mes 5]]+Registro[[#This Row],[Mes 6]]</f>
        <v>0</v>
      </c>
      <c r="V1047" s="19">
        <f>Registro[[#This Row],[Mes 7]]+Registro[[#This Row],[Mes 8]]+Registro[[#This Row],[Mes 9]]</f>
        <v>0</v>
      </c>
      <c r="W1047" s="20">
        <f>Registro[[#This Row],[Mes 10]]+Registro[[#This Row],[Mes 11]]+Registro[[#This Row],[Mes 12]]</f>
        <v>0</v>
      </c>
      <c r="X1047" s="20">
        <f>SUM(Registro[[#This Row],[Trim I]],Registro[[#This Row],[Trim II]],Registro[[#This Row],[Trim III]],Registro[[#This Row],[Trim IV]])</f>
        <v>0</v>
      </c>
      <c r="Y1047" s="22">
        <f>IFERROR((Registro[[#This Row],[Avance Total]]/Registro[[#This Row],[Meta]]),0)</f>
        <v>0</v>
      </c>
      <c r="Z1047" s="22">
        <f>IFERROR((Registro[[#This Row],[Avance Total]]-Registro[[#This Row],[Línea Base 2025]])/Registro[[#This Row],[Línea Base 2025]],0)</f>
        <v>-1</v>
      </c>
      <c r="AA1047" s="20">
        <v>2026</v>
      </c>
    </row>
    <row r="1048" spans="1:27" hidden="1">
      <c r="A1048" s="14">
        <v>1081</v>
      </c>
      <c r="B1048" s="15" t="s">
        <v>107</v>
      </c>
      <c r="C1048" s="16">
        <v>117</v>
      </c>
      <c r="D1048" s="16" t="s">
        <v>187</v>
      </c>
      <c r="E1048" s="17" t="s">
        <v>186</v>
      </c>
      <c r="F1048" s="24">
        <v>2</v>
      </c>
      <c r="G1048" s="19">
        <v>4</v>
      </c>
      <c r="H1048" s="19">
        <v>0</v>
      </c>
      <c r="I1048" s="19">
        <v>0</v>
      </c>
      <c r="T1048" s="19">
        <f>Registro[[#This Row],[Mes 1]]+Registro[[#This Row],[Mes 2]]+Registro[[#This Row],[Mes 3]]</f>
        <v>0</v>
      </c>
      <c r="U1048" s="19">
        <f>Registro[[#This Row],[Mes 4]]+Registro[[#This Row],[Mes 5]]+Registro[[#This Row],[Mes 6]]</f>
        <v>0</v>
      </c>
      <c r="V1048" s="19">
        <f>Registro[[#This Row],[Mes 7]]+Registro[[#This Row],[Mes 8]]+Registro[[#This Row],[Mes 9]]</f>
        <v>0</v>
      </c>
      <c r="W1048" s="20">
        <f>Registro[[#This Row],[Mes 10]]+Registro[[#This Row],[Mes 11]]+Registro[[#This Row],[Mes 12]]</f>
        <v>0</v>
      </c>
      <c r="X1048" s="20">
        <f>SUM(Registro[[#This Row],[Trim I]],Registro[[#This Row],[Trim II]],Registro[[#This Row],[Trim III]],Registro[[#This Row],[Trim IV]])</f>
        <v>0</v>
      </c>
      <c r="Y1048" s="22">
        <f>IFERROR((Registro[[#This Row],[Avance Total]]/Registro[[#This Row],[Meta]]),0)</f>
        <v>0</v>
      </c>
      <c r="Z1048" s="22">
        <f>IFERROR((Registro[[#This Row],[Avance Total]]-Registro[[#This Row],[Línea Base 2025]])/Registro[[#This Row],[Línea Base 2025]],0)</f>
        <v>-1</v>
      </c>
      <c r="AA1048" s="20">
        <v>2026</v>
      </c>
    </row>
    <row r="1049" spans="1:27" hidden="1">
      <c r="A1049" s="14">
        <v>1081</v>
      </c>
      <c r="B1049" s="15" t="s">
        <v>107</v>
      </c>
      <c r="C1049" s="16">
        <v>118</v>
      </c>
      <c r="D1049" s="16" t="s">
        <v>188</v>
      </c>
      <c r="E1049" s="17" t="s">
        <v>9</v>
      </c>
      <c r="F1049" s="24">
        <v>0</v>
      </c>
      <c r="G1049" s="19">
        <v>40</v>
      </c>
      <c r="H1049" s="19">
        <v>0</v>
      </c>
      <c r="I1049" s="19">
        <v>0</v>
      </c>
      <c r="T1049" s="19">
        <f>Registro[[#This Row],[Mes 1]]+Registro[[#This Row],[Mes 2]]+Registro[[#This Row],[Mes 3]]</f>
        <v>0</v>
      </c>
      <c r="U1049" s="19">
        <f>Registro[[#This Row],[Mes 4]]+Registro[[#This Row],[Mes 5]]+Registro[[#This Row],[Mes 6]]</f>
        <v>0</v>
      </c>
      <c r="V1049" s="19">
        <f>Registro[[#This Row],[Mes 7]]+Registro[[#This Row],[Mes 8]]+Registro[[#This Row],[Mes 9]]</f>
        <v>0</v>
      </c>
      <c r="W1049" s="20">
        <f>Registro[[#This Row],[Mes 10]]+Registro[[#This Row],[Mes 11]]+Registro[[#This Row],[Mes 12]]</f>
        <v>0</v>
      </c>
      <c r="X1049" s="20">
        <f>SUM(Registro[[#This Row],[Trim I]],Registro[[#This Row],[Trim II]],Registro[[#This Row],[Trim III]],Registro[[#This Row],[Trim IV]])</f>
        <v>0</v>
      </c>
      <c r="Y1049" s="22">
        <f>IFERROR((Registro[[#This Row],[Avance Total]]/Registro[[#This Row],[Meta]]),0)</f>
        <v>0</v>
      </c>
      <c r="Z1049" s="22">
        <f>IFERROR((Registro[[#This Row],[Avance Total]]-Registro[[#This Row],[Línea Base 2025]])/Registro[[#This Row],[Línea Base 2025]],0)</f>
        <v>0</v>
      </c>
      <c r="AA1049" s="20">
        <v>2026</v>
      </c>
    </row>
    <row r="1050" spans="1:27" hidden="1">
      <c r="A1050" s="14">
        <v>1081</v>
      </c>
      <c r="B1050" s="15" t="s">
        <v>107</v>
      </c>
      <c r="C1050" s="16">
        <v>119</v>
      </c>
      <c r="D1050" s="16" t="s">
        <v>190</v>
      </c>
      <c r="E1050" s="17" t="s">
        <v>189</v>
      </c>
      <c r="F1050" s="24">
        <v>0</v>
      </c>
      <c r="G1050" s="19">
        <v>0</v>
      </c>
      <c r="H1050" s="19">
        <v>0</v>
      </c>
      <c r="I1050" s="19">
        <v>0</v>
      </c>
      <c r="T1050" s="19">
        <f>Registro[[#This Row],[Mes 1]]+Registro[[#This Row],[Mes 2]]+Registro[[#This Row],[Mes 3]]</f>
        <v>0</v>
      </c>
      <c r="U1050" s="19">
        <f>Registro[[#This Row],[Mes 4]]+Registro[[#This Row],[Mes 5]]+Registro[[#This Row],[Mes 6]]</f>
        <v>0</v>
      </c>
      <c r="V1050" s="19">
        <f>Registro[[#This Row],[Mes 7]]+Registro[[#This Row],[Mes 8]]+Registro[[#This Row],[Mes 9]]</f>
        <v>0</v>
      </c>
      <c r="W1050" s="20">
        <f>Registro[[#This Row],[Mes 10]]+Registro[[#This Row],[Mes 11]]+Registro[[#This Row],[Mes 12]]</f>
        <v>0</v>
      </c>
      <c r="X1050" s="20">
        <f>SUM(Registro[[#This Row],[Trim I]],Registro[[#This Row],[Trim II]],Registro[[#This Row],[Trim III]],Registro[[#This Row],[Trim IV]])</f>
        <v>0</v>
      </c>
      <c r="Y1050" s="22">
        <f>IFERROR((Registro[[#This Row],[Avance Total]]/Registro[[#This Row],[Meta]]),0)</f>
        <v>0</v>
      </c>
      <c r="Z1050" s="22">
        <f>IFERROR((Registro[[#This Row],[Avance Total]]-Registro[[#This Row],[Línea Base 2025]])/Registro[[#This Row],[Línea Base 2025]],0)</f>
        <v>0</v>
      </c>
      <c r="AA1050" s="20">
        <v>2026</v>
      </c>
    </row>
    <row r="1051" spans="1:27" hidden="1">
      <c r="A1051" s="14">
        <v>1081</v>
      </c>
      <c r="B1051" s="15" t="s">
        <v>107</v>
      </c>
      <c r="C1051" s="16">
        <v>120</v>
      </c>
      <c r="D1051" s="16" t="s">
        <v>192</v>
      </c>
      <c r="E1051" s="17" t="s">
        <v>191</v>
      </c>
      <c r="F1051" s="24">
        <v>0</v>
      </c>
      <c r="G1051" s="19">
        <v>23</v>
      </c>
      <c r="H1051" s="19">
        <v>0</v>
      </c>
      <c r="I1051" s="19">
        <v>0</v>
      </c>
      <c r="T1051" s="19">
        <f>Registro[[#This Row],[Mes 1]]+Registro[[#This Row],[Mes 2]]+Registro[[#This Row],[Mes 3]]</f>
        <v>0</v>
      </c>
      <c r="U1051" s="19">
        <f>Registro[[#This Row],[Mes 4]]+Registro[[#This Row],[Mes 5]]+Registro[[#This Row],[Mes 6]]</f>
        <v>0</v>
      </c>
      <c r="V1051" s="19">
        <f>Registro[[#This Row],[Mes 7]]+Registro[[#This Row],[Mes 8]]+Registro[[#This Row],[Mes 9]]</f>
        <v>0</v>
      </c>
      <c r="W1051" s="20">
        <f>Registro[[#This Row],[Mes 10]]+Registro[[#This Row],[Mes 11]]+Registro[[#This Row],[Mes 12]]</f>
        <v>0</v>
      </c>
      <c r="X1051" s="20">
        <f>SUM(Registro[[#This Row],[Trim I]],Registro[[#This Row],[Trim II]],Registro[[#This Row],[Trim III]],Registro[[#This Row],[Trim IV]])</f>
        <v>0</v>
      </c>
      <c r="Y1051" s="22">
        <f>IFERROR((Registro[[#This Row],[Avance Total]]/Registro[[#This Row],[Meta]]),0)</f>
        <v>0</v>
      </c>
      <c r="Z1051" s="22">
        <f>IFERROR((Registro[[#This Row],[Avance Total]]-Registro[[#This Row],[Línea Base 2025]])/Registro[[#This Row],[Línea Base 2025]],0)</f>
        <v>0</v>
      </c>
      <c r="AA1051" s="20">
        <v>2026</v>
      </c>
    </row>
    <row r="1052" spans="1:27" hidden="1">
      <c r="A1052" s="14">
        <v>1081</v>
      </c>
      <c r="B1052" s="15" t="s">
        <v>107</v>
      </c>
      <c r="C1052" s="16">
        <v>121</v>
      </c>
      <c r="D1052" s="16" t="s">
        <v>194</v>
      </c>
      <c r="E1052" s="17" t="s">
        <v>193</v>
      </c>
      <c r="F1052" s="24">
        <v>5</v>
      </c>
      <c r="G1052" s="19">
        <v>6</v>
      </c>
      <c r="H1052" s="19">
        <v>0</v>
      </c>
      <c r="I1052" s="19">
        <v>0</v>
      </c>
      <c r="T1052" s="19">
        <f>Registro[[#This Row],[Mes 1]]+Registro[[#This Row],[Mes 2]]+Registro[[#This Row],[Mes 3]]</f>
        <v>0</v>
      </c>
      <c r="U1052" s="19">
        <f>Registro[[#This Row],[Mes 4]]+Registro[[#This Row],[Mes 5]]+Registro[[#This Row],[Mes 6]]</f>
        <v>0</v>
      </c>
      <c r="V1052" s="19">
        <f>Registro[[#This Row],[Mes 7]]+Registro[[#This Row],[Mes 8]]+Registro[[#This Row],[Mes 9]]</f>
        <v>0</v>
      </c>
      <c r="W1052" s="20">
        <f>Registro[[#This Row],[Mes 10]]+Registro[[#This Row],[Mes 11]]+Registro[[#This Row],[Mes 12]]</f>
        <v>0</v>
      </c>
      <c r="X1052" s="20">
        <f>SUM(Registro[[#This Row],[Trim I]],Registro[[#This Row],[Trim II]],Registro[[#This Row],[Trim III]],Registro[[#This Row],[Trim IV]])</f>
        <v>0</v>
      </c>
      <c r="Y1052" s="22">
        <f>IFERROR((Registro[[#This Row],[Avance Total]]/Registro[[#This Row],[Meta]]),0)</f>
        <v>0</v>
      </c>
      <c r="Z1052" s="22">
        <f>IFERROR((Registro[[#This Row],[Avance Total]]-Registro[[#This Row],[Línea Base 2025]])/Registro[[#This Row],[Línea Base 2025]],0)</f>
        <v>-1</v>
      </c>
      <c r="AA1052" s="20">
        <v>2026</v>
      </c>
    </row>
    <row r="1053" spans="1:27" hidden="1">
      <c r="A1053" s="14">
        <v>1081</v>
      </c>
      <c r="B1053" s="15" t="s">
        <v>107</v>
      </c>
      <c r="C1053" s="16">
        <v>122</v>
      </c>
      <c r="D1053" s="16" t="s">
        <v>196</v>
      </c>
      <c r="E1053" s="17" t="s">
        <v>195</v>
      </c>
      <c r="F1053" s="24">
        <v>8</v>
      </c>
      <c r="G1053" s="19">
        <v>11</v>
      </c>
      <c r="H1053" s="19">
        <v>0</v>
      </c>
      <c r="I1053" s="19">
        <v>0</v>
      </c>
      <c r="T1053" s="19">
        <f>Registro[[#This Row],[Mes 1]]+Registro[[#This Row],[Mes 2]]+Registro[[#This Row],[Mes 3]]</f>
        <v>0</v>
      </c>
      <c r="U1053" s="19">
        <f>Registro[[#This Row],[Mes 4]]+Registro[[#This Row],[Mes 5]]+Registro[[#This Row],[Mes 6]]</f>
        <v>0</v>
      </c>
      <c r="V1053" s="19">
        <f>Registro[[#This Row],[Mes 7]]+Registro[[#This Row],[Mes 8]]+Registro[[#This Row],[Mes 9]]</f>
        <v>0</v>
      </c>
      <c r="W1053" s="20">
        <f>Registro[[#This Row],[Mes 10]]+Registro[[#This Row],[Mes 11]]+Registro[[#This Row],[Mes 12]]</f>
        <v>0</v>
      </c>
      <c r="X1053" s="20">
        <f>SUM(Registro[[#This Row],[Trim I]],Registro[[#This Row],[Trim II]],Registro[[#This Row],[Trim III]],Registro[[#This Row],[Trim IV]])</f>
        <v>0</v>
      </c>
      <c r="Y1053" s="22">
        <f>IFERROR((Registro[[#This Row],[Avance Total]]/Registro[[#This Row],[Meta]]),0)</f>
        <v>0</v>
      </c>
      <c r="Z1053" s="22">
        <f>IFERROR((Registro[[#This Row],[Avance Total]]-Registro[[#This Row],[Línea Base 2025]])/Registro[[#This Row],[Línea Base 2025]],0)</f>
        <v>-1</v>
      </c>
      <c r="AA1053" s="20">
        <v>2026</v>
      </c>
    </row>
    <row r="1054" spans="1:27" hidden="1">
      <c r="A1054" s="14">
        <v>1081</v>
      </c>
      <c r="B1054" s="15" t="s">
        <v>107</v>
      </c>
      <c r="C1054" s="16">
        <v>123</v>
      </c>
      <c r="D1054" s="16" t="s">
        <v>198</v>
      </c>
      <c r="E1054" s="17" t="s">
        <v>197</v>
      </c>
      <c r="F1054" s="24">
        <v>0</v>
      </c>
      <c r="G1054" s="19">
        <v>10</v>
      </c>
      <c r="H1054" s="19">
        <v>0</v>
      </c>
      <c r="I1054" s="19">
        <v>0</v>
      </c>
      <c r="T1054" s="19">
        <f>Registro[[#This Row],[Mes 1]]+Registro[[#This Row],[Mes 2]]+Registro[[#This Row],[Mes 3]]</f>
        <v>0</v>
      </c>
      <c r="U1054" s="19">
        <f>Registro[[#This Row],[Mes 4]]+Registro[[#This Row],[Mes 5]]+Registro[[#This Row],[Mes 6]]</f>
        <v>0</v>
      </c>
      <c r="V1054" s="19">
        <f>Registro[[#This Row],[Mes 7]]+Registro[[#This Row],[Mes 8]]+Registro[[#This Row],[Mes 9]]</f>
        <v>0</v>
      </c>
      <c r="W1054" s="20">
        <f>Registro[[#This Row],[Mes 10]]+Registro[[#This Row],[Mes 11]]+Registro[[#This Row],[Mes 12]]</f>
        <v>0</v>
      </c>
      <c r="X1054" s="20">
        <f>SUM(Registro[[#This Row],[Trim I]],Registro[[#This Row],[Trim II]],Registro[[#This Row],[Trim III]],Registro[[#This Row],[Trim IV]])</f>
        <v>0</v>
      </c>
      <c r="Y1054" s="22">
        <f>IFERROR((Registro[[#This Row],[Avance Total]]/Registro[[#This Row],[Meta]]),0)</f>
        <v>0</v>
      </c>
      <c r="Z1054" s="22">
        <f>IFERROR((Registro[[#This Row],[Avance Total]]-Registro[[#This Row],[Línea Base 2025]])/Registro[[#This Row],[Línea Base 2025]],0)</f>
        <v>0</v>
      </c>
      <c r="AA1054" s="20">
        <v>2026</v>
      </c>
    </row>
    <row r="1055" spans="1:27" hidden="1">
      <c r="A1055" s="14">
        <v>1082</v>
      </c>
      <c r="B1055" s="15" t="s">
        <v>108</v>
      </c>
      <c r="C1055" s="16">
        <v>111</v>
      </c>
      <c r="D1055" s="16" t="s">
        <v>171</v>
      </c>
      <c r="E1055" s="17" t="s">
        <v>172</v>
      </c>
      <c r="F1055" s="24">
        <v>56</v>
      </c>
      <c r="G1055" s="19">
        <v>206</v>
      </c>
      <c r="H1055" s="19">
        <v>0</v>
      </c>
      <c r="I1055" s="19">
        <v>5</v>
      </c>
      <c r="T1055" s="19">
        <f>Registro[[#This Row],[Mes 1]]+Registro[[#This Row],[Mes 2]]+Registro[[#This Row],[Mes 3]]</f>
        <v>5</v>
      </c>
      <c r="U1055" s="19">
        <f>Registro[[#This Row],[Mes 4]]+Registro[[#This Row],[Mes 5]]+Registro[[#This Row],[Mes 6]]</f>
        <v>0</v>
      </c>
      <c r="V1055" s="19">
        <f>Registro[[#This Row],[Mes 7]]+Registro[[#This Row],[Mes 8]]+Registro[[#This Row],[Mes 9]]</f>
        <v>0</v>
      </c>
      <c r="W1055" s="20">
        <f>Registro[[#This Row],[Mes 10]]+Registro[[#This Row],[Mes 11]]+Registro[[#This Row],[Mes 12]]</f>
        <v>0</v>
      </c>
      <c r="X1055" s="20">
        <f>SUM(Registro[[#This Row],[Trim I]],Registro[[#This Row],[Trim II]],Registro[[#This Row],[Trim III]],Registro[[#This Row],[Trim IV]])</f>
        <v>5</v>
      </c>
      <c r="Y1055" s="22">
        <f>IFERROR((Registro[[#This Row],[Avance Total]]/Registro[[#This Row],[Meta]]),0)</f>
        <v>2.4271844660194174E-2</v>
      </c>
      <c r="Z1055" s="22">
        <f>IFERROR((Registro[[#This Row],[Avance Total]]-Registro[[#This Row],[Línea Base 2025]])/Registro[[#This Row],[Línea Base 2025]],0)</f>
        <v>-0.9107142857142857</v>
      </c>
      <c r="AA1055" s="20">
        <v>2026</v>
      </c>
    </row>
    <row r="1056" spans="1:27" hidden="1">
      <c r="A1056" s="14">
        <v>1082</v>
      </c>
      <c r="B1056" s="15" t="s">
        <v>108</v>
      </c>
      <c r="C1056" s="16">
        <v>112</v>
      </c>
      <c r="D1056" s="16" t="s">
        <v>173</v>
      </c>
      <c r="E1056" s="17" t="s">
        <v>7</v>
      </c>
      <c r="F1056" s="24">
        <v>44</v>
      </c>
      <c r="G1056" s="19">
        <v>128</v>
      </c>
      <c r="H1056" s="19">
        <v>0</v>
      </c>
      <c r="I1056" s="19">
        <v>0</v>
      </c>
      <c r="T1056" s="19">
        <f>Registro[[#This Row],[Mes 1]]+Registro[[#This Row],[Mes 2]]+Registro[[#This Row],[Mes 3]]</f>
        <v>0</v>
      </c>
      <c r="U1056" s="19">
        <f>Registro[[#This Row],[Mes 4]]+Registro[[#This Row],[Mes 5]]+Registro[[#This Row],[Mes 6]]</f>
        <v>0</v>
      </c>
      <c r="V1056" s="19">
        <f>Registro[[#This Row],[Mes 7]]+Registro[[#This Row],[Mes 8]]+Registro[[#This Row],[Mes 9]]</f>
        <v>0</v>
      </c>
      <c r="W1056" s="20">
        <f>Registro[[#This Row],[Mes 10]]+Registro[[#This Row],[Mes 11]]+Registro[[#This Row],[Mes 12]]</f>
        <v>0</v>
      </c>
      <c r="X1056" s="20">
        <f>SUM(Registro[[#This Row],[Trim I]],Registro[[#This Row],[Trim II]],Registro[[#This Row],[Trim III]],Registro[[#This Row],[Trim IV]])</f>
        <v>0</v>
      </c>
      <c r="Y1056" s="22">
        <f>IFERROR((Registro[[#This Row],[Avance Total]]/Registro[[#This Row],[Meta]]),0)</f>
        <v>0</v>
      </c>
      <c r="Z1056" s="22">
        <f>IFERROR((Registro[[#This Row],[Avance Total]]-Registro[[#This Row],[Línea Base 2025]])/Registro[[#This Row],[Línea Base 2025]],0)</f>
        <v>-1</v>
      </c>
      <c r="AA1056" s="20">
        <v>2026</v>
      </c>
    </row>
    <row r="1057" spans="1:27" hidden="1">
      <c r="A1057" s="14">
        <v>1082</v>
      </c>
      <c r="B1057" s="15" t="s">
        <v>108</v>
      </c>
      <c r="C1057" s="16">
        <v>113</v>
      </c>
      <c r="D1057" s="16" t="s">
        <v>179</v>
      </c>
      <c r="E1057" s="17" t="s">
        <v>178</v>
      </c>
      <c r="F1057" s="24">
        <v>128</v>
      </c>
      <c r="G1057" s="19">
        <v>367</v>
      </c>
      <c r="H1057" s="19">
        <v>0</v>
      </c>
      <c r="I1057" s="19">
        <v>2</v>
      </c>
      <c r="T1057" s="19">
        <f>Registro[[#This Row],[Mes 1]]+Registro[[#This Row],[Mes 2]]+Registro[[#This Row],[Mes 3]]</f>
        <v>2</v>
      </c>
      <c r="U1057" s="19">
        <f>Registro[[#This Row],[Mes 4]]+Registro[[#This Row],[Mes 5]]+Registro[[#This Row],[Mes 6]]</f>
        <v>0</v>
      </c>
      <c r="V1057" s="19">
        <f>Registro[[#This Row],[Mes 7]]+Registro[[#This Row],[Mes 8]]+Registro[[#This Row],[Mes 9]]</f>
        <v>0</v>
      </c>
      <c r="W1057" s="20">
        <f>Registro[[#This Row],[Mes 10]]+Registro[[#This Row],[Mes 11]]+Registro[[#This Row],[Mes 12]]</f>
        <v>0</v>
      </c>
      <c r="X1057" s="20">
        <f>SUM(Registro[[#This Row],[Trim I]],Registro[[#This Row],[Trim II]],Registro[[#This Row],[Trim III]],Registro[[#This Row],[Trim IV]])</f>
        <v>2</v>
      </c>
      <c r="Y1057" s="22">
        <f>IFERROR((Registro[[#This Row],[Avance Total]]/Registro[[#This Row],[Meta]]),0)</f>
        <v>5.4495912806539508E-3</v>
      </c>
      <c r="Z1057" s="22">
        <f>IFERROR((Registro[[#This Row],[Avance Total]]-Registro[[#This Row],[Línea Base 2025]])/Registro[[#This Row],[Línea Base 2025]],0)</f>
        <v>-0.984375</v>
      </c>
      <c r="AA1057" s="20">
        <v>2026</v>
      </c>
    </row>
    <row r="1058" spans="1:27" hidden="1">
      <c r="A1058" s="14">
        <v>1082</v>
      </c>
      <c r="B1058" s="15" t="s">
        <v>108</v>
      </c>
      <c r="C1058" s="16">
        <v>114</v>
      </c>
      <c r="D1058" s="16" t="s">
        <v>181</v>
      </c>
      <c r="E1058" s="17" t="s">
        <v>180</v>
      </c>
      <c r="F1058" s="24">
        <v>3</v>
      </c>
      <c r="G1058" s="19">
        <v>42</v>
      </c>
      <c r="H1058" s="19">
        <v>0</v>
      </c>
      <c r="I1058" s="19">
        <v>0</v>
      </c>
      <c r="T1058" s="19">
        <f>Registro[[#This Row],[Mes 1]]+Registro[[#This Row],[Mes 2]]+Registro[[#This Row],[Mes 3]]</f>
        <v>0</v>
      </c>
      <c r="U1058" s="19">
        <f>Registro[[#This Row],[Mes 4]]+Registro[[#This Row],[Mes 5]]+Registro[[#This Row],[Mes 6]]</f>
        <v>0</v>
      </c>
      <c r="V1058" s="19">
        <f>Registro[[#This Row],[Mes 7]]+Registro[[#This Row],[Mes 8]]+Registro[[#This Row],[Mes 9]]</f>
        <v>0</v>
      </c>
      <c r="W1058" s="20">
        <f>Registro[[#This Row],[Mes 10]]+Registro[[#This Row],[Mes 11]]+Registro[[#This Row],[Mes 12]]</f>
        <v>0</v>
      </c>
      <c r="X1058" s="20">
        <f>SUM(Registro[[#This Row],[Trim I]],Registro[[#This Row],[Trim II]],Registro[[#This Row],[Trim III]],Registro[[#This Row],[Trim IV]])</f>
        <v>0</v>
      </c>
      <c r="Y1058" s="22">
        <f>IFERROR((Registro[[#This Row],[Avance Total]]/Registro[[#This Row],[Meta]]),0)</f>
        <v>0</v>
      </c>
      <c r="Z1058" s="22">
        <f>IFERROR((Registro[[#This Row],[Avance Total]]-Registro[[#This Row],[Línea Base 2025]])/Registro[[#This Row],[Línea Base 2025]],0)</f>
        <v>-1</v>
      </c>
      <c r="AA1058" s="20">
        <v>2026</v>
      </c>
    </row>
    <row r="1059" spans="1:27" hidden="1">
      <c r="A1059" s="14">
        <v>1082</v>
      </c>
      <c r="B1059" s="15" t="s">
        <v>108</v>
      </c>
      <c r="C1059" s="16">
        <v>115</v>
      </c>
      <c r="D1059" s="16" t="s">
        <v>183</v>
      </c>
      <c r="E1059" s="17" t="s">
        <v>182</v>
      </c>
      <c r="F1059" s="24">
        <v>24</v>
      </c>
      <c r="G1059" s="19">
        <v>38</v>
      </c>
      <c r="H1059" s="19">
        <v>0</v>
      </c>
      <c r="I1059" s="19">
        <v>0</v>
      </c>
      <c r="T1059" s="19">
        <f>Registro[[#This Row],[Mes 1]]+Registro[[#This Row],[Mes 2]]+Registro[[#This Row],[Mes 3]]</f>
        <v>0</v>
      </c>
      <c r="U1059" s="19">
        <f>Registro[[#This Row],[Mes 4]]+Registro[[#This Row],[Mes 5]]+Registro[[#This Row],[Mes 6]]</f>
        <v>0</v>
      </c>
      <c r="V1059" s="19">
        <f>Registro[[#This Row],[Mes 7]]+Registro[[#This Row],[Mes 8]]+Registro[[#This Row],[Mes 9]]</f>
        <v>0</v>
      </c>
      <c r="W1059" s="20">
        <f>Registro[[#This Row],[Mes 10]]+Registro[[#This Row],[Mes 11]]+Registro[[#This Row],[Mes 12]]</f>
        <v>0</v>
      </c>
      <c r="X1059" s="20">
        <f>SUM(Registro[[#This Row],[Trim I]],Registro[[#This Row],[Trim II]],Registro[[#This Row],[Trim III]],Registro[[#This Row],[Trim IV]])</f>
        <v>0</v>
      </c>
      <c r="Y1059" s="22">
        <f>IFERROR((Registro[[#This Row],[Avance Total]]/Registro[[#This Row],[Meta]]),0)</f>
        <v>0</v>
      </c>
      <c r="Z1059" s="22">
        <f>IFERROR((Registro[[#This Row],[Avance Total]]-Registro[[#This Row],[Línea Base 2025]])/Registro[[#This Row],[Línea Base 2025]],0)</f>
        <v>-1</v>
      </c>
      <c r="AA1059" s="20">
        <v>2026</v>
      </c>
    </row>
    <row r="1060" spans="1:27">
      <c r="A1060" s="14">
        <v>1082</v>
      </c>
      <c r="B1060" s="15" t="s">
        <v>108</v>
      </c>
      <c r="C1060" s="16">
        <v>116</v>
      </c>
      <c r="D1060" s="16" t="s">
        <v>185</v>
      </c>
      <c r="E1060" s="17" t="s">
        <v>184</v>
      </c>
      <c r="F1060" s="24">
        <v>5</v>
      </c>
      <c r="G1060" s="19">
        <v>1</v>
      </c>
      <c r="H1060" s="19">
        <v>0</v>
      </c>
      <c r="I1060" s="19">
        <v>0</v>
      </c>
      <c r="T1060" s="19">
        <f>Registro[[#This Row],[Mes 1]]+Registro[[#This Row],[Mes 2]]+Registro[[#This Row],[Mes 3]]</f>
        <v>0</v>
      </c>
      <c r="U1060" s="19">
        <f>Registro[[#This Row],[Mes 4]]+Registro[[#This Row],[Mes 5]]+Registro[[#This Row],[Mes 6]]</f>
        <v>0</v>
      </c>
      <c r="V1060" s="19">
        <f>Registro[[#This Row],[Mes 7]]+Registro[[#This Row],[Mes 8]]+Registro[[#This Row],[Mes 9]]</f>
        <v>0</v>
      </c>
      <c r="W1060" s="20">
        <f>Registro[[#This Row],[Mes 10]]+Registro[[#This Row],[Mes 11]]+Registro[[#This Row],[Mes 12]]</f>
        <v>0</v>
      </c>
      <c r="X1060" s="20">
        <f>SUM(Registro[[#This Row],[Trim I]],Registro[[#This Row],[Trim II]],Registro[[#This Row],[Trim III]],Registro[[#This Row],[Trim IV]])</f>
        <v>0</v>
      </c>
      <c r="Y1060" s="22">
        <f>IFERROR((Registro[[#This Row],[Avance Total]]/Registro[[#This Row],[Meta]]),0)</f>
        <v>0</v>
      </c>
      <c r="Z1060" s="22">
        <f>IFERROR((Registro[[#This Row],[Avance Total]]-Registro[[#This Row],[Línea Base 2025]])/Registro[[#This Row],[Línea Base 2025]],0)</f>
        <v>-1</v>
      </c>
      <c r="AA1060" s="20">
        <v>2026</v>
      </c>
    </row>
    <row r="1061" spans="1:27" hidden="1">
      <c r="A1061" s="14">
        <v>1082</v>
      </c>
      <c r="B1061" s="15" t="s">
        <v>108</v>
      </c>
      <c r="C1061" s="16">
        <v>117</v>
      </c>
      <c r="D1061" s="16" t="s">
        <v>187</v>
      </c>
      <c r="E1061" s="17" t="s">
        <v>186</v>
      </c>
      <c r="F1061" s="24">
        <v>5</v>
      </c>
      <c r="G1061" s="19">
        <v>5</v>
      </c>
      <c r="H1061" s="19">
        <v>0</v>
      </c>
      <c r="I1061" s="19">
        <v>0</v>
      </c>
      <c r="T1061" s="19">
        <f>Registro[[#This Row],[Mes 1]]+Registro[[#This Row],[Mes 2]]+Registro[[#This Row],[Mes 3]]</f>
        <v>0</v>
      </c>
      <c r="U1061" s="19">
        <f>Registro[[#This Row],[Mes 4]]+Registro[[#This Row],[Mes 5]]+Registro[[#This Row],[Mes 6]]</f>
        <v>0</v>
      </c>
      <c r="V1061" s="19">
        <f>Registro[[#This Row],[Mes 7]]+Registro[[#This Row],[Mes 8]]+Registro[[#This Row],[Mes 9]]</f>
        <v>0</v>
      </c>
      <c r="W1061" s="20">
        <f>Registro[[#This Row],[Mes 10]]+Registro[[#This Row],[Mes 11]]+Registro[[#This Row],[Mes 12]]</f>
        <v>0</v>
      </c>
      <c r="X1061" s="20">
        <f>SUM(Registro[[#This Row],[Trim I]],Registro[[#This Row],[Trim II]],Registro[[#This Row],[Trim III]],Registro[[#This Row],[Trim IV]])</f>
        <v>0</v>
      </c>
      <c r="Y1061" s="22">
        <f>IFERROR((Registro[[#This Row],[Avance Total]]/Registro[[#This Row],[Meta]]),0)</f>
        <v>0</v>
      </c>
      <c r="Z1061" s="22">
        <f>IFERROR((Registro[[#This Row],[Avance Total]]-Registro[[#This Row],[Línea Base 2025]])/Registro[[#This Row],[Línea Base 2025]],0)</f>
        <v>-1</v>
      </c>
      <c r="AA1061" s="20">
        <v>2026</v>
      </c>
    </row>
    <row r="1062" spans="1:27" hidden="1">
      <c r="A1062" s="14">
        <v>1082</v>
      </c>
      <c r="B1062" s="15" t="s">
        <v>108</v>
      </c>
      <c r="C1062" s="16">
        <v>118</v>
      </c>
      <c r="D1062" s="16" t="s">
        <v>188</v>
      </c>
      <c r="E1062" s="17" t="s">
        <v>9</v>
      </c>
      <c r="F1062" s="24">
        <v>0</v>
      </c>
      <c r="G1062" s="19">
        <v>1</v>
      </c>
      <c r="H1062" s="19">
        <v>0</v>
      </c>
      <c r="I1062" s="19">
        <v>0</v>
      </c>
      <c r="T1062" s="19">
        <f>Registro[[#This Row],[Mes 1]]+Registro[[#This Row],[Mes 2]]+Registro[[#This Row],[Mes 3]]</f>
        <v>0</v>
      </c>
      <c r="U1062" s="19">
        <f>Registro[[#This Row],[Mes 4]]+Registro[[#This Row],[Mes 5]]+Registro[[#This Row],[Mes 6]]</f>
        <v>0</v>
      </c>
      <c r="V1062" s="19">
        <f>Registro[[#This Row],[Mes 7]]+Registro[[#This Row],[Mes 8]]+Registro[[#This Row],[Mes 9]]</f>
        <v>0</v>
      </c>
      <c r="W1062" s="20">
        <f>Registro[[#This Row],[Mes 10]]+Registro[[#This Row],[Mes 11]]+Registro[[#This Row],[Mes 12]]</f>
        <v>0</v>
      </c>
      <c r="X1062" s="20">
        <f>SUM(Registro[[#This Row],[Trim I]],Registro[[#This Row],[Trim II]],Registro[[#This Row],[Trim III]],Registro[[#This Row],[Trim IV]])</f>
        <v>0</v>
      </c>
      <c r="Y1062" s="22">
        <f>IFERROR((Registro[[#This Row],[Avance Total]]/Registro[[#This Row],[Meta]]),0)</f>
        <v>0</v>
      </c>
      <c r="Z1062" s="22">
        <f>IFERROR((Registro[[#This Row],[Avance Total]]-Registro[[#This Row],[Línea Base 2025]])/Registro[[#This Row],[Línea Base 2025]],0)</f>
        <v>0</v>
      </c>
      <c r="AA1062" s="20">
        <v>2026</v>
      </c>
    </row>
    <row r="1063" spans="1:27" hidden="1">
      <c r="A1063" s="14">
        <v>1082</v>
      </c>
      <c r="B1063" s="15" t="s">
        <v>108</v>
      </c>
      <c r="C1063" s="16">
        <v>119</v>
      </c>
      <c r="D1063" s="16" t="s">
        <v>190</v>
      </c>
      <c r="E1063" s="17" t="s">
        <v>189</v>
      </c>
      <c r="F1063" s="24">
        <v>0</v>
      </c>
      <c r="G1063" s="19">
        <v>1</v>
      </c>
      <c r="H1063" s="19">
        <v>0</v>
      </c>
      <c r="I1063" s="19">
        <v>0</v>
      </c>
      <c r="T1063" s="19">
        <f>Registro[[#This Row],[Mes 1]]+Registro[[#This Row],[Mes 2]]+Registro[[#This Row],[Mes 3]]</f>
        <v>0</v>
      </c>
      <c r="U1063" s="19">
        <f>Registro[[#This Row],[Mes 4]]+Registro[[#This Row],[Mes 5]]+Registro[[#This Row],[Mes 6]]</f>
        <v>0</v>
      </c>
      <c r="V1063" s="19">
        <f>Registro[[#This Row],[Mes 7]]+Registro[[#This Row],[Mes 8]]+Registro[[#This Row],[Mes 9]]</f>
        <v>0</v>
      </c>
      <c r="W1063" s="20">
        <f>Registro[[#This Row],[Mes 10]]+Registro[[#This Row],[Mes 11]]+Registro[[#This Row],[Mes 12]]</f>
        <v>0</v>
      </c>
      <c r="X1063" s="20">
        <f>SUM(Registro[[#This Row],[Trim I]],Registro[[#This Row],[Trim II]],Registro[[#This Row],[Trim III]],Registro[[#This Row],[Trim IV]])</f>
        <v>0</v>
      </c>
      <c r="Y1063" s="22">
        <f>IFERROR((Registro[[#This Row],[Avance Total]]/Registro[[#This Row],[Meta]]),0)</f>
        <v>0</v>
      </c>
      <c r="Z1063" s="22">
        <f>IFERROR((Registro[[#This Row],[Avance Total]]-Registro[[#This Row],[Línea Base 2025]])/Registro[[#This Row],[Línea Base 2025]],0)</f>
        <v>0</v>
      </c>
      <c r="AA1063" s="20">
        <v>2026</v>
      </c>
    </row>
    <row r="1064" spans="1:27" hidden="1">
      <c r="A1064" s="14">
        <v>1082</v>
      </c>
      <c r="B1064" s="15" t="s">
        <v>108</v>
      </c>
      <c r="C1064" s="16">
        <v>120</v>
      </c>
      <c r="D1064" s="16" t="s">
        <v>192</v>
      </c>
      <c r="E1064" s="17" t="s">
        <v>191</v>
      </c>
      <c r="F1064" s="24">
        <v>17</v>
      </c>
      <c r="G1064" s="19">
        <v>37</v>
      </c>
      <c r="H1064" s="19">
        <v>1</v>
      </c>
      <c r="I1064" s="19">
        <v>5</v>
      </c>
      <c r="T1064" s="19">
        <f>Registro[[#This Row],[Mes 1]]+Registro[[#This Row],[Mes 2]]+Registro[[#This Row],[Mes 3]]</f>
        <v>6</v>
      </c>
      <c r="U1064" s="19">
        <f>Registro[[#This Row],[Mes 4]]+Registro[[#This Row],[Mes 5]]+Registro[[#This Row],[Mes 6]]</f>
        <v>0</v>
      </c>
      <c r="V1064" s="19">
        <f>Registro[[#This Row],[Mes 7]]+Registro[[#This Row],[Mes 8]]+Registro[[#This Row],[Mes 9]]</f>
        <v>0</v>
      </c>
      <c r="W1064" s="20">
        <f>Registro[[#This Row],[Mes 10]]+Registro[[#This Row],[Mes 11]]+Registro[[#This Row],[Mes 12]]</f>
        <v>0</v>
      </c>
      <c r="X1064" s="20">
        <f>SUM(Registro[[#This Row],[Trim I]],Registro[[#This Row],[Trim II]],Registro[[#This Row],[Trim III]],Registro[[#This Row],[Trim IV]])</f>
        <v>6</v>
      </c>
      <c r="Y1064" s="22">
        <f>IFERROR((Registro[[#This Row],[Avance Total]]/Registro[[#This Row],[Meta]]),0)</f>
        <v>0.16216216216216217</v>
      </c>
      <c r="Z1064" s="22">
        <f>IFERROR((Registro[[#This Row],[Avance Total]]-Registro[[#This Row],[Línea Base 2025]])/Registro[[#This Row],[Línea Base 2025]],0)</f>
        <v>-0.6470588235294118</v>
      </c>
      <c r="AA1064" s="20">
        <v>2026</v>
      </c>
    </row>
    <row r="1065" spans="1:27" hidden="1">
      <c r="A1065" s="14">
        <v>1082</v>
      </c>
      <c r="B1065" s="15" t="s">
        <v>108</v>
      </c>
      <c r="C1065" s="16">
        <v>121</v>
      </c>
      <c r="D1065" s="16" t="s">
        <v>194</v>
      </c>
      <c r="E1065" s="17" t="s">
        <v>193</v>
      </c>
      <c r="F1065" s="24">
        <v>10</v>
      </c>
      <c r="G1065" s="19">
        <v>6</v>
      </c>
      <c r="H1065" s="19">
        <v>0</v>
      </c>
      <c r="I1065" s="19">
        <v>0</v>
      </c>
      <c r="T1065" s="19">
        <f>Registro[[#This Row],[Mes 1]]+Registro[[#This Row],[Mes 2]]+Registro[[#This Row],[Mes 3]]</f>
        <v>0</v>
      </c>
      <c r="U1065" s="19">
        <f>Registro[[#This Row],[Mes 4]]+Registro[[#This Row],[Mes 5]]+Registro[[#This Row],[Mes 6]]</f>
        <v>0</v>
      </c>
      <c r="V1065" s="19">
        <f>Registro[[#This Row],[Mes 7]]+Registro[[#This Row],[Mes 8]]+Registro[[#This Row],[Mes 9]]</f>
        <v>0</v>
      </c>
      <c r="W1065" s="20">
        <f>Registro[[#This Row],[Mes 10]]+Registro[[#This Row],[Mes 11]]+Registro[[#This Row],[Mes 12]]</f>
        <v>0</v>
      </c>
      <c r="X1065" s="20">
        <f>SUM(Registro[[#This Row],[Trim I]],Registro[[#This Row],[Trim II]],Registro[[#This Row],[Trim III]],Registro[[#This Row],[Trim IV]])</f>
        <v>0</v>
      </c>
      <c r="Y1065" s="22">
        <f>IFERROR((Registro[[#This Row],[Avance Total]]/Registro[[#This Row],[Meta]]),0)</f>
        <v>0</v>
      </c>
      <c r="Z1065" s="22">
        <f>IFERROR((Registro[[#This Row],[Avance Total]]-Registro[[#This Row],[Línea Base 2025]])/Registro[[#This Row],[Línea Base 2025]],0)</f>
        <v>-1</v>
      </c>
      <c r="AA1065" s="20">
        <v>2026</v>
      </c>
    </row>
    <row r="1066" spans="1:27" hidden="1">
      <c r="A1066" s="14">
        <v>1082</v>
      </c>
      <c r="B1066" s="15" t="s">
        <v>108</v>
      </c>
      <c r="C1066" s="16">
        <v>122</v>
      </c>
      <c r="D1066" s="16" t="s">
        <v>196</v>
      </c>
      <c r="E1066" s="17" t="s">
        <v>195</v>
      </c>
      <c r="F1066" s="24">
        <v>9</v>
      </c>
      <c r="G1066" s="19">
        <v>11</v>
      </c>
      <c r="H1066" s="19">
        <v>0</v>
      </c>
      <c r="I1066" s="19">
        <v>0</v>
      </c>
      <c r="T1066" s="19">
        <f>Registro[[#This Row],[Mes 1]]+Registro[[#This Row],[Mes 2]]+Registro[[#This Row],[Mes 3]]</f>
        <v>0</v>
      </c>
      <c r="U1066" s="19">
        <f>Registro[[#This Row],[Mes 4]]+Registro[[#This Row],[Mes 5]]+Registro[[#This Row],[Mes 6]]</f>
        <v>0</v>
      </c>
      <c r="V1066" s="19">
        <f>Registro[[#This Row],[Mes 7]]+Registro[[#This Row],[Mes 8]]+Registro[[#This Row],[Mes 9]]</f>
        <v>0</v>
      </c>
      <c r="W1066" s="20">
        <f>Registro[[#This Row],[Mes 10]]+Registro[[#This Row],[Mes 11]]+Registro[[#This Row],[Mes 12]]</f>
        <v>0</v>
      </c>
      <c r="X1066" s="20">
        <f>SUM(Registro[[#This Row],[Trim I]],Registro[[#This Row],[Trim II]],Registro[[#This Row],[Trim III]],Registro[[#This Row],[Trim IV]])</f>
        <v>0</v>
      </c>
      <c r="Y1066" s="22">
        <f>IFERROR((Registro[[#This Row],[Avance Total]]/Registro[[#This Row],[Meta]]),0)</f>
        <v>0</v>
      </c>
      <c r="Z1066" s="22">
        <f>IFERROR((Registro[[#This Row],[Avance Total]]-Registro[[#This Row],[Línea Base 2025]])/Registro[[#This Row],[Línea Base 2025]],0)</f>
        <v>-1</v>
      </c>
      <c r="AA1066" s="20">
        <v>2026</v>
      </c>
    </row>
    <row r="1067" spans="1:27" hidden="1">
      <c r="A1067" s="14">
        <v>1082</v>
      </c>
      <c r="B1067" s="15" t="s">
        <v>108</v>
      </c>
      <c r="C1067" s="16">
        <v>123</v>
      </c>
      <c r="D1067" s="16" t="s">
        <v>198</v>
      </c>
      <c r="E1067" s="17" t="s">
        <v>197</v>
      </c>
      <c r="F1067" s="24">
        <v>0</v>
      </c>
      <c r="G1067" s="19">
        <v>10</v>
      </c>
      <c r="H1067" s="19">
        <v>0</v>
      </c>
      <c r="I1067" s="19">
        <v>0</v>
      </c>
      <c r="T1067" s="19">
        <f>Registro[[#This Row],[Mes 1]]+Registro[[#This Row],[Mes 2]]+Registro[[#This Row],[Mes 3]]</f>
        <v>0</v>
      </c>
      <c r="U1067" s="19">
        <f>Registro[[#This Row],[Mes 4]]+Registro[[#This Row],[Mes 5]]+Registro[[#This Row],[Mes 6]]</f>
        <v>0</v>
      </c>
      <c r="V1067" s="19">
        <f>Registro[[#This Row],[Mes 7]]+Registro[[#This Row],[Mes 8]]+Registro[[#This Row],[Mes 9]]</f>
        <v>0</v>
      </c>
      <c r="W1067" s="20">
        <f>Registro[[#This Row],[Mes 10]]+Registro[[#This Row],[Mes 11]]+Registro[[#This Row],[Mes 12]]</f>
        <v>0</v>
      </c>
      <c r="X1067" s="20">
        <f>SUM(Registro[[#This Row],[Trim I]],Registro[[#This Row],[Trim II]],Registro[[#This Row],[Trim III]],Registro[[#This Row],[Trim IV]])</f>
        <v>0</v>
      </c>
      <c r="Y1067" s="22">
        <f>IFERROR((Registro[[#This Row],[Avance Total]]/Registro[[#This Row],[Meta]]),0)</f>
        <v>0</v>
      </c>
      <c r="Z1067" s="22">
        <f>IFERROR((Registro[[#This Row],[Avance Total]]-Registro[[#This Row],[Línea Base 2025]])/Registro[[#This Row],[Línea Base 2025]],0)</f>
        <v>0</v>
      </c>
      <c r="AA1067" s="20">
        <v>2026</v>
      </c>
    </row>
    <row r="1068" spans="1:27" hidden="1">
      <c r="A1068" s="14">
        <v>1083</v>
      </c>
      <c r="B1068" s="15" t="s">
        <v>13</v>
      </c>
      <c r="C1068" s="16">
        <v>111</v>
      </c>
      <c r="D1068" s="16" t="s">
        <v>171</v>
      </c>
      <c r="E1068" s="17" t="s">
        <v>172</v>
      </c>
      <c r="F1068" s="24">
        <v>0</v>
      </c>
      <c r="G1068" s="19">
        <v>41</v>
      </c>
      <c r="H1068" s="19">
        <v>2</v>
      </c>
      <c r="I1068" s="19">
        <v>4</v>
      </c>
      <c r="T1068" s="19">
        <f>Registro[[#This Row],[Mes 1]]+Registro[[#This Row],[Mes 2]]+Registro[[#This Row],[Mes 3]]</f>
        <v>6</v>
      </c>
      <c r="U1068" s="19">
        <f>Registro[[#This Row],[Mes 4]]+Registro[[#This Row],[Mes 5]]+Registro[[#This Row],[Mes 6]]</f>
        <v>0</v>
      </c>
      <c r="V1068" s="19">
        <f>Registro[[#This Row],[Mes 7]]+Registro[[#This Row],[Mes 8]]+Registro[[#This Row],[Mes 9]]</f>
        <v>0</v>
      </c>
      <c r="W1068" s="20">
        <f>Registro[[#This Row],[Mes 10]]+Registro[[#This Row],[Mes 11]]+Registro[[#This Row],[Mes 12]]</f>
        <v>0</v>
      </c>
      <c r="X1068" s="20">
        <f>SUM(Registro[[#This Row],[Trim I]],Registro[[#This Row],[Trim II]],Registro[[#This Row],[Trim III]],Registro[[#This Row],[Trim IV]])</f>
        <v>6</v>
      </c>
      <c r="Y1068" s="22">
        <f>IFERROR((Registro[[#This Row],[Avance Total]]/Registro[[#This Row],[Meta]]),0)</f>
        <v>0.14634146341463414</v>
      </c>
      <c r="Z1068" s="22">
        <f>IFERROR((Registro[[#This Row],[Avance Total]]-Registro[[#This Row],[Línea Base 2025]])/Registro[[#This Row],[Línea Base 2025]],0)</f>
        <v>0</v>
      </c>
      <c r="AA1068" s="20">
        <v>2026</v>
      </c>
    </row>
    <row r="1069" spans="1:27" hidden="1">
      <c r="A1069" s="14">
        <v>1083</v>
      </c>
      <c r="B1069" s="15" t="s">
        <v>13</v>
      </c>
      <c r="C1069" s="16">
        <v>112</v>
      </c>
      <c r="D1069" s="16" t="s">
        <v>173</v>
      </c>
      <c r="E1069" s="17" t="s">
        <v>7</v>
      </c>
      <c r="F1069" s="24">
        <v>0</v>
      </c>
      <c r="G1069" s="19">
        <v>1</v>
      </c>
      <c r="H1069" s="19">
        <v>0</v>
      </c>
      <c r="I1069" s="19">
        <v>0</v>
      </c>
      <c r="T1069" s="19">
        <f>Registro[[#This Row],[Mes 1]]+Registro[[#This Row],[Mes 2]]+Registro[[#This Row],[Mes 3]]</f>
        <v>0</v>
      </c>
      <c r="U1069" s="19">
        <f>Registro[[#This Row],[Mes 4]]+Registro[[#This Row],[Mes 5]]+Registro[[#This Row],[Mes 6]]</f>
        <v>0</v>
      </c>
      <c r="V1069" s="19">
        <f>Registro[[#This Row],[Mes 7]]+Registro[[#This Row],[Mes 8]]+Registro[[#This Row],[Mes 9]]</f>
        <v>0</v>
      </c>
      <c r="W1069" s="20">
        <f>Registro[[#This Row],[Mes 10]]+Registro[[#This Row],[Mes 11]]+Registro[[#This Row],[Mes 12]]</f>
        <v>0</v>
      </c>
      <c r="X1069" s="20">
        <f>SUM(Registro[[#This Row],[Trim I]],Registro[[#This Row],[Trim II]],Registro[[#This Row],[Trim III]],Registro[[#This Row],[Trim IV]])</f>
        <v>0</v>
      </c>
      <c r="Y1069" s="22">
        <f>IFERROR((Registro[[#This Row],[Avance Total]]/Registro[[#This Row],[Meta]]),0)</f>
        <v>0</v>
      </c>
      <c r="Z1069" s="22">
        <f>IFERROR((Registro[[#This Row],[Avance Total]]-Registro[[#This Row],[Línea Base 2025]])/Registro[[#This Row],[Línea Base 2025]],0)</f>
        <v>0</v>
      </c>
      <c r="AA1069" s="20">
        <v>2026</v>
      </c>
    </row>
    <row r="1070" spans="1:27" hidden="1">
      <c r="A1070" s="14">
        <v>1083</v>
      </c>
      <c r="B1070" s="15" t="s">
        <v>13</v>
      </c>
      <c r="C1070" s="16">
        <v>113</v>
      </c>
      <c r="D1070" s="16" t="s">
        <v>179</v>
      </c>
      <c r="E1070" s="17" t="s">
        <v>178</v>
      </c>
      <c r="F1070" s="24">
        <v>3</v>
      </c>
      <c r="G1070" s="19">
        <v>18</v>
      </c>
      <c r="H1070" s="19">
        <v>0</v>
      </c>
      <c r="I1070" s="19">
        <v>0</v>
      </c>
      <c r="T1070" s="19">
        <f>Registro[[#This Row],[Mes 1]]+Registro[[#This Row],[Mes 2]]+Registro[[#This Row],[Mes 3]]</f>
        <v>0</v>
      </c>
      <c r="U1070" s="19">
        <f>Registro[[#This Row],[Mes 4]]+Registro[[#This Row],[Mes 5]]+Registro[[#This Row],[Mes 6]]</f>
        <v>0</v>
      </c>
      <c r="V1070" s="19">
        <f>Registro[[#This Row],[Mes 7]]+Registro[[#This Row],[Mes 8]]+Registro[[#This Row],[Mes 9]]</f>
        <v>0</v>
      </c>
      <c r="W1070" s="20">
        <f>Registro[[#This Row],[Mes 10]]+Registro[[#This Row],[Mes 11]]+Registro[[#This Row],[Mes 12]]</f>
        <v>0</v>
      </c>
      <c r="X1070" s="20">
        <f>SUM(Registro[[#This Row],[Trim I]],Registro[[#This Row],[Trim II]],Registro[[#This Row],[Trim III]],Registro[[#This Row],[Trim IV]])</f>
        <v>0</v>
      </c>
      <c r="Y1070" s="22">
        <f>IFERROR((Registro[[#This Row],[Avance Total]]/Registro[[#This Row],[Meta]]),0)</f>
        <v>0</v>
      </c>
      <c r="Z1070" s="22">
        <f>IFERROR((Registro[[#This Row],[Avance Total]]-Registro[[#This Row],[Línea Base 2025]])/Registro[[#This Row],[Línea Base 2025]],0)</f>
        <v>-1</v>
      </c>
      <c r="AA1070" s="20">
        <v>2026</v>
      </c>
    </row>
    <row r="1071" spans="1:27" hidden="1">
      <c r="A1071" s="14">
        <v>1083</v>
      </c>
      <c r="B1071" s="15" t="s">
        <v>13</v>
      </c>
      <c r="C1071" s="16">
        <v>114</v>
      </c>
      <c r="D1071" s="16" t="s">
        <v>181</v>
      </c>
      <c r="E1071" s="17" t="s">
        <v>180</v>
      </c>
      <c r="F1071" s="24">
        <v>0</v>
      </c>
      <c r="G1071" s="19">
        <v>0</v>
      </c>
      <c r="H1071" s="19">
        <v>0</v>
      </c>
      <c r="I1071" s="19">
        <v>0</v>
      </c>
      <c r="T1071" s="19">
        <f>Registro[[#This Row],[Mes 1]]+Registro[[#This Row],[Mes 2]]+Registro[[#This Row],[Mes 3]]</f>
        <v>0</v>
      </c>
      <c r="U1071" s="19">
        <f>Registro[[#This Row],[Mes 4]]+Registro[[#This Row],[Mes 5]]+Registro[[#This Row],[Mes 6]]</f>
        <v>0</v>
      </c>
      <c r="V1071" s="19">
        <f>Registro[[#This Row],[Mes 7]]+Registro[[#This Row],[Mes 8]]+Registro[[#This Row],[Mes 9]]</f>
        <v>0</v>
      </c>
      <c r="W1071" s="20">
        <f>Registro[[#This Row],[Mes 10]]+Registro[[#This Row],[Mes 11]]+Registro[[#This Row],[Mes 12]]</f>
        <v>0</v>
      </c>
      <c r="X1071" s="20">
        <f>SUM(Registro[[#This Row],[Trim I]],Registro[[#This Row],[Trim II]],Registro[[#This Row],[Trim III]],Registro[[#This Row],[Trim IV]])</f>
        <v>0</v>
      </c>
      <c r="Y1071" s="22">
        <f>IFERROR((Registro[[#This Row],[Avance Total]]/Registro[[#This Row],[Meta]]),0)</f>
        <v>0</v>
      </c>
      <c r="Z1071" s="22">
        <f>IFERROR((Registro[[#This Row],[Avance Total]]-Registro[[#This Row],[Línea Base 2025]])/Registro[[#This Row],[Línea Base 2025]],0)</f>
        <v>0</v>
      </c>
      <c r="AA1071" s="20">
        <v>2026</v>
      </c>
    </row>
    <row r="1072" spans="1:27" hidden="1">
      <c r="A1072" s="14">
        <v>1083</v>
      </c>
      <c r="B1072" s="15" t="s">
        <v>13</v>
      </c>
      <c r="C1072" s="16">
        <v>115</v>
      </c>
      <c r="D1072" s="16" t="s">
        <v>183</v>
      </c>
      <c r="E1072" s="17" t="s">
        <v>182</v>
      </c>
      <c r="F1072" s="24">
        <v>0</v>
      </c>
      <c r="G1072" s="19">
        <v>0</v>
      </c>
      <c r="H1072" s="19">
        <v>0</v>
      </c>
      <c r="I1072" s="19">
        <v>0</v>
      </c>
      <c r="T1072" s="19">
        <f>Registro[[#This Row],[Mes 1]]+Registro[[#This Row],[Mes 2]]+Registro[[#This Row],[Mes 3]]</f>
        <v>0</v>
      </c>
      <c r="U1072" s="19">
        <f>Registro[[#This Row],[Mes 4]]+Registro[[#This Row],[Mes 5]]+Registro[[#This Row],[Mes 6]]</f>
        <v>0</v>
      </c>
      <c r="V1072" s="19">
        <f>Registro[[#This Row],[Mes 7]]+Registro[[#This Row],[Mes 8]]+Registro[[#This Row],[Mes 9]]</f>
        <v>0</v>
      </c>
      <c r="W1072" s="20">
        <f>Registro[[#This Row],[Mes 10]]+Registro[[#This Row],[Mes 11]]+Registro[[#This Row],[Mes 12]]</f>
        <v>0</v>
      </c>
      <c r="X1072" s="20">
        <f>SUM(Registro[[#This Row],[Trim I]],Registro[[#This Row],[Trim II]],Registro[[#This Row],[Trim III]],Registro[[#This Row],[Trim IV]])</f>
        <v>0</v>
      </c>
      <c r="Y1072" s="22">
        <f>IFERROR((Registro[[#This Row],[Avance Total]]/Registro[[#This Row],[Meta]]),0)</f>
        <v>0</v>
      </c>
      <c r="Z1072" s="22">
        <f>IFERROR((Registro[[#This Row],[Avance Total]]-Registro[[#This Row],[Línea Base 2025]])/Registro[[#This Row],[Línea Base 2025]],0)</f>
        <v>0</v>
      </c>
      <c r="AA1072" s="20">
        <v>2026</v>
      </c>
    </row>
    <row r="1073" spans="1:27">
      <c r="A1073" s="14">
        <v>1083</v>
      </c>
      <c r="B1073" s="15" t="s">
        <v>13</v>
      </c>
      <c r="C1073" s="16">
        <v>116</v>
      </c>
      <c r="D1073" s="16" t="s">
        <v>185</v>
      </c>
      <c r="E1073" s="17" t="s">
        <v>184</v>
      </c>
      <c r="F1073" s="24">
        <v>0</v>
      </c>
      <c r="G1073" s="19">
        <v>0</v>
      </c>
      <c r="H1073" s="19">
        <v>0</v>
      </c>
      <c r="I1073" s="19">
        <v>1</v>
      </c>
      <c r="T1073" s="19">
        <f>Registro[[#This Row],[Mes 1]]+Registro[[#This Row],[Mes 2]]+Registro[[#This Row],[Mes 3]]</f>
        <v>1</v>
      </c>
      <c r="U1073" s="19">
        <f>Registro[[#This Row],[Mes 4]]+Registro[[#This Row],[Mes 5]]+Registro[[#This Row],[Mes 6]]</f>
        <v>0</v>
      </c>
      <c r="V1073" s="19">
        <f>Registro[[#This Row],[Mes 7]]+Registro[[#This Row],[Mes 8]]+Registro[[#This Row],[Mes 9]]</f>
        <v>0</v>
      </c>
      <c r="W1073" s="20">
        <f>Registro[[#This Row],[Mes 10]]+Registro[[#This Row],[Mes 11]]+Registro[[#This Row],[Mes 12]]</f>
        <v>0</v>
      </c>
      <c r="X1073" s="20">
        <f>SUM(Registro[[#This Row],[Trim I]],Registro[[#This Row],[Trim II]],Registro[[#This Row],[Trim III]],Registro[[#This Row],[Trim IV]])</f>
        <v>1</v>
      </c>
      <c r="Y1073" s="22">
        <f>IFERROR((Registro[[#This Row],[Avance Total]]/Registro[[#This Row],[Meta]]),0)</f>
        <v>0</v>
      </c>
      <c r="Z1073" s="22">
        <f>IFERROR((Registro[[#This Row],[Avance Total]]-Registro[[#This Row],[Línea Base 2025]])/Registro[[#This Row],[Línea Base 2025]],0)</f>
        <v>0</v>
      </c>
      <c r="AA1073" s="20">
        <v>2026</v>
      </c>
    </row>
    <row r="1074" spans="1:27" hidden="1">
      <c r="A1074" s="14">
        <v>1083</v>
      </c>
      <c r="B1074" s="15" t="s">
        <v>13</v>
      </c>
      <c r="C1074" s="16">
        <v>117</v>
      </c>
      <c r="D1074" s="16" t="s">
        <v>187</v>
      </c>
      <c r="E1074" s="17" t="s">
        <v>186</v>
      </c>
      <c r="F1074" s="24">
        <v>0</v>
      </c>
      <c r="G1074" s="19">
        <v>0</v>
      </c>
      <c r="H1074" s="19">
        <v>0</v>
      </c>
      <c r="I1074" s="19">
        <v>0</v>
      </c>
      <c r="T1074" s="19">
        <f>Registro[[#This Row],[Mes 1]]+Registro[[#This Row],[Mes 2]]+Registro[[#This Row],[Mes 3]]</f>
        <v>0</v>
      </c>
      <c r="U1074" s="19">
        <f>Registro[[#This Row],[Mes 4]]+Registro[[#This Row],[Mes 5]]+Registro[[#This Row],[Mes 6]]</f>
        <v>0</v>
      </c>
      <c r="V1074" s="19">
        <f>Registro[[#This Row],[Mes 7]]+Registro[[#This Row],[Mes 8]]+Registro[[#This Row],[Mes 9]]</f>
        <v>0</v>
      </c>
      <c r="W1074" s="20">
        <f>Registro[[#This Row],[Mes 10]]+Registro[[#This Row],[Mes 11]]+Registro[[#This Row],[Mes 12]]</f>
        <v>0</v>
      </c>
      <c r="X1074" s="20">
        <f>SUM(Registro[[#This Row],[Trim I]],Registro[[#This Row],[Trim II]],Registro[[#This Row],[Trim III]],Registro[[#This Row],[Trim IV]])</f>
        <v>0</v>
      </c>
      <c r="Y1074" s="22">
        <f>IFERROR((Registro[[#This Row],[Avance Total]]/Registro[[#This Row],[Meta]]),0)</f>
        <v>0</v>
      </c>
      <c r="Z1074" s="22">
        <f>IFERROR((Registro[[#This Row],[Avance Total]]-Registro[[#This Row],[Línea Base 2025]])/Registro[[#This Row],[Línea Base 2025]],0)</f>
        <v>0</v>
      </c>
      <c r="AA1074" s="20">
        <v>2026</v>
      </c>
    </row>
    <row r="1075" spans="1:27" hidden="1">
      <c r="A1075" s="14">
        <v>1083</v>
      </c>
      <c r="B1075" s="15" t="s">
        <v>13</v>
      </c>
      <c r="C1075" s="16">
        <v>118</v>
      </c>
      <c r="D1075" s="16" t="s">
        <v>188</v>
      </c>
      <c r="E1075" s="17" t="s">
        <v>9</v>
      </c>
      <c r="F1075" s="24">
        <v>0</v>
      </c>
      <c r="G1075" s="19">
        <v>0</v>
      </c>
      <c r="H1075" s="19">
        <v>0</v>
      </c>
      <c r="I1075" s="19">
        <v>0</v>
      </c>
      <c r="T1075" s="19">
        <f>Registro[[#This Row],[Mes 1]]+Registro[[#This Row],[Mes 2]]+Registro[[#This Row],[Mes 3]]</f>
        <v>0</v>
      </c>
      <c r="U1075" s="19">
        <f>Registro[[#This Row],[Mes 4]]+Registro[[#This Row],[Mes 5]]+Registro[[#This Row],[Mes 6]]</f>
        <v>0</v>
      </c>
      <c r="V1075" s="19">
        <f>Registro[[#This Row],[Mes 7]]+Registro[[#This Row],[Mes 8]]+Registro[[#This Row],[Mes 9]]</f>
        <v>0</v>
      </c>
      <c r="W1075" s="20">
        <f>Registro[[#This Row],[Mes 10]]+Registro[[#This Row],[Mes 11]]+Registro[[#This Row],[Mes 12]]</f>
        <v>0</v>
      </c>
      <c r="X1075" s="20">
        <f>SUM(Registro[[#This Row],[Trim I]],Registro[[#This Row],[Trim II]],Registro[[#This Row],[Trim III]],Registro[[#This Row],[Trim IV]])</f>
        <v>0</v>
      </c>
      <c r="Y1075" s="22">
        <f>IFERROR((Registro[[#This Row],[Avance Total]]/Registro[[#This Row],[Meta]]),0)</f>
        <v>0</v>
      </c>
      <c r="Z1075" s="22">
        <f>IFERROR((Registro[[#This Row],[Avance Total]]-Registro[[#This Row],[Línea Base 2025]])/Registro[[#This Row],[Línea Base 2025]],0)</f>
        <v>0</v>
      </c>
      <c r="AA1075" s="20">
        <v>2026</v>
      </c>
    </row>
    <row r="1076" spans="1:27" hidden="1">
      <c r="A1076" s="14">
        <v>1083</v>
      </c>
      <c r="B1076" s="15" t="s">
        <v>13</v>
      </c>
      <c r="C1076" s="16">
        <v>119</v>
      </c>
      <c r="D1076" s="16" t="s">
        <v>190</v>
      </c>
      <c r="E1076" s="17" t="s">
        <v>189</v>
      </c>
      <c r="F1076" s="24">
        <v>0</v>
      </c>
      <c r="G1076" s="19">
        <v>0</v>
      </c>
      <c r="H1076" s="19">
        <v>0</v>
      </c>
      <c r="I1076" s="19">
        <v>0</v>
      </c>
      <c r="T1076" s="19">
        <f>Registro[[#This Row],[Mes 1]]+Registro[[#This Row],[Mes 2]]+Registro[[#This Row],[Mes 3]]</f>
        <v>0</v>
      </c>
      <c r="U1076" s="19">
        <f>Registro[[#This Row],[Mes 4]]+Registro[[#This Row],[Mes 5]]+Registro[[#This Row],[Mes 6]]</f>
        <v>0</v>
      </c>
      <c r="V1076" s="19">
        <f>Registro[[#This Row],[Mes 7]]+Registro[[#This Row],[Mes 8]]+Registro[[#This Row],[Mes 9]]</f>
        <v>0</v>
      </c>
      <c r="W1076" s="20">
        <f>Registro[[#This Row],[Mes 10]]+Registro[[#This Row],[Mes 11]]+Registro[[#This Row],[Mes 12]]</f>
        <v>0</v>
      </c>
      <c r="X1076" s="20">
        <f>SUM(Registro[[#This Row],[Trim I]],Registro[[#This Row],[Trim II]],Registro[[#This Row],[Trim III]],Registro[[#This Row],[Trim IV]])</f>
        <v>0</v>
      </c>
      <c r="Y1076" s="22">
        <f>IFERROR((Registro[[#This Row],[Avance Total]]/Registro[[#This Row],[Meta]]),0)</f>
        <v>0</v>
      </c>
      <c r="Z1076" s="22">
        <f>IFERROR((Registro[[#This Row],[Avance Total]]-Registro[[#This Row],[Línea Base 2025]])/Registro[[#This Row],[Línea Base 2025]],0)</f>
        <v>0</v>
      </c>
      <c r="AA1076" s="20">
        <v>2026</v>
      </c>
    </row>
    <row r="1077" spans="1:27" hidden="1">
      <c r="A1077" s="14">
        <v>1083</v>
      </c>
      <c r="B1077" s="15" t="s">
        <v>13</v>
      </c>
      <c r="C1077" s="16">
        <v>120</v>
      </c>
      <c r="D1077" s="16" t="s">
        <v>192</v>
      </c>
      <c r="E1077" s="17" t="s">
        <v>191</v>
      </c>
      <c r="F1077" s="24">
        <v>0</v>
      </c>
      <c r="G1077" s="19">
        <v>0</v>
      </c>
      <c r="H1077" s="19">
        <v>0</v>
      </c>
      <c r="I1077" s="19">
        <v>0</v>
      </c>
      <c r="T1077" s="19">
        <f>Registro[[#This Row],[Mes 1]]+Registro[[#This Row],[Mes 2]]+Registro[[#This Row],[Mes 3]]</f>
        <v>0</v>
      </c>
      <c r="U1077" s="19">
        <f>Registro[[#This Row],[Mes 4]]+Registro[[#This Row],[Mes 5]]+Registro[[#This Row],[Mes 6]]</f>
        <v>0</v>
      </c>
      <c r="V1077" s="19">
        <f>Registro[[#This Row],[Mes 7]]+Registro[[#This Row],[Mes 8]]+Registro[[#This Row],[Mes 9]]</f>
        <v>0</v>
      </c>
      <c r="W1077" s="20">
        <f>Registro[[#This Row],[Mes 10]]+Registro[[#This Row],[Mes 11]]+Registro[[#This Row],[Mes 12]]</f>
        <v>0</v>
      </c>
      <c r="X1077" s="20">
        <f>SUM(Registro[[#This Row],[Trim I]],Registro[[#This Row],[Trim II]],Registro[[#This Row],[Trim III]],Registro[[#This Row],[Trim IV]])</f>
        <v>0</v>
      </c>
      <c r="Y1077" s="22">
        <f>IFERROR((Registro[[#This Row],[Avance Total]]/Registro[[#This Row],[Meta]]),0)</f>
        <v>0</v>
      </c>
      <c r="Z1077" s="22">
        <f>IFERROR((Registro[[#This Row],[Avance Total]]-Registro[[#This Row],[Línea Base 2025]])/Registro[[#This Row],[Línea Base 2025]],0)</f>
        <v>0</v>
      </c>
      <c r="AA1077" s="20">
        <v>2026</v>
      </c>
    </row>
    <row r="1078" spans="1:27" hidden="1">
      <c r="A1078" s="14">
        <v>1083</v>
      </c>
      <c r="B1078" s="15" t="s">
        <v>13</v>
      </c>
      <c r="C1078" s="16">
        <v>121</v>
      </c>
      <c r="D1078" s="16" t="s">
        <v>194</v>
      </c>
      <c r="E1078" s="17" t="s">
        <v>193</v>
      </c>
      <c r="F1078" s="24">
        <v>0</v>
      </c>
      <c r="G1078" s="19">
        <v>0</v>
      </c>
      <c r="H1078" s="19">
        <v>0</v>
      </c>
      <c r="I1078" s="19">
        <v>0</v>
      </c>
      <c r="T1078" s="19">
        <f>Registro[[#This Row],[Mes 1]]+Registro[[#This Row],[Mes 2]]+Registro[[#This Row],[Mes 3]]</f>
        <v>0</v>
      </c>
      <c r="U1078" s="19">
        <f>Registro[[#This Row],[Mes 4]]+Registro[[#This Row],[Mes 5]]+Registro[[#This Row],[Mes 6]]</f>
        <v>0</v>
      </c>
      <c r="V1078" s="19">
        <f>Registro[[#This Row],[Mes 7]]+Registro[[#This Row],[Mes 8]]+Registro[[#This Row],[Mes 9]]</f>
        <v>0</v>
      </c>
      <c r="W1078" s="20">
        <f>Registro[[#This Row],[Mes 10]]+Registro[[#This Row],[Mes 11]]+Registro[[#This Row],[Mes 12]]</f>
        <v>0</v>
      </c>
      <c r="X1078" s="20">
        <f>SUM(Registro[[#This Row],[Trim I]],Registro[[#This Row],[Trim II]],Registro[[#This Row],[Trim III]],Registro[[#This Row],[Trim IV]])</f>
        <v>0</v>
      </c>
      <c r="Y1078" s="22">
        <f>IFERROR((Registro[[#This Row],[Avance Total]]/Registro[[#This Row],[Meta]]),0)</f>
        <v>0</v>
      </c>
      <c r="Z1078" s="22">
        <f>IFERROR((Registro[[#This Row],[Avance Total]]-Registro[[#This Row],[Línea Base 2025]])/Registro[[#This Row],[Línea Base 2025]],0)</f>
        <v>0</v>
      </c>
      <c r="AA1078" s="20">
        <v>2026</v>
      </c>
    </row>
    <row r="1079" spans="1:27" hidden="1">
      <c r="A1079" s="14">
        <v>1083</v>
      </c>
      <c r="B1079" s="15" t="s">
        <v>13</v>
      </c>
      <c r="C1079" s="16">
        <v>122</v>
      </c>
      <c r="D1079" s="16" t="s">
        <v>196</v>
      </c>
      <c r="E1079" s="17" t="s">
        <v>195</v>
      </c>
      <c r="F1079" s="24">
        <v>0</v>
      </c>
      <c r="G1079" s="19">
        <v>0</v>
      </c>
      <c r="H1079" s="19">
        <v>0</v>
      </c>
      <c r="I1079" s="19">
        <v>0</v>
      </c>
      <c r="T1079" s="19">
        <f>Registro[[#This Row],[Mes 1]]+Registro[[#This Row],[Mes 2]]+Registro[[#This Row],[Mes 3]]</f>
        <v>0</v>
      </c>
      <c r="U1079" s="19">
        <f>Registro[[#This Row],[Mes 4]]+Registro[[#This Row],[Mes 5]]+Registro[[#This Row],[Mes 6]]</f>
        <v>0</v>
      </c>
      <c r="V1079" s="19">
        <f>Registro[[#This Row],[Mes 7]]+Registro[[#This Row],[Mes 8]]+Registro[[#This Row],[Mes 9]]</f>
        <v>0</v>
      </c>
      <c r="W1079" s="20">
        <f>Registro[[#This Row],[Mes 10]]+Registro[[#This Row],[Mes 11]]+Registro[[#This Row],[Mes 12]]</f>
        <v>0</v>
      </c>
      <c r="X1079" s="20">
        <f>SUM(Registro[[#This Row],[Trim I]],Registro[[#This Row],[Trim II]],Registro[[#This Row],[Trim III]],Registro[[#This Row],[Trim IV]])</f>
        <v>0</v>
      </c>
      <c r="Y1079" s="22">
        <f>IFERROR((Registro[[#This Row],[Avance Total]]/Registro[[#This Row],[Meta]]),0)</f>
        <v>0</v>
      </c>
      <c r="Z1079" s="22">
        <f>IFERROR((Registro[[#This Row],[Avance Total]]-Registro[[#This Row],[Línea Base 2025]])/Registro[[#This Row],[Línea Base 2025]],0)</f>
        <v>0</v>
      </c>
      <c r="AA1079" s="20">
        <v>2026</v>
      </c>
    </row>
    <row r="1080" spans="1:27" hidden="1">
      <c r="A1080" s="14">
        <v>1083</v>
      </c>
      <c r="B1080" s="15" t="s">
        <v>13</v>
      </c>
      <c r="C1080" s="16">
        <v>123</v>
      </c>
      <c r="D1080" s="16" t="s">
        <v>198</v>
      </c>
      <c r="E1080" s="17" t="s">
        <v>197</v>
      </c>
      <c r="F1080" s="24">
        <v>0</v>
      </c>
      <c r="G1080" s="19">
        <v>0</v>
      </c>
      <c r="H1080" s="19">
        <v>0</v>
      </c>
      <c r="I1080" s="19">
        <v>0</v>
      </c>
      <c r="T1080" s="19">
        <f>Registro[[#This Row],[Mes 1]]+Registro[[#This Row],[Mes 2]]+Registro[[#This Row],[Mes 3]]</f>
        <v>0</v>
      </c>
      <c r="U1080" s="19">
        <f>Registro[[#This Row],[Mes 4]]+Registro[[#This Row],[Mes 5]]+Registro[[#This Row],[Mes 6]]</f>
        <v>0</v>
      </c>
      <c r="V1080" s="19">
        <f>Registro[[#This Row],[Mes 7]]+Registro[[#This Row],[Mes 8]]+Registro[[#This Row],[Mes 9]]</f>
        <v>0</v>
      </c>
      <c r="W1080" s="20">
        <f>Registro[[#This Row],[Mes 10]]+Registro[[#This Row],[Mes 11]]+Registro[[#This Row],[Mes 12]]</f>
        <v>0</v>
      </c>
      <c r="X1080" s="20">
        <f>SUM(Registro[[#This Row],[Trim I]],Registro[[#This Row],[Trim II]],Registro[[#This Row],[Trim III]],Registro[[#This Row],[Trim IV]])</f>
        <v>0</v>
      </c>
      <c r="Y1080" s="22">
        <f>IFERROR((Registro[[#This Row],[Avance Total]]/Registro[[#This Row],[Meta]]),0)</f>
        <v>0</v>
      </c>
      <c r="Z1080" s="22">
        <f>IFERROR((Registro[[#This Row],[Avance Total]]-Registro[[#This Row],[Línea Base 2025]])/Registro[[#This Row],[Línea Base 2025]],0)</f>
        <v>0</v>
      </c>
      <c r="AA1080" s="20">
        <v>2026</v>
      </c>
    </row>
    <row r="1081" spans="1:27" hidden="1">
      <c r="A1081" s="14">
        <v>1084</v>
      </c>
      <c r="B1081" s="15" t="s">
        <v>109</v>
      </c>
      <c r="C1081" s="16">
        <v>111</v>
      </c>
      <c r="D1081" s="16" t="s">
        <v>171</v>
      </c>
      <c r="E1081" s="17" t="s">
        <v>172</v>
      </c>
      <c r="F1081" s="24">
        <v>56</v>
      </c>
      <c r="G1081" s="19">
        <v>167</v>
      </c>
      <c r="H1081" s="19">
        <v>8</v>
      </c>
      <c r="I1081" s="19">
        <v>20</v>
      </c>
      <c r="T1081" s="19">
        <f>Registro[[#This Row],[Mes 1]]+Registro[[#This Row],[Mes 2]]+Registro[[#This Row],[Mes 3]]</f>
        <v>28</v>
      </c>
      <c r="U1081" s="19">
        <f>Registro[[#This Row],[Mes 4]]+Registro[[#This Row],[Mes 5]]+Registro[[#This Row],[Mes 6]]</f>
        <v>0</v>
      </c>
      <c r="V1081" s="19">
        <f>Registro[[#This Row],[Mes 7]]+Registro[[#This Row],[Mes 8]]+Registro[[#This Row],[Mes 9]]</f>
        <v>0</v>
      </c>
      <c r="W1081" s="20">
        <f>Registro[[#This Row],[Mes 10]]+Registro[[#This Row],[Mes 11]]+Registro[[#This Row],[Mes 12]]</f>
        <v>0</v>
      </c>
      <c r="X1081" s="20">
        <f>SUM(Registro[[#This Row],[Trim I]],Registro[[#This Row],[Trim II]],Registro[[#This Row],[Trim III]],Registro[[#This Row],[Trim IV]])</f>
        <v>28</v>
      </c>
      <c r="Y1081" s="22">
        <f>IFERROR((Registro[[#This Row],[Avance Total]]/Registro[[#This Row],[Meta]]),0)</f>
        <v>0.16766467065868262</v>
      </c>
      <c r="Z1081" s="22">
        <f>IFERROR((Registro[[#This Row],[Avance Total]]-Registro[[#This Row],[Línea Base 2025]])/Registro[[#This Row],[Línea Base 2025]],0)</f>
        <v>-0.5</v>
      </c>
      <c r="AA1081" s="20">
        <v>2026</v>
      </c>
    </row>
    <row r="1082" spans="1:27" hidden="1">
      <c r="A1082" s="14">
        <v>1084</v>
      </c>
      <c r="B1082" s="15" t="s">
        <v>109</v>
      </c>
      <c r="C1082" s="16">
        <v>112</v>
      </c>
      <c r="D1082" s="16" t="s">
        <v>173</v>
      </c>
      <c r="E1082" s="17" t="s">
        <v>7</v>
      </c>
      <c r="F1082" s="24">
        <v>44</v>
      </c>
      <c r="G1082" s="19">
        <v>242</v>
      </c>
      <c r="H1082" s="19">
        <v>0</v>
      </c>
      <c r="I1082" s="19">
        <v>0</v>
      </c>
      <c r="T1082" s="19">
        <f>Registro[[#This Row],[Mes 1]]+Registro[[#This Row],[Mes 2]]+Registro[[#This Row],[Mes 3]]</f>
        <v>0</v>
      </c>
      <c r="U1082" s="19">
        <f>Registro[[#This Row],[Mes 4]]+Registro[[#This Row],[Mes 5]]+Registro[[#This Row],[Mes 6]]</f>
        <v>0</v>
      </c>
      <c r="V1082" s="19">
        <f>Registro[[#This Row],[Mes 7]]+Registro[[#This Row],[Mes 8]]+Registro[[#This Row],[Mes 9]]</f>
        <v>0</v>
      </c>
      <c r="W1082" s="20">
        <f>Registro[[#This Row],[Mes 10]]+Registro[[#This Row],[Mes 11]]+Registro[[#This Row],[Mes 12]]</f>
        <v>0</v>
      </c>
      <c r="X1082" s="20">
        <f>SUM(Registro[[#This Row],[Trim I]],Registro[[#This Row],[Trim II]],Registro[[#This Row],[Trim III]],Registro[[#This Row],[Trim IV]])</f>
        <v>0</v>
      </c>
      <c r="Y1082" s="22">
        <f>IFERROR((Registro[[#This Row],[Avance Total]]/Registro[[#This Row],[Meta]]),0)</f>
        <v>0</v>
      </c>
      <c r="Z1082" s="22">
        <f>IFERROR((Registro[[#This Row],[Avance Total]]-Registro[[#This Row],[Línea Base 2025]])/Registro[[#This Row],[Línea Base 2025]],0)</f>
        <v>-1</v>
      </c>
      <c r="AA1082" s="20">
        <v>2026</v>
      </c>
    </row>
    <row r="1083" spans="1:27" hidden="1">
      <c r="A1083" s="14">
        <v>1084</v>
      </c>
      <c r="B1083" s="15" t="s">
        <v>109</v>
      </c>
      <c r="C1083" s="16">
        <v>113</v>
      </c>
      <c r="D1083" s="16" t="s">
        <v>179</v>
      </c>
      <c r="E1083" s="17" t="s">
        <v>178</v>
      </c>
      <c r="F1083" s="24">
        <v>41</v>
      </c>
      <c r="G1083" s="19">
        <v>380</v>
      </c>
      <c r="H1083" s="19">
        <v>3</v>
      </c>
      <c r="I1083" s="19">
        <v>3</v>
      </c>
      <c r="T1083" s="19">
        <f>Registro[[#This Row],[Mes 1]]+Registro[[#This Row],[Mes 2]]+Registro[[#This Row],[Mes 3]]</f>
        <v>6</v>
      </c>
      <c r="U1083" s="19">
        <f>Registro[[#This Row],[Mes 4]]+Registro[[#This Row],[Mes 5]]+Registro[[#This Row],[Mes 6]]</f>
        <v>0</v>
      </c>
      <c r="V1083" s="19">
        <f>Registro[[#This Row],[Mes 7]]+Registro[[#This Row],[Mes 8]]+Registro[[#This Row],[Mes 9]]</f>
        <v>0</v>
      </c>
      <c r="W1083" s="20">
        <f>Registro[[#This Row],[Mes 10]]+Registro[[#This Row],[Mes 11]]+Registro[[#This Row],[Mes 12]]</f>
        <v>0</v>
      </c>
      <c r="X1083" s="20">
        <f>SUM(Registro[[#This Row],[Trim I]],Registro[[#This Row],[Trim II]],Registro[[#This Row],[Trim III]],Registro[[#This Row],[Trim IV]])</f>
        <v>6</v>
      </c>
      <c r="Y1083" s="22">
        <f>IFERROR((Registro[[#This Row],[Avance Total]]/Registro[[#This Row],[Meta]]),0)</f>
        <v>1.5789473684210527E-2</v>
      </c>
      <c r="Z1083" s="22">
        <f>IFERROR((Registro[[#This Row],[Avance Total]]-Registro[[#This Row],[Línea Base 2025]])/Registro[[#This Row],[Línea Base 2025]],0)</f>
        <v>-0.85365853658536583</v>
      </c>
      <c r="AA1083" s="20">
        <v>2026</v>
      </c>
    </row>
    <row r="1084" spans="1:27" hidden="1">
      <c r="A1084" s="14">
        <v>1084</v>
      </c>
      <c r="B1084" s="15" t="s">
        <v>109</v>
      </c>
      <c r="C1084" s="16">
        <v>114</v>
      </c>
      <c r="D1084" s="16" t="s">
        <v>181</v>
      </c>
      <c r="E1084" s="17" t="s">
        <v>180</v>
      </c>
      <c r="F1084" s="24">
        <v>0</v>
      </c>
      <c r="G1084" s="19">
        <v>72</v>
      </c>
      <c r="H1084" s="19">
        <v>43</v>
      </c>
      <c r="I1084" s="19">
        <v>0</v>
      </c>
      <c r="T1084" s="19">
        <f>Registro[[#This Row],[Mes 1]]+Registro[[#This Row],[Mes 2]]+Registro[[#This Row],[Mes 3]]</f>
        <v>43</v>
      </c>
      <c r="U1084" s="19">
        <f>Registro[[#This Row],[Mes 4]]+Registro[[#This Row],[Mes 5]]+Registro[[#This Row],[Mes 6]]</f>
        <v>0</v>
      </c>
      <c r="V1084" s="19">
        <f>Registro[[#This Row],[Mes 7]]+Registro[[#This Row],[Mes 8]]+Registro[[#This Row],[Mes 9]]</f>
        <v>0</v>
      </c>
      <c r="W1084" s="20">
        <f>Registro[[#This Row],[Mes 10]]+Registro[[#This Row],[Mes 11]]+Registro[[#This Row],[Mes 12]]</f>
        <v>0</v>
      </c>
      <c r="X1084" s="20">
        <f>SUM(Registro[[#This Row],[Trim I]],Registro[[#This Row],[Trim II]],Registro[[#This Row],[Trim III]],Registro[[#This Row],[Trim IV]])</f>
        <v>43</v>
      </c>
      <c r="Y1084" s="22">
        <f>IFERROR((Registro[[#This Row],[Avance Total]]/Registro[[#This Row],[Meta]]),0)</f>
        <v>0.59722222222222221</v>
      </c>
      <c r="Z1084" s="22">
        <f>IFERROR((Registro[[#This Row],[Avance Total]]-Registro[[#This Row],[Línea Base 2025]])/Registro[[#This Row],[Línea Base 2025]],0)</f>
        <v>0</v>
      </c>
      <c r="AA1084" s="20">
        <v>2026</v>
      </c>
    </row>
    <row r="1085" spans="1:27" hidden="1">
      <c r="A1085" s="14">
        <v>1084</v>
      </c>
      <c r="B1085" s="15" t="s">
        <v>109</v>
      </c>
      <c r="C1085" s="16">
        <v>115</v>
      </c>
      <c r="D1085" s="16" t="s">
        <v>183</v>
      </c>
      <c r="E1085" s="17" t="s">
        <v>182</v>
      </c>
      <c r="F1085" s="24">
        <v>5</v>
      </c>
      <c r="G1085" s="19">
        <v>14</v>
      </c>
      <c r="H1085" s="19">
        <v>0</v>
      </c>
      <c r="I1085" s="19">
        <v>10</v>
      </c>
      <c r="T1085" s="19">
        <f>Registro[[#This Row],[Mes 1]]+Registro[[#This Row],[Mes 2]]+Registro[[#This Row],[Mes 3]]</f>
        <v>10</v>
      </c>
      <c r="U1085" s="19">
        <f>Registro[[#This Row],[Mes 4]]+Registro[[#This Row],[Mes 5]]+Registro[[#This Row],[Mes 6]]</f>
        <v>0</v>
      </c>
      <c r="V1085" s="19">
        <f>Registro[[#This Row],[Mes 7]]+Registro[[#This Row],[Mes 8]]+Registro[[#This Row],[Mes 9]]</f>
        <v>0</v>
      </c>
      <c r="W1085" s="20">
        <f>Registro[[#This Row],[Mes 10]]+Registro[[#This Row],[Mes 11]]+Registro[[#This Row],[Mes 12]]</f>
        <v>0</v>
      </c>
      <c r="X1085" s="20">
        <f>SUM(Registro[[#This Row],[Trim I]],Registro[[#This Row],[Trim II]],Registro[[#This Row],[Trim III]],Registro[[#This Row],[Trim IV]])</f>
        <v>10</v>
      </c>
      <c r="Y1085" s="22">
        <f>IFERROR((Registro[[#This Row],[Avance Total]]/Registro[[#This Row],[Meta]]),0)</f>
        <v>0.7142857142857143</v>
      </c>
      <c r="Z1085" s="22">
        <f>IFERROR((Registro[[#This Row],[Avance Total]]-Registro[[#This Row],[Línea Base 2025]])/Registro[[#This Row],[Línea Base 2025]],0)</f>
        <v>1</v>
      </c>
      <c r="AA1085" s="20">
        <v>2026</v>
      </c>
    </row>
    <row r="1086" spans="1:27">
      <c r="A1086" s="14">
        <v>1084</v>
      </c>
      <c r="B1086" s="15" t="s">
        <v>109</v>
      </c>
      <c r="C1086" s="16">
        <v>116</v>
      </c>
      <c r="D1086" s="16" t="s">
        <v>185</v>
      </c>
      <c r="E1086" s="17" t="s">
        <v>184</v>
      </c>
      <c r="F1086" s="24">
        <v>2</v>
      </c>
      <c r="G1086" s="19">
        <v>3</v>
      </c>
      <c r="H1086" s="19">
        <v>1</v>
      </c>
      <c r="I1086" s="19">
        <v>1</v>
      </c>
      <c r="T1086" s="19">
        <f>Registro[[#This Row],[Mes 1]]+Registro[[#This Row],[Mes 2]]+Registro[[#This Row],[Mes 3]]</f>
        <v>2</v>
      </c>
      <c r="U1086" s="19">
        <f>Registro[[#This Row],[Mes 4]]+Registro[[#This Row],[Mes 5]]+Registro[[#This Row],[Mes 6]]</f>
        <v>0</v>
      </c>
      <c r="V1086" s="19">
        <f>Registro[[#This Row],[Mes 7]]+Registro[[#This Row],[Mes 8]]+Registro[[#This Row],[Mes 9]]</f>
        <v>0</v>
      </c>
      <c r="W1086" s="20">
        <f>Registro[[#This Row],[Mes 10]]+Registro[[#This Row],[Mes 11]]+Registro[[#This Row],[Mes 12]]</f>
        <v>0</v>
      </c>
      <c r="X1086" s="20">
        <f>SUM(Registro[[#This Row],[Trim I]],Registro[[#This Row],[Trim II]],Registro[[#This Row],[Trim III]],Registro[[#This Row],[Trim IV]])</f>
        <v>2</v>
      </c>
      <c r="Y1086" s="22">
        <f>IFERROR((Registro[[#This Row],[Avance Total]]/Registro[[#This Row],[Meta]]),0)</f>
        <v>0.66666666666666663</v>
      </c>
      <c r="Z1086" s="22">
        <f>IFERROR((Registro[[#This Row],[Avance Total]]-Registro[[#This Row],[Línea Base 2025]])/Registro[[#This Row],[Línea Base 2025]],0)</f>
        <v>0</v>
      </c>
      <c r="AA1086" s="20">
        <v>2026</v>
      </c>
    </row>
    <row r="1087" spans="1:27" hidden="1">
      <c r="A1087" s="14">
        <v>1084</v>
      </c>
      <c r="B1087" s="15" t="s">
        <v>109</v>
      </c>
      <c r="C1087" s="16">
        <v>117</v>
      </c>
      <c r="D1087" s="16" t="s">
        <v>187</v>
      </c>
      <c r="E1087" s="17" t="s">
        <v>186</v>
      </c>
      <c r="F1087" s="24">
        <v>7</v>
      </c>
      <c r="G1087" s="19">
        <v>5</v>
      </c>
      <c r="H1087" s="19">
        <v>0</v>
      </c>
      <c r="I1087" s="19">
        <v>0</v>
      </c>
      <c r="T1087" s="19">
        <f>Registro[[#This Row],[Mes 1]]+Registro[[#This Row],[Mes 2]]+Registro[[#This Row],[Mes 3]]</f>
        <v>0</v>
      </c>
      <c r="U1087" s="19">
        <f>Registro[[#This Row],[Mes 4]]+Registro[[#This Row],[Mes 5]]+Registro[[#This Row],[Mes 6]]</f>
        <v>0</v>
      </c>
      <c r="V1087" s="19">
        <f>Registro[[#This Row],[Mes 7]]+Registro[[#This Row],[Mes 8]]+Registro[[#This Row],[Mes 9]]</f>
        <v>0</v>
      </c>
      <c r="W1087" s="20">
        <f>Registro[[#This Row],[Mes 10]]+Registro[[#This Row],[Mes 11]]+Registro[[#This Row],[Mes 12]]</f>
        <v>0</v>
      </c>
      <c r="X1087" s="20">
        <f>SUM(Registro[[#This Row],[Trim I]],Registro[[#This Row],[Trim II]],Registro[[#This Row],[Trim III]],Registro[[#This Row],[Trim IV]])</f>
        <v>0</v>
      </c>
      <c r="Y1087" s="22">
        <f>IFERROR((Registro[[#This Row],[Avance Total]]/Registro[[#This Row],[Meta]]),0)</f>
        <v>0</v>
      </c>
      <c r="Z1087" s="22">
        <f>IFERROR((Registro[[#This Row],[Avance Total]]-Registro[[#This Row],[Línea Base 2025]])/Registro[[#This Row],[Línea Base 2025]],0)</f>
        <v>-1</v>
      </c>
      <c r="AA1087" s="20">
        <v>2026</v>
      </c>
    </row>
    <row r="1088" spans="1:27" hidden="1">
      <c r="A1088" s="14">
        <v>1084</v>
      </c>
      <c r="B1088" s="15" t="s">
        <v>109</v>
      </c>
      <c r="C1088" s="16">
        <v>118</v>
      </c>
      <c r="D1088" s="16" t="s">
        <v>188</v>
      </c>
      <c r="E1088" s="17" t="s">
        <v>9</v>
      </c>
      <c r="F1088" s="24">
        <v>0</v>
      </c>
      <c r="G1088" s="19">
        <v>44</v>
      </c>
      <c r="H1088" s="19">
        <v>0</v>
      </c>
      <c r="I1088" s="19">
        <v>0</v>
      </c>
      <c r="T1088" s="19">
        <f>Registro[[#This Row],[Mes 1]]+Registro[[#This Row],[Mes 2]]+Registro[[#This Row],[Mes 3]]</f>
        <v>0</v>
      </c>
      <c r="U1088" s="19">
        <f>Registro[[#This Row],[Mes 4]]+Registro[[#This Row],[Mes 5]]+Registro[[#This Row],[Mes 6]]</f>
        <v>0</v>
      </c>
      <c r="V1088" s="19">
        <f>Registro[[#This Row],[Mes 7]]+Registro[[#This Row],[Mes 8]]+Registro[[#This Row],[Mes 9]]</f>
        <v>0</v>
      </c>
      <c r="W1088" s="20">
        <f>Registro[[#This Row],[Mes 10]]+Registro[[#This Row],[Mes 11]]+Registro[[#This Row],[Mes 12]]</f>
        <v>0</v>
      </c>
      <c r="X1088" s="20">
        <f>SUM(Registro[[#This Row],[Trim I]],Registro[[#This Row],[Trim II]],Registro[[#This Row],[Trim III]],Registro[[#This Row],[Trim IV]])</f>
        <v>0</v>
      </c>
      <c r="Y1088" s="22">
        <f>IFERROR((Registro[[#This Row],[Avance Total]]/Registro[[#This Row],[Meta]]),0)</f>
        <v>0</v>
      </c>
      <c r="Z1088" s="22">
        <f>IFERROR((Registro[[#This Row],[Avance Total]]-Registro[[#This Row],[Línea Base 2025]])/Registro[[#This Row],[Línea Base 2025]],0)</f>
        <v>0</v>
      </c>
      <c r="AA1088" s="20">
        <v>2026</v>
      </c>
    </row>
    <row r="1089" spans="1:27" hidden="1">
      <c r="A1089" s="14">
        <v>1084</v>
      </c>
      <c r="B1089" s="15" t="s">
        <v>109</v>
      </c>
      <c r="C1089" s="16">
        <v>119</v>
      </c>
      <c r="D1089" s="16" t="s">
        <v>190</v>
      </c>
      <c r="E1089" s="17" t="s">
        <v>189</v>
      </c>
      <c r="F1089" s="24">
        <v>0</v>
      </c>
      <c r="G1089" s="19">
        <v>2</v>
      </c>
      <c r="H1089" s="19">
        <v>0</v>
      </c>
      <c r="I1089" s="19">
        <v>0</v>
      </c>
      <c r="T1089" s="19">
        <f>Registro[[#This Row],[Mes 1]]+Registro[[#This Row],[Mes 2]]+Registro[[#This Row],[Mes 3]]</f>
        <v>0</v>
      </c>
      <c r="U1089" s="19">
        <f>Registro[[#This Row],[Mes 4]]+Registro[[#This Row],[Mes 5]]+Registro[[#This Row],[Mes 6]]</f>
        <v>0</v>
      </c>
      <c r="V1089" s="19">
        <f>Registro[[#This Row],[Mes 7]]+Registro[[#This Row],[Mes 8]]+Registro[[#This Row],[Mes 9]]</f>
        <v>0</v>
      </c>
      <c r="W1089" s="20">
        <f>Registro[[#This Row],[Mes 10]]+Registro[[#This Row],[Mes 11]]+Registro[[#This Row],[Mes 12]]</f>
        <v>0</v>
      </c>
      <c r="X1089" s="20">
        <f>SUM(Registro[[#This Row],[Trim I]],Registro[[#This Row],[Trim II]],Registro[[#This Row],[Trim III]],Registro[[#This Row],[Trim IV]])</f>
        <v>0</v>
      </c>
      <c r="Y1089" s="22">
        <f>IFERROR((Registro[[#This Row],[Avance Total]]/Registro[[#This Row],[Meta]]),0)</f>
        <v>0</v>
      </c>
      <c r="Z1089" s="22">
        <f>IFERROR((Registro[[#This Row],[Avance Total]]-Registro[[#This Row],[Línea Base 2025]])/Registro[[#This Row],[Línea Base 2025]],0)</f>
        <v>0</v>
      </c>
      <c r="AA1089" s="20">
        <v>2026</v>
      </c>
    </row>
    <row r="1090" spans="1:27" hidden="1">
      <c r="A1090" s="14">
        <v>1084</v>
      </c>
      <c r="B1090" s="15" t="s">
        <v>109</v>
      </c>
      <c r="C1090" s="16">
        <v>120</v>
      </c>
      <c r="D1090" s="16" t="s">
        <v>192</v>
      </c>
      <c r="E1090" s="17" t="s">
        <v>191</v>
      </c>
      <c r="F1090" s="24">
        <v>7</v>
      </c>
      <c r="G1090" s="19">
        <v>31</v>
      </c>
      <c r="H1090" s="19">
        <v>0</v>
      </c>
      <c r="I1090" s="19">
        <v>0</v>
      </c>
      <c r="T1090" s="19">
        <f>Registro[[#This Row],[Mes 1]]+Registro[[#This Row],[Mes 2]]+Registro[[#This Row],[Mes 3]]</f>
        <v>0</v>
      </c>
      <c r="U1090" s="19">
        <f>Registro[[#This Row],[Mes 4]]+Registro[[#This Row],[Mes 5]]+Registro[[#This Row],[Mes 6]]</f>
        <v>0</v>
      </c>
      <c r="V1090" s="19">
        <f>Registro[[#This Row],[Mes 7]]+Registro[[#This Row],[Mes 8]]+Registro[[#This Row],[Mes 9]]</f>
        <v>0</v>
      </c>
      <c r="W1090" s="20">
        <f>Registro[[#This Row],[Mes 10]]+Registro[[#This Row],[Mes 11]]+Registro[[#This Row],[Mes 12]]</f>
        <v>0</v>
      </c>
      <c r="X1090" s="20">
        <f>SUM(Registro[[#This Row],[Trim I]],Registro[[#This Row],[Trim II]],Registro[[#This Row],[Trim III]],Registro[[#This Row],[Trim IV]])</f>
        <v>0</v>
      </c>
      <c r="Y1090" s="22">
        <f>IFERROR((Registro[[#This Row],[Avance Total]]/Registro[[#This Row],[Meta]]),0)</f>
        <v>0</v>
      </c>
      <c r="Z1090" s="22">
        <f>IFERROR((Registro[[#This Row],[Avance Total]]-Registro[[#This Row],[Línea Base 2025]])/Registro[[#This Row],[Línea Base 2025]],0)</f>
        <v>-1</v>
      </c>
      <c r="AA1090" s="20">
        <v>2026</v>
      </c>
    </row>
    <row r="1091" spans="1:27" hidden="1">
      <c r="A1091" s="14">
        <v>1084</v>
      </c>
      <c r="B1091" s="15" t="s">
        <v>109</v>
      </c>
      <c r="C1091" s="16">
        <v>121</v>
      </c>
      <c r="D1091" s="16" t="s">
        <v>194</v>
      </c>
      <c r="E1091" s="17" t="s">
        <v>193</v>
      </c>
      <c r="F1091" s="24">
        <v>5</v>
      </c>
      <c r="G1091" s="19">
        <v>8</v>
      </c>
      <c r="H1091" s="19">
        <v>1</v>
      </c>
      <c r="I1091" s="19">
        <v>0</v>
      </c>
      <c r="T1091" s="19">
        <f>Registro[[#This Row],[Mes 1]]+Registro[[#This Row],[Mes 2]]+Registro[[#This Row],[Mes 3]]</f>
        <v>1</v>
      </c>
      <c r="U1091" s="19">
        <f>Registro[[#This Row],[Mes 4]]+Registro[[#This Row],[Mes 5]]+Registro[[#This Row],[Mes 6]]</f>
        <v>0</v>
      </c>
      <c r="V1091" s="19">
        <f>Registro[[#This Row],[Mes 7]]+Registro[[#This Row],[Mes 8]]+Registro[[#This Row],[Mes 9]]</f>
        <v>0</v>
      </c>
      <c r="W1091" s="20">
        <f>Registro[[#This Row],[Mes 10]]+Registro[[#This Row],[Mes 11]]+Registro[[#This Row],[Mes 12]]</f>
        <v>0</v>
      </c>
      <c r="X1091" s="20">
        <f>SUM(Registro[[#This Row],[Trim I]],Registro[[#This Row],[Trim II]],Registro[[#This Row],[Trim III]],Registro[[#This Row],[Trim IV]])</f>
        <v>1</v>
      </c>
      <c r="Y1091" s="22">
        <f>IFERROR((Registro[[#This Row],[Avance Total]]/Registro[[#This Row],[Meta]]),0)</f>
        <v>0.125</v>
      </c>
      <c r="Z1091" s="22">
        <f>IFERROR((Registro[[#This Row],[Avance Total]]-Registro[[#This Row],[Línea Base 2025]])/Registro[[#This Row],[Línea Base 2025]],0)</f>
        <v>-0.8</v>
      </c>
      <c r="AA1091" s="20">
        <v>2026</v>
      </c>
    </row>
    <row r="1092" spans="1:27" hidden="1">
      <c r="A1092" s="14">
        <v>1084</v>
      </c>
      <c r="B1092" s="15" t="s">
        <v>109</v>
      </c>
      <c r="C1092" s="16">
        <v>122</v>
      </c>
      <c r="D1092" s="16" t="s">
        <v>196</v>
      </c>
      <c r="E1092" s="17" t="s">
        <v>195</v>
      </c>
      <c r="F1092" s="24">
        <v>6</v>
      </c>
      <c r="G1092" s="19">
        <v>14</v>
      </c>
      <c r="H1092" s="19">
        <v>0</v>
      </c>
      <c r="I1092" s="19">
        <v>0</v>
      </c>
      <c r="T1092" s="19">
        <f>Registro[[#This Row],[Mes 1]]+Registro[[#This Row],[Mes 2]]+Registro[[#This Row],[Mes 3]]</f>
        <v>0</v>
      </c>
      <c r="U1092" s="19">
        <f>Registro[[#This Row],[Mes 4]]+Registro[[#This Row],[Mes 5]]+Registro[[#This Row],[Mes 6]]</f>
        <v>0</v>
      </c>
      <c r="V1092" s="19">
        <f>Registro[[#This Row],[Mes 7]]+Registro[[#This Row],[Mes 8]]+Registro[[#This Row],[Mes 9]]</f>
        <v>0</v>
      </c>
      <c r="W1092" s="20">
        <f>Registro[[#This Row],[Mes 10]]+Registro[[#This Row],[Mes 11]]+Registro[[#This Row],[Mes 12]]</f>
        <v>0</v>
      </c>
      <c r="X1092" s="20">
        <f>SUM(Registro[[#This Row],[Trim I]],Registro[[#This Row],[Trim II]],Registro[[#This Row],[Trim III]],Registro[[#This Row],[Trim IV]])</f>
        <v>0</v>
      </c>
      <c r="Y1092" s="22">
        <f>IFERROR((Registro[[#This Row],[Avance Total]]/Registro[[#This Row],[Meta]]),0)</f>
        <v>0</v>
      </c>
      <c r="Z1092" s="22">
        <f>IFERROR((Registro[[#This Row],[Avance Total]]-Registro[[#This Row],[Línea Base 2025]])/Registro[[#This Row],[Línea Base 2025]],0)</f>
        <v>-1</v>
      </c>
      <c r="AA1092" s="20">
        <v>2026</v>
      </c>
    </row>
    <row r="1093" spans="1:27" hidden="1">
      <c r="A1093" s="14">
        <v>1084</v>
      </c>
      <c r="B1093" s="15" t="s">
        <v>109</v>
      </c>
      <c r="C1093" s="16">
        <v>123</v>
      </c>
      <c r="D1093" s="16" t="s">
        <v>198</v>
      </c>
      <c r="E1093" s="17" t="s">
        <v>197</v>
      </c>
      <c r="F1093" s="24">
        <v>0</v>
      </c>
      <c r="G1093" s="19">
        <v>2</v>
      </c>
      <c r="H1093" s="19">
        <v>0</v>
      </c>
      <c r="I1093" s="19">
        <v>0</v>
      </c>
      <c r="T1093" s="19">
        <f>Registro[[#This Row],[Mes 1]]+Registro[[#This Row],[Mes 2]]+Registro[[#This Row],[Mes 3]]</f>
        <v>0</v>
      </c>
      <c r="U1093" s="19">
        <f>Registro[[#This Row],[Mes 4]]+Registro[[#This Row],[Mes 5]]+Registro[[#This Row],[Mes 6]]</f>
        <v>0</v>
      </c>
      <c r="V1093" s="19">
        <f>Registro[[#This Row],[Mes 7]]+Registro[[#This Row],[Mes 8]]+Registro[[#This Row],[Mes 9]]</f>
        <v>0</v>
      </c>
      <c r="W1093" s="20">
        <f>Registro[[#This Row],[Mes 10]]+Registro[[#This Row],[Mes 11]]+Registro[[#This Row],[Mes 12]]</f>
        <v>0</v>
      </c>
      <c r="X1093" s="20">
        <f>SUM(Registro[[#This Row],[Trim I]],Registro[[#This Row],[Trim II]],Registro[[#This Row],[Trim III]],Registro[[#This Row],[Trim IV]])</f>
        <v>0</v>
      </c>
      <c r="Y1093" s="22">
        <f>IFERROR((Registro[[#This Row],[Avance Total]]/Registro[[#This Row],[Meta]]),0)</f>
        <v>0</v>
      </c>
      <c r="Z1093" s="22">
        <f>IFERROR((Registro[[#This Row],[Avance Total]]-Registro[[#This Row],[Línea Base 2025]])/Registro[[#This Row],[Línea Base 2025]],0)</f>
        <v>0</v>
      </c>
      <c r="AA1093" s="20">
        <v>2026</v>
      </c>
    </row>
    <row r="1094" spans="1:27" hidden="1">
      <c r="A1094" s="14">
        <v>1085</v>
      </c>
      <c r="B1094" s="15" t="s">
        <v>110</v>
      </c>
      <c r="C1094" s="16">
        <v>111</v>
      </c>
      <c r="D1094" s="16" t="s">
        <v>171</v>
      </c>
      <c r="E1094" s="17" t="s">
        <v>172</v>
      </c>
      <c r="F1094" s="24">
        <v>69</v>
      </c>
      <c r="G1094" s="19">
        <v>40</v>
      </c>
      <c r="H1094" s="19">
        <v>4</v>
      </c>
      <c r="I1094" s="19">
        <v>5</v>
      </c>
      <c r="T1094" s="19">
        <f>Registro[[#This Row],[Mes 1]]+Registro[[#This Row],[Mes 2]]+Registro[[#This Row],[Mes 3]]</f>
        <v>9</v>
      </c>
      <c r="U1094" s="19">
        <f>Registro[[#This Row],[Mes 4]]+Registro[[#This Row],[Mes 5]]+Registro[[#This Row],[Mes 6]]</f>
        <v>0</v>
      </c>
      <c r="V1094" s="19">
        <f>Registro[[#This Row],[Mes 7]]+Registro[[#This Row],[Mes 8]]+Registro[[#This Row],[Mes 9]]</f>
        <v>0</v>
      </c>
      <c r="W1094" s="20">
        <f>Registro[[#This Row],[Mes 10]]+Registro[[#This Row],[Mes 11]]+Registro[[#This Row],[Mes 12]]</f>
        <v>0</v>
      </c>
      <c r="X1094" s="20">
        <f>SUM(Registro[[#This Row],[Trim I]],Registro[[#This Row],[Trim II]],Registro[[#This Row],[Trim III]],Registro[[#This Row],[Trim IV]])</f>
        <v>9</v>
      </c>
      <c r="Y1094" s="22">
        <f>IFERROR((Registro[[#This Row],[Avance Total]]/Registro[[#This Row],[Meta]]),0)</f>
        <v>0.22500000000000001</v>
      </c>
      <c r="Z1094" s="22">
        <f>IFERROR((Registro[[#This Row],[Avance Total]]-Registro[[#This Row],[Línea Base 2025]])/Registro[[#This Row],[Línea Base 2025]],0)</f>
        <v>-0.86956521739130432</v>
      </c>
      <c r="AA1094" s="20">
        <v>2026</v>
      </c>
    </row>
    <row r="1095" spans="1:27" hidden="1">
      <c r="A1095" s="14">
        <v>1085</v>
      </c>
      <c r="B1095" s="15" t="s">
        <v>110</v>
      </c>
      <c r="C1095" s="16">
        <v>112</v>
      </c>
      <c r="D1095" s="16" t="s">
        <v>173</v>
      </c>
      <c r="E1095" s="17" t="s">
        <v>7</v>
      </c>
      <c r="F1095" s="24">
        <v>11</v>
      </c>
      <c r="G1095" s="19">
        <v>169</v>
      </c>
      <c r="H1095" s="19">
        <v>0</v>
      </c>
      <c r="I1095" s="19">
        <v>0</v>
      </c>
      <c r="T1095" s="19">
        <f>Registro[[#This Row],[Mes 1]]+Registro[[#This Row],[Mes 2]]+Registro[[#This Row],[Mes 3]]</f>
        <v>0</v>
      </c>
      <c r="U1095" s="19">
        <f>Registro[[#This Row],[Mes 4]]+Registro[[#This Row],[Mes 5]]+Registro[[#This Row],[Mes 6]]</f>
        <v>0</v>
      </c>
      <c r="V1095" s="19">
        <f>Registro[[#This Row],[Mes 7]]+Registro[[#This Row],[Mes 8]]+Registro[[#This Row],[Mes 9]]</f>
        <v>0</v>
      </c>
      <c r="W1095" s="20">
        <f>Registro[[#This Row],[Mes 10]]+Registro[[#This Row],[Mes 11]]+Registro[[#This Row],[Mes 12]]</f>
        <v>0</v>
      </c>
      <c r="X1095" s="20">
        <f>SUM(Registro[[#This Row],[Trim I]],Registro[[#This Row],[Trim II]],Registro[[#This Row],[Trim III]],Registro[[#This Row],[Trim IV]])</f>
        <v>0</v>
      </c>
      <c r="Y1095" s="22">
        <f>IFERROR((Registro[[#This Row],[Avance Total]]/Registro[[#This Row],[Meta]]),0)</f>
        <v>0</v>
      </c>
      <c r="Z1095" s="22">
        <f>IFERROR((Registro[[#This Row],[Avance Total]]-Registro[[#This Row],[Línea Base 2025]])/Registro[[#This Row],[Línea Base 2025]],0)</f>
        <v>-1</v>
      </c>
      <c r="AA1095" s="20">
        <v>2026</v>
      </c>
    </row>
    <row r="1096" spans="1:27" hidden="1">
      <c r="A1096" s="14">
        <v>1085</v>
      </c>
      <c r="B1096" s="15" t="s">
        <v>110</v>
      </c>
      <c r="C1096" s="16">
        <v>113</v>
      </c>
      <c r="D1096" s="16" t="s">
        <v>179</v>
      </c>
      <c r="E1096" s="17" t="s">
        <v>178</v>
      </c>
      <c r="F1096" s="24">
        <v>27</v>
      </c>
      <c r="G1096" s="19">
        <v>197</v>
      </c>
      <c r="H1096" s="19">
        <v>1</v>
      </c>
      <c r="I1096" s="19">
        <v>1</v>
      </c>
      <c r="T1096" s="19">
        <f>Registro[[#This Row],[Mes 1]]+Registro[[#This Row],[Mes 2]]+Registro[[#This Row],[Mes 3]]</f>
        <v>2</v>
      </c>
      <c r="U1096" s="19">
        <f>Registro[[#This Row],[Mes 4]]+Registro[[#This Row],[Mes 5]]+Registro[[#This Row],[Mes 6]]</f>
        <v>0</v>
      </c>
      <c r="V1096" s="19">
        <f>Registro[[#This Row],[Mes 7]]+Registro[[#This Row],[Mes 8]]+Registro[[#This Row],[Mes 9]]</f>
        <v>0</v>
      </c>
      <c r="W1096" s="20">
        <f>Registro[[#This Row],[Mes 10]]+Registro[[#This Row],[Mes 11]]+Registro[[#This Row],[Mes 12]]</f>
        <v>0</v>
      </c>
      <c r="X1096" s="20">
        <f>SUM(Registro[[#This Row],[Trim I]],Registro[[#This Row],[Trim II]],Registro[[#This Row],[Trim III]],Registro[[#This Row],[Trim IV]])</f>
        <v>2</v>
      </c>
      <c r="Y1096" s="22">
        <f>IFERROR((Registro[[#This Row],[Avance Total]]/Registro[[#This Row],[Meta]]),0)</f>
        <v>1.015228426395939E-2</v>
      </c>
      <c r="Z1096" s="22">
        <f>IFERROR((Registro[[#This Row],[Avance Total]]-Registro[[#This Row],[Línea Base 2025]])/Registro[[#This Row],[Línea Base 2025]],0)</f>
        <v>-0.92592592592592593</v>
      </c>
      <c r="AA1096" s="20">
        <v>2026</v>
      </c>
    </row>
    <row r="1097" spans="1:27" hidden="1">
      <c r="A1097" s="14">
        <v>1085</v>
      </c>
      <c r="B1097" s="15" t="s">
        <v>110</v>
      </c>
      <c r="C1097" s="16">
        <v>114</v>
      </c>
      <c r="D1097" s="16" t="s">
        <v>181</v>
      </c>
      <c r="E1097" s="17" t="s">
        <v>180</v>
      </c>
      <c r="F1097" s="24">
        <v>0</v>
      </c>
      <c r="G1097" s="19">
        <v>18</v>
      </c>
      <c r="H1097" s="19">
        <v>1</v>
      </c>
      <c r="I1097" s="19">
        <v>0</v>
      </c>
      <c r="T1097" s="19">
        <f>Registro[[#This Row],[Mes 1]]+Registro[[#This Row],[Mes 2]]+Registro[[#This Row],[Mes 3]]</f>
        <v>1</v>
      </c>
      <c r="U1097" s="19">
        <f>Registro[[#This Row],[Mes 4]]+Registro[[#This Row],[Mes 5]]+Registro[[#This Row],[Mes 6]]</f>
        <v>0</v>
      </c>
      <c r="V1097" s="19">
        <f>Registro[[#This Row],[Mes 7]]+Registro[[#This Row],[Mes 8]]+Registro[[#This Row],[Mes 9]]</f>
        <v>0</v>
      </c>
      <c r="W1097" s="20">
        <f>Registro[[#This Row],[Mes 10]]+Registro[[#This Row],[Mes 11]]+Registro[[#This Row],[Mes 12]]</f>
        <v>0</v>
      </c>
      <c r="X1097" s="20">
        <f>SUM(Registro[[#This Row],[Trim I]],Registro[[#This Row],[Trim II]],Registro[[#This Row],[Trim III]],Registro[[#This Row],[Trim IV]])</f>
        <v>1</v>
      </c>
      <c r="Y1097" s="22">
        <f>IFERROR((Registro[[#This Row],[Avance Total]]/Registro[[#This Row],[Meta]]),0)</f>
        <v>5.5555555555555552E-2</v>
      </c>
      <c r="Z1097" s="22">
        <f>IFERROR((Registro[[#This Row],[Avance Total]]-Registro[[#This Row],[Línea Base 2025]])/Registro[[#This Row],[Línea Base 2025]],0)</f>
        <v>0</v>
      </c>
      <c r="AA1097" s="20">
        <v>2026</v>
      </c>
    </row>
    <row r="1098" spans="1:27" hidden="1">
      <c r="A1098" s="14">
        <v>1085</v>
      </c>
      <c r="B1098" s="15" t="s">
        <v>110</v>
      </c>
      <c r="C1098" s="16">
        <v>115</v>
      </c>
      <c r="D1098" s="16" t="s">
        <v>183</v>
      </c>
      <c r="E1098" s="17" t="s">
        <v>182</v>
      </c>
      <c r="F1098" s="24">
        <v>0</v>
      </c>
      <c r="G1098" s="19">
        <v>16</v>
      </c>
      <c r="H1098" s="19">
        <v>0</v>
      </c>
      <c r="I1098" s="19">
        <v>0</v>
      </c>
      <c r="T1098" s="19">
        <f>Registro[[#This Row],[Mes 1]]+Registro[[#This Row],[Mes 2]]+Registro[[#This Row],[Mes 3]]</f>
        <v>0</v>
      </c>
      <c r="U1098" s="19">
        <f>Registro[[#This Row],[Mes 4]]+Registro[[#This Row],[Mes 5]]+Registro[[#This Row],[Mes 6]]</f>
        <v>0</v>
      </c>
      <c r="V1098" s="19">
        <f>Registro[[#This Row],[Mes 7]]+Registro[[#This Row],[Mes 8]]+Registro[[#This Row],[Mes 9]]</f>
        <v>0</v>
      </c>
      <c r="W1098" s="20">
        <f>Registro[[#This Row],[Mes 10]]+Registro[[#This Row],[Mes 11]]+Registro[[#This Row],[Mes 12]]</f>
        <v>0</v>
      </c>
      <c r="X1098" s="20">
        <f>SUM(Registro[[#This Row],[Trim I]],Registro[[#This Row],[Trim II]],Registro[[#This Row],[Trim III]],Registro[[#This Row],[Trim IV]])</f>
        <v>0</v>
      </c>
      <c r="Y1098" s="22">
        <f>IFERROR((Registro[[#This Row],[Avance Total]]/Registro[[#This Row],[Meta]]),0)</f>
        <v>0</v>
      </c>
      <c r="Z1098" s="22">
        <f>IFERROR((Registro[[#This Row],[Avance Total]]-Registro[[#This Row],[Línea Base 2025]])/Registro[[#This Row],[Línea Base 2025]],0)</f>
        <v>0</v>
      </c>
      <c r="AA1098" s="20">
        <v>2026</v>
      </c>
    </row>
    <row r="1099" spans="1:27">
      <c r="A1099" s="14">
        <v>1085</v>
      </c>
      <c r="B1099" s="15" t="s">
        <v>110</v>
      </c>
      <c r="C1099" s="16">
        <v>116</v>
      </c>
      <c r="D1099" s="16" t="s">
        <v>185</v>
      </c>
      <c r="E1099" s="17" t="s">
        <v>184</v>
      </c>
      <c r="F1099" s="24">
        <v>3</v>
      </c>
      <c r="G1099" s="19">
        <v>4</v>
      </c>
      <c r="H1099" s="19">
        <v>1</v>
      </c>
      <c r="I1099" s="19">
        <v>0</v>
      </c>
      <c r="T1099" s="19">
        <f>Registro[[#This Row],[Mes 1]]+Registro[[#This Row],[Mes 2]]+Registro[[#This Row],[Mes 3]]</f>
        <v>1</v>
      </c>
      <c r="U1099" s="19">
        <f>Registro[[#This Row],[Mes 4]]+Registro[[#This Row],[Mes 5]]+Registro[[#This Row],[Mes 6]]</f>
        <v>0</v>
      </c>
      <c r="V1099" s="19">
        <f>Registro[[#This Row],[Mes 7]]+Registro[[#This Row],[Mes 8]]+Registro[[#This Row],[Mes 9]]</f>
        <v>0</v>
      </c>
      <c r="W1099" s="20">
        <f>Registro[[#This Row],[Mes 10]]+Registro[[#This Row],[Mes 11]]+Registro[[#This Row],[Mes 12]]</f>
        <v>0</v>
      </c>
      <c r="X1099" s="20">
        <f>SUM(Registro[[#This Row],[Trim I]],Registro[[#This Row],[Trim II]],Registro[[#This Row],[Trim III]],Registro[[#This Row],[Trim IV]])</f>
        <v>1</v>
      </c>
      <c r="Y1099" s="22">
        <f>IFERROR((Registro[[#This Row],[Avance Total]]/Registro[[#This Row],[Meta]]),0)</f>
        <v>0.25</v>
      </c>
      <c r="Z1099" s="22">
        <f>IFERROR((Registro[[#This Row],[Avance Total]]-Registro[[#This Row],[Línea Base 2025]])/Registro[[#This Row],[Línea Base 2025]],0)</f>
        <v>-0.66666666666666663</v>
      </c>
      <c r="AA1099" s="20">
        <v>2026</v>
      </c>
    </row>
    <row r="1100" spans="1:27" hidden="1">
      <c r="A1100" s="14">
        <v>1085</v>
      </c>
      <c r="B1100" s="15" t="s">
        <v>110</v>
      </c>
      <c r="C1100" s="16">
        <v>117</v>
      </c>
      <c r="D1100" s="16" t="s">
        <v>187</v>
      </c>
      <c r="E1100" s="17" t="s">
        <v>186</v>
      </c>
      <c r="F1100" s="24">
        <v>1</v>
      </c>
      <c r="G1100" s="19">
        <v>2</v>
      </c>
      <c r="H1100" s="19">
        <v>0</v>
      </c>
      <c r="I1100" s="19">
        <v>0</v>
      </c>
      <c r="T1100" s="19">
        <f>Registro[[#This Row],[Mes 1]]+Registro[[#This Row],[Mes 2]]+Registro[[#This Row],[Mes 3]]</f>
        <v>0</v>
      </c>
      <c r="U1100" s="19">
        <f>Registro[[#This Row],[Mes 4]]+Registro[[#This Row],[Mes 5]]+Registro[[#This Row],[Mes 6]]</f>
        <v>0</v>
      </c>
      <c r="V1100" s="19">
        <f>Registro[[#This Row],[Mes 7]]+Registro[[#This Row],[Mes 8]]+Registro[[#This Row],[Mes 9]]</f>
        <v>0</v>
      </c>
      <c r="W1100" s="20">
        <f>Registro[[#This Row],[Mes 10]]+Registro[[#This Row],[Mes 11]]+Registro[[#This Row],[Mes 12]]</f>
        <v>0</v>
      </c>
      <c r="X1100" s="20">
        <f>SUM(Registro[[#This Row],[Trim I]],Registro[[#This Row],[Trim II]],Registro[[#This Row],[Trim III]],Registro[[#This Row],[Trim IV]])</f>
        <v>0</v>
      </c>
      <c r="Y1100" s="22">
        <f>IFERROR((Registro[[#This Row],[Avance Total]]/Registro[[#This Row],[Meta]]),0)</f>
        <v>0</v>
      </c>
      <c r="Z1100" s="22">
        <f>IFERROR((Registro[[#This Row],[Avance Total]]-Registro[[#This Row],[Línea Base 2025]])/Registro[[#This Row],[Línea Base 2025]],0)</f>
        <v>-1</v>
      </c>
      <c r="AA1100" s="20">
        <v>2026</v>
      </c>
    </row>
    <row r="1101" spans="1:27" hidden="1">
      <c r="A1101" s="14">
        <v>1085</v>
      </c>
      <c r="B1101" s="15" t="s">
        <v>110</v>
      </c>
      <c r="C1101" s="16">
        <v>118</v>
      </c>
      <c r="D1101" s="16" t="s">
        <v>188</v>
      </c>
      <c r="E1101" s="17" t="s">
        <v>9</v>
      </c>
      <c r="F1101" s="24">
        <v>0</v>
      </c>
      <c r="G1101" s="19">
        <v>0</v>
      </c>
      <c r="H1101" s="19">
        <v>0</v>
      </c>
      <c r="I1101" s="19">
        <v>0</v>
      </c>
      <c r="T1101" s="19">
        <f>Registro[[#This Row],[Mes 1]]+Registro[[#This Row],[Mes 2]]+Registro[[#This Row],[Mes 3]]</f>
        <v>0</v>
      </c>
      <c r="U1101" s="19">
        <f>Registro[[#This Row],[Mes 4]]+Registro[[#This Row],[Mes 5]]+Registro[[#This Row],[Mes 6]]</f>
        <v>0</v>
      </c>
      <c r="V1101" s="19">
        <f>Registro[[#This Row],[Mes 7]]+Registro[[#This Row],[Mes 8]]+Registro[[#This Row],[Mes 9]]</f>
        <v>0</v>
      </c>
      <c r="W1101" s="20">
        <f>Registro[[#This Row],[Mes 10]]+Registro[[#This Row],[Mes 11]]+Registro[[#This Row],[Mes 12]]</f>
        <v>0</v>
      </c>
      <c r="X1101" s="20">
        <f>SUM(Registro[[#This Row],[Trim I]],Registro[[#This Row],[Trim II]],Registro[[#This Row],[Trim III]],Registro[[#This Row],[Trim IV]])</f>
        <v>0</v>
      </c>
      <c r="Y1101" s="22">
        <f>IFERROR((Registro[[#This Row],[Avance Total]]/Registro[[#This Row],[Meta]]),0)</f>
        <v>0</v>
      </c>
      <c r="Z1101" s="22">
        <f>IFERROR((Registro[[#This Row],[Avance Total]]-Registro[[#This Row],[Línea Base 2025]])/Registro[[#This Row],[Línea Base 2025]],0)</f>
        <v>0</v>
      </c>
      <c r="AA1101" s="20">
        <v>2026</v>
      </c>
    </row>
    <row r="1102" spans="1:27" hidden="1">
      <c r="A1102" s="14">
        <v>1085</v>
      </c>
      <c r="B1102" s="15" t="s">
        <v>110</v>
      </c>
      <c r="C1102" s="16">
        <v>119</v>
      </c>
      <c r="D1102" s="16" t="s">
        <v>190</v>
      </c>
      <c r="E1102" s="17" t="s">
        <v>189</v>
      </c>
      <c r="F1102" s="24">
        <v>0</v>
      </c>
      <c r="G1102" s="19">
        <v>3</v>
      </c>
      <c r="H1102" s="19">
        <v>0</v>
      </c>
      <c r="I1102" s="19">
        <v>0</v>
      </c>
      <c r="T1102" s="19">
        <f>Registro[[#This Row],[Mes 1]]+Registro[[#This Row],[Mes 2]]+Registro[[#This Row],[Mes 3]]</f>
        <v>0</v>
      </c>
      <c r="U1102" s="19">
        <f>Registro[[#This Row],[Mes 4]]+Registro[[#This Row],[Mes 5]]+Registro[[#This Row],[Mes 6]]</f>
        <v>0</v>
      </c>
      <c r="V1102" s="19">
        <f>Registro[[#This Row],[Mes 7]]+Registro[[#This Row],[Mes 8]]+Registro[[#This Row],[Mes 9]]</f>
        <v>0</v>
      </c>
      <c r="W1102" s="20">
        <f>Registro[[#This Row],[Mes 10]]+Registro[[#This Row],[Mes 11]]+Registro[[#This Row],[Mes 12]]</f>
        <v>0</v>
      </c>
      <c r="X1102" s="20">
        <f>SUM(Registro[[#This Row],[Trim I]],Registro[[#This Row],[Trim II]],Registro[[#This Row],[Trim III]],Registro[[#This Row],[Trim IV]])</f>
        <v>0</v>
      </c>
      <c r="Y1102" s="22">
        <f>IFERROR((Registro[[#This Row],[Avance Total]]/Registro[[#This Row],[Meta]]),0)</f>
        <v>0</v>
      </c>
      <c r="Z1102" s="22">
        <f>IFERROR((Registro[[#This Row],[Avance Total]]-Registro[[#This Row],[Línea Base 2025]])/Registro[[#This Row],[Línea Base 2025]],0)</f>
        <v>0</v>
      </c>
      <c r="AA1102" s="20">
        <v>2026</v>
      </c>
    </row>
    <row r="1103" spans="1:27" hidden="1">
      <c r="A1103" s="14">
        <v>1085</v>
      </c>
      <c r="B1103" s="15" t="s">
        <v>110</v>
      </c>
      <c r="C1103" s="16">
        <v>120</v>
      </c>
      <c r="D1103" s="16" t="s">
        <v>192</v>
      </c>
      <c r="E1103" s="17" t="s">
        <v>191</v>
      </c>
      <c r="F1103" s="24">
        <v>2</v>
      </c>
      <c r="G1103" s="19">
        <v>15</v>
      </c>
      <c r="H1103" s="19">
        <v>0</v>
      </c>
      <c r="I1103" s="19">
        <v>0</v>
      </c>
      <c r="T1103" s="19">
        <f>Registro[[#This Row],[Mes 1]]+Registro[[#This Row],[Mes 2]]+Registro[[#This Row],[Mes 3]]</f>
        <v>0</v>
      </c>
      <c r="U1103" s="19">
        <f>Registro[[#This Row],[Mes 4]]+Registro[[#This Row],[Mes 5]]+Registro[[#This Row],[Mes 6]]</f>
        <v>0</v>
      </c>
      <c r="V1103" s="19">
        <f>Registro[[#This Row],[Mes 7]]+Registro[[#This Row],[Mes 8]]+Registro[[#This Row],[Mes 9]]</f>
        <v>0</v>
      </c>
      <c r="W1103" s="20">
        <f>Registro[[#This Row],[Mes 10]]+Registro[[#This Row],[Mes 11]]+Registro[[#This Row],[Mes 12]]</f>
        <v>0</v>
      </c>
      <c r="X1103" s="20">
        <f>SUM(Registro[[#This Row],[Trim I]],Registro[[#This Row],[Trim II]],Registro[[#This Row],[Trim III]],Registro[[#This Row],[Trim IV]])</f>
        <v>0</v>
      </c>
      <c r="Y1103" s="22">
        <f>IFERROR((Registro[[#This Row],[Avance Total]]/Registro[[#This Row],[Meta]]),0)</f>
        <v>0</v>
      </c>
      <c r="Z1103" s="22">
        <f>IFERROR((Registro[[#This Row],[Avance Total]]-Registro[[#This Row],[Línea Base 2025]])/Registro[[#This Row],[Línea Base 2025]],0)</f>
        <v>-1</v>
      </c>
      <c r="AA1103" s="20">
        <v>2026</v>
      </c>
    </row>
    <row r="1104" spans="1:27" hidden="1">
      <c r="A1104" s="14">
        <v>1085</v>
      </c>
      <c r="B1104" s="15" t="s">
        <v>110</v>
      </c>
      <c r="C1104" s="16">
        <v>121</v>
      </c>
      <c r="D1104" s="16" t="s">
        <v>194</v>
      </c>
      <c r="E1104" s="17" t="s">
        <v>193</v>
      </c>
      <c r="F1104" s="24">
        <v>2</v>
      </c>
      <c r="G1104" s="19">
        <v>13</v>
      </c>
      <c r="H1104" s="19">
        <v>0</v>
      </c>
      <c r="I1104" s="19">
        <v>0</v>
      </c>
      <c r="T1104" s="19">
        <f>Registro[[#This Row],[Mes 1]]+Registro[[#This Row],[Mes 2]]+Registro[[#This Row],[Mes 3]]</f>
        <v>0</v>
      </c>
      <c r="U1104" s="19">
        <f>Registro[[#This Row],[Mes 4]]+Registro[[#This Row],[Mes 5]]+Registro[[#This Row],[Mes 6]]</f>
        <v>0</v>
      </c>
      <c r="V1104" s="19">
        <f>Registro[[#This Row],[Mes 7]]+Registro[[#This Row],[Mes 8]]+Registro[[#This Row],[Mes 9]]</f>
        <v>0</v>
      </c>
      <c r="W1104" s="20">
        <f>Registro[[#This Row],[Mes 10]]+Registro[[#This Row],[Mes 11]]+Registro[[#This Row],[Mes 12]]</f>
        <v>0</v>
      </c>
      <c r="X1104" s="20">
        <f>SUM(Registro[[#This Row],[Trim I]],Registro[[#This Row],[Trim II]],Registro[[#This Row],[Trim III]],Registro[[#This Row],[Trim IV]])</f>
        <v>0</v>
      </c>
      <c r="Y1104" s="22">
        <f>IFERROR((Registro[[#This Row],[Avance Total]]/Registro[[#This Row],[Meta]]),0)</f>
        <v>0</v>
      </c>
      <c r="Z1104" s="22">
        <f>IFERROR((Registro[[#This Row],[Avance Total]]-Registro[[#This Row],[Línea Base 2025]])/Registro[[#This Row],[Línea Base 2025]],0)</f>
        <v>-1</v>
      </c>
      <c r="AA1104" s="20">
        <v>2026</v>
      </c>
    </row>
    <row r="1105" spans="1:27" hidden="1">
      <c r="A1105" s="14">
        <v>1085</v>
      </c>
      <c r="B1105" s="15" t="s">
        <v>110</v>
      </c>
      <c r="C1105" s="16">
        <v>122</v>
      </c>
      <c r="D1105" s="16" t="s">
        <v>196</v>
      </c>
      <c r="E1105" s="17" t="s">
        <v>195</v>
      </c>
      <c r="F1105" s="24">
        <v>6</v>
      </c>
      <c r="G1105" s="19">
        <v>10</v>
      </c>
      <c r="H1105" s="19">
        <v>0</v>
      </c>
      <c r="I1105" s="19">
        <v>0</v>
      </c>
      <c r="T1105" s="19">
        <f>Registro[[#This Row],[Mes 1]]+Registro[[#This Row],[Mes 2]]+Registro[[#This Row],[Mes 3]]</f>
        <v>0</v>
      </c>
      <c r="U1105" s="19">
        <f>Registro[[#This Row],[Mes 4]]+Registro[[#This Row],[Mes 5]]+Registro[[#This Row],[Mes 6]]</f>
        <v>0</v>
      </c>
      <c r="V1105" s="19">
        <f>Registro[[#This Row],[Mes 7]]+Registro[[#This Row],[Mes 8]]+Registro[[#This Row],[Mes 9]]</f>
        <v>0</v>
      </c>
      <c r="W1105" s="20">
        <f>Registro[[#This Row],[Mes 10]]+Registro[[#This Row],[Mes 11]]+Registro[[#This Row],[Mes 12]]</f>
        <v>0</v>
      </c>
      <c r="X1105" s="20">
        <f>SUM(Registro[[#This Row],[Trim I]],Registro[[#This Row],[Trim II]],Registro[[#This Row],[Trim III]],Registro[[#This Row],[Trim IV]])</f>
        <v>0</v>
      </c>
      <c r="Y1105" s="22">
        <f>IFERROR((Registro[[#This Row],[Avance Total]]/Registro[[#This Row],[Meta]]),0)</f>
        <v>0</v>
      </c>
      <c r="Z1105" s="22">
        <f>IFERROR((Registro[[#This Row],[Avance Total]]-Registro[[#This Row],[Línea Base 2025]])/Registro[[#This Row],[Línea Base 2025]],0)</f>
        <v>-1</v>
      </c>
      <c r="AA1105" s="20">
        <v>2026</v>
      </c>
    </row>
    <row r="1106" spans="1:27" hidden="1">
      <c r="A1106" s="14">
        <v>1085</v>
      </c>
      <c r="B1106" s="15" t="s">
        <v>110</v>
      </c>
      <c r="C1106" s="16">
        <v>123</v>
      </c>
      <c r="D1106" s="16" t="s">
        <v>198</v>
      </c>
      <c r="E1106" s="17" t="s">
        <v>197</v>
      </c>
      <c r="F1106" s="24">
        <v>0</v>
      </c>
      <c r="G1106" s="19">
        <v>2</v>
      </c>
      <c r="H1106" s="19">
        <v>0</v>
      </c>
      <c r="I1106" s="19">
        <v>0</v>
      </c>
      <c r="T1106" s="19">
        <f>Registro[[#This Row],[Mes 1]]+Registro[[#This Row],[Mes 2]]+Registro[[#This Row],[Mes 3]]</f>
        <v>0</v>
      </c>
      <c r="U1106" s="19">
        <f>Registro[[#This Row],[Mes 4]]+Registro[[#This Row],[Mes 5]]+Registro[[#This Row],[Mes 6]]</f>
        <v>0</v>
      </c>
      <c r="V1106" s="19">
        <f>Registro[[#This Row],[Mes 7]]+Registro[[#This Row],[Mes 8]]+Registro[[#This Row],[Mes 9]]</f>
        <v>0</v>
      </c>
      <c r="W1106" s="20">
        <f>Registro[[#This Row],[Mes 10]]+Registro[[#This Row],[Mes 11]]+Registro[[#This Row],[Mes 12]]</f>
        <v>0</v>
      </c>
      <c r="X1106" s="20">
        <f>SUM(Registro[[#This Row],[Trim I]],Registro[[#This Row],[Trim II]],Registro[[#This Row],[Trim III]],Registro[[#This Row],[Trim IV]])</f>
        <v>0</v>
      </c>
      <c r="Y1106" s="22">
        <f>IFERROR((Registro[[#This Row],[Avance Total]]/Registro[[#This Row],[Meta]]),0)</f>
        <v>0</v>
      </c>
      <c r="Z1106" s="22">
        <f>IFERROR((Registro[[#This Row],[Avance Total]]-Registro[[#This Row],[Línea Base 2025]])/Registro[[#This Row],[Línea Base 2025]],0)</f>
        <v>0</v>
      </c>
      <c r="AA1106" s="20">
        <v>2026</v>
      </c>
    </row>
    <row r="1107" spans="1:27" hidden="1">
      <c r="A1107" s="14">
        <v>1086</v>
      </c>
      <c r="B1107" s="15" t="s">
        <v>111</v>
      </c>
      <c r="C1107" s="16">
        <v>111</v>
      </c>
      <c r="D1107" s="16" t="s">
        <v>171</v>
      </c>
      <c r="E1107" s="17" t="s">
        <v>172</v>
      </c>
      <c r="F1107" s="24">
        <v>101</v>
      </c>
      <c r="G1107" s="19">
        <v>150</v>
      </c>
      <c r="H1107" s="19">
        <v>2</v>
      </c>
      <c r="I1107" s="19">
        <v>4</v>
      </c>
      <c r="T1107" s="19">
        <f>Registro[[#This Row],[Mes 1]]+Registro[[#This Row],[Mes 2]]+Registro[[#This Row],[Mes 3]]</f>
        <v>6</v>
      </c>
      <c r="U1107" s="19">
        <f>Registro[[#This Row],[Mes 4]]+Registro[[#This Row],[Mes 5]]+Registro[[#This Row],[Mes 6]]</f>
        <v>0</v>
      </c>
      <c r="V1107" s="19">
        <f>Registro[[#This Row],[Mes 7]]+Registro[[#This Row],[Mes 8]]+Registro[[#This Row],[Mes 9]]</f>
        <v>0</v>
      </c>
      <c r="W1107" s="20">
        <f>Registro[[#This Row],[Mes 10]]+Registro[[#This Row],[Mes 11]]+Registro[[#This Row],[Mes 12]]</f>
        <v>0</v>
      </c>
      <c r="X1107" s="20">
        <f>SUM(Registro[[#This Row],[Trim I]],Registro[[#This Row],[Trim II]],Registro[[#This Row],[Trim III]],Registro[[#This Row],[Trim IV]])</f>
        <v>6</v>
      </c>
      <c r="Y1107" s="22">
        <f>IFERROR((Registro[[#This Row],[Avance Total]]/Registro[[#This Row],[Meta]]),0)</f>
        <v>0.04</v>
      </c>
      <c r="Z1107" s="22">
        <f>IFERROR((Registro[[#This Row],[Avance Total]]-Registro[[#This Row],[Línea Base 2025]])/Registro[[#This Row],[Línea Base 2025]],0)</f>
        <v>-0.94059405940594054</v>
      </c>
      <c r="AA1107" s="20">
        <v>2026</v>
      </c>
    </row>
    <row r="1108" spans="1:27" hidden="1">
      <c r="A1108" s="14">
        <v>1086</v>
      </c>
      <c r="B1108" s="15" t="s">
        <v>111</v>
      </c>
      <c r="C1108" s="16">
        <v>112</v>
      </c>
      <c r="D1108" s="16" t="s">
        <v>173</v>
      </c>
      <c r="E1108" s="17" t="s">
        <v>7</v>
      </c>
      <c r="F1108" s="24">
        <v>15</v>
      </c>
      <c r="G1108" s="19">
        <v>215</v>
      </c>
      <c r="H1108" s="19">
        <v>0</v>
      </c>
      <c r="I1108" s="19">
        <v>0</v>
      </c>
      <c r="T1108" s="19">
        <f>Registro[[#This Row],[Mes 1]]+Registro[[#This Row],[Mes 2]]+Registro[[#This Row],[Mes 3]]</f>
        <v>0</v>
      </c>
      <c r="U1108" s="19">
        <f>Registro[[#This Row],[Mes 4]]+Registro[[#This Row],[Mes 5]]+Registro[[#This Row],[Mes 6]]</f>
        <v>0</v>
      </c>
      <c r="V1108" s="19">
        <f>Registro[[#This Row],[Mes 7]]+Registro[[#This Row],[Mes 8]]+Registro[[#This Row],[Mes 9]]</f>
        <v>0</v>
      </c>
      <c r="W1108" s="20">
        <f>Registro[[#This Row],[Mes 10]]+Registro[[#This Row],[Mes 11]]+Registro[[#This Row],[Mes 12]]</f>
        <v>0</v>
      </c>
      <c r="X1108" s="20">
        <f>SUM(Registro[[#This Row],[Trim I]],Registro[[#This Row],[Trim II]],Registro[[#This Row],[Trim III]],Registro[[#This Row],[Trim IV]])</f>
        <v>0</v>
      </c>
      <c r="Y1108" s="22">
        <f>IFERROR((Registro[[#This Row],[Avance Total]]/Registro[[#This Row],[Meta]]),0)</f>
        <v>0</v>
      </c>
      <c r="Z1108" s="22">
        <f>IFERROR((Registro[[#This Row],[Avance Total]]-Registro[[#This Row],[Línea Base 2025]])/Registro[[#This Row],[Línea Base 2025]],0)</f>
        <v>-1</v>
      </c>
      <c r="AA1108" s="20">
        <v>2026</v>
      </c>
    </row>
    <row r="1109" spans="1:27" hidden="1">
      <c r="A1109" s="14">
        <v>1086</v>
      </c>
      <c r="B1109" s="15" t="s">
        <v>111</v>
      </c>
      <c r="C1109" s="16">
        <v>113</v>
      </c>
      <c r="D1109" s="16" t="s">
        <v>179</v>
      </c>
      <c r="E1109" s="17" t="s">
        <v>178</v>
      </c>
      <c r="F1109" s="24">
        <v>47</v>
      </c>
      <c r="G1109" s="19">
        <v>418</v>
      </c>
      <c r="H1109" s="19">
        <v>1</v>
      </c>
      <c r="I1109" s="19">
        <v>1</v>
      </c>
      <c r="T1109" s="19">
        <f>Registro[[#This Row],[Mes 1]]+Registro[[#This Row],[Mes 2]]+Registro[[#This Row],[Mes 3]]</f>
        <v>2</v>
      </c>
      <c r="U1109" s="19">
        <f>Registro[[#This Row],[Mes 4]]+Registro[[#This Row],[Mes 5]]+Registro[[#This Row],[Mes 6]]</f>
        <v>0</v>
      </c>
      <c r="V1109" s="19">
        <f>Registro[[#This Row],[Mes 7]]+Registro[[#This Row],[Mes 8]]+Registro[[#This Row],[Mes 9]]</f>
        <v>0</v>
      </c>
      <c r="W1109" s="20">
        <f>Registro[[#This Row],[Mes 10]]+Registro[[#This Row],[Mes 11]]+Registro[[#This Row],[Mes 12]]</f>
        <v>0</v>
      </c>
      <c r="X1109" s="20">
        <f>SUM(Registro[[#This Row],[Trim I]],Registro[[#This Row],[Trim II]],Registro[[#This Row],[Trim III]],Registro[[#This Row],[Trim IV]])</f>
        <v>2</v>
      </c>
      <c r="Y1109" s="22">
        <f>IFERROR((Registro[[#This Row],[Avance Total]]/Registro[[#This Row],[Meta]]),0)</f>
        <v>4.7846889952153108E-3</v>
      </c>
      <c r="Z1109" s="22">
        <f>IFERROR((Registro[[#This Row],[Avance Total]]-Registro[[#This Row],[Línea Base 2025]])/Registro[[#This Row],[Línea Base 2025]],0)</f>
        <v>-0.95744680851063835</v>
      </c>
      <c r="AA1109" s="20">
        <v>2026</v>
      </c>
    </row>
    <row r="1110" spans="1:27" hidden="1">
      <c r="A1110" s="14">
        <v>1086</v>
      </c>
      <c r="B1110" s="15" t="s">
        <v>111</v>
      </c>
      <c r="C1110" s="16">
        <v>114</v>
      </c>
      <c r="D1110" s="16" t="s">
        <v>181</v>
      </c>
      <c r="E1110" s="17" t="s">
        <v>180</v>
      </c>
      <c r="F1110" s="24">
        <v>3</v>
      </c>
      <c r="G1110" s="19">
        <v>21</v>
      </c>
      <c r="H1110" s="19">
        <v>8</v>
      </c>
      <c r="I1110" s="19">
        <v>0</v>
      </c>
      <c r="T1110" s="19">
        <f>Registro[[#This Row],[Mes 1]]+Registro[[#This Row],[Mes 2]]+Registro[[#This Row],[Mes 3]]</f>
        <v>8</v>
      </c>
      <c r="U1110" s="19">
        <f>Registro[[#This Row],[Mes 4]]+Registro[[#This Row],[Mes 5]]+Registro[[#This Row],[Mes 6]]</f>
        <v>0</v>
      </c>
      <c r="V1110" s="19">
        <f>Registro[[#This Row],[Mes 7]]+Registro[[#This Row],[Mes 8]]+Registro[[#This Row],[Mes 9]]</f>
        <v>0</v>
      </c>
      <c r="W1110" s="20">
        <f>Registro[[#This Row],[Mes 10]]+Registro[[#This Row],[Mes 11]]+Registro[[#This Row],[Mes 12]]</f>
        <v>0</v>
      </c>
      <c r="X1110" s="20">
        <f>SUM(Registro[[#This Row],[Trim I]],Registro[[#This Row],[Trim II]],Registro[[#This Row],[Trim III]],Registro[[#This Row],[Trim IV]])</f>
        <v>8</v>
      </c>
      <c r="Y1110" s="22">
        <f>IFERROR((Registro[[#This Row],[Avance Total]]/Registro[[#This Row],[Meta]]),0)</f>
        <v>0.38095238095238093</v>
      </c>
      <c r="Z1110" s="22">
        <f>IFERROR((Registro[[#This Row],[Avance Total]]-Registro[[#This Row],[Línea Base 2025]])/Registro[[#This Row],[Línea Base 2025]],0)</f>
        <v>1.6666666666666667</v>
      </c>
      <c r="AA1110" s="20">
        <v>2026</v>
      </c>
    </row>
    <row r="1111" spans="1:27" hidden="1">
      <c r="A1111" s="14">
        <v>1086</v>
      </c>
      <c r="B1111" s="15" t="s">
        <v>111</v>
      </c>
      <c r="C1111" s="16">
        <v>115</v>
      </c>
      <c r="D1111" s="16" t="s">
        <v>183</v>
      </c>
      <c r="E1111" s="17" t="s">
        <v>182</v>
      </c>
      <c r="F1111" s="24">
        <v>16</v>
      </c>
      <c r="G1111" s="19">
        <v>19</v>
      </c>
      <c r="H1111" s="19">
        <v>0</v>
      </c>
      <c r="I1111" s="19">
        <v>0</v>
      </c>
      <c r="T1111" s="19">
        <f>Registro[[#This Row],[Mes 1]]+Registro[[#This Row],[Mes 2]]+Registro[[#This Row],[Mes 3]]</f>
        <v>0</v>
      </c>
      <c r="U1111" s="19">
        <f>Registro[[#This Row],[Mes 4]]+Registro[[#This Row],[Mes 5]]+Registro[[#This Row],[Mes 6]]</f>
        <v>0</v>
      </c>
      <c r="V1111" s="19">
        <f>Registro[[#This Row],[Mes 7]]+Registro[[#This Row],[Mes 8]]+Registro[[#This Row],[Mes 9]]</f>
        <v>0</v>
      </c>
      <c r="W1111" s="20">
        <f>Registro[[#This Row],[Mes 10]]+Registro[[#This Row],[Mes 11]]+Registro[[#This Row],[Mes 12]]</f>
        <v>0</v>
      </c>
      <c r="X1111" s="20">
        <f>SUM(Registro[[#This Row],[Trim I]],Registro[[#This Row],[Trim II]],Registro[[#This Row],[Trim III]],Registro[[#This Row],[Trim IV]])</f>
        <v>0</v>
      </c>
      <c r="Y1111" s="22">
        <f>IFERROR((Registro[[#This Row],[Avance Total]]/Registro[[#This Row],[Meta]]),0)</f>
        <v>0</v>
      </c>
      <c r="Z1111" s="22">
        <f>IFERROR((Registro[[#This Row],[Avance Total]]-Registro[[#This Row],[Línea Base 2025]])/Registro[[#This Row],[Línea Base 2025]],0)</f>
        <v>-1</v>
      </c>
      <c r="AA1111" s="20">
        <v>2026</v>
      </c>
    </row>
    <row r="1112" spans="1:27">
      <c r="A1112" s="14">
        <v>1086</v>
      </c>
      <c r="B1112" s="15" t="s">
        <v>111</v>
      </c>
      <c r="C1112" s="16">
        <v>116</v>
      </c>
      <c r="D1112" s="16" t="s">
        <v>185</v>
      </c>
      <c r="E1112" s="17" t="s">
        <v>184</v>
      </c>
      <c r="F1112" s="24">
        <v>4</v>
      </c>
      <c r="G1112" s="19">
        <v>6</v>
      </c>
      <c r="H1112" s="19">
        <v>0</v>
      </c>
      <c r="I1112" s="19">
        <v>0</v>
      </c>
      <c r="T1112" s="19">
        <f>Registro[[#This Row],[Mes 1]]+Registro[[#This Row],[Mes 2]]+Registro[[#This Row],[Mes 3]]</f>
        <v>0</v>
      </c>
      <c r="U1112" s="19">
        <f>Registro[[#This Row],[Mes 4]]+Registro[[#This Row],[Mes 5]]+Registro[[#This Row],[Mes 6]]</f>
        <v>0</v>
      </c>
      <c r="V1112" s="19">
        <f>Registro[[#This Row],[Mes 7]]+Registro[[#This Row],[Mes 8]]+Registro[[#This Row],[Mes 9]]</f>
        <v>0</v>
      </c>
      <c r="W1112" s="20">
        <f>Registro[[#This Row],[Mes 10]]+Registro[[#This Row],[Mes 11]]+Registro[[#This Row],[Mes 12]]</f>
        <v>0</v>
      </c>
      <c r="X1112" s="20">
        <f>SUM(Registro[[#This Row],[Trim I]],Registro[[#This Row],[Trim II]],Registro[[#This Row],[Trim III]],Registro[[#This Row],[Trim IV]])</f>
        <v>0</v>
      </c>
      <c r="Y1112" s="22">
        <f>IFERROR((Registro[[#This Row],[Avance Total]]/Registro[[#This Row],[Meta]]),0)</f>
        <v>0</v>
      </c>
      <c r="Z1112" s="22">
        <f>IFERROR((Registro[[#This Row],[Avance Total]]-Registro[[#This Row],[Línea Base 2025]])/Registro[[#This Row],[Línea Base 2025]],0)</f>
        <v>-1</v>
      </c>
      <c r="AA1112" s="20">
        <v>2026</v>
      </c>
    </row>
    <row r="1113" spans="1:27" hidden="1">
      <c r="A1113" s="14">
        <v>1086</v>
      </c>
      <c r="B1113" s="15" t="s">
        <v>111</v>
      </c>
      <c r="C1113" s="16">
        <v>117</v>
      </c>
      <c r="D1113" s="16" t="s">
        <v>187</v>
      </c>
      <c r="E1113" s="17" t="s">
        <v>186</v>
      </c>
      <c r="F1113" s="24">
        <v>4</v>
      </c>
      <c r="G1113" s="19">
        <v>5</v>
      </c>
      <c r="H1113" s="19">
        <v>0</v>
      </c>
      <c r="I1113" s="19">
        <v>0</v>
      </c>
      <c r="T1113" s="19">
        <f>Registro[[#This Row],[Mes 1]]+Registro[[#This Row],[Mes 2]]+Registro[[#This Row],[Mes 3]]</f>
        <v>0</v>
      </c>
      <c r="U1113" s="19">
        <f>Registro[[#This Row],[Mes 4]]+Registro[[#This Row],[Mes 5]]+Registro[[#This Row],[Mes 6]]</f>
        <v>0</v>
      </c>
      <c r="V1113" s="19">
        <f>Registro[[#This Row],[Mes 7]]+Registro[[#This Row],[Mes 8]]+Registro[[#This Row],[Mes 9]]</f>
        <v>0</v>
      </c>
      <c r="W1113" s="20">
        <f>Registro[[#This Row],[Mes 10]]+Registro[[#This Row],[Mes 11]]+Registro[[#This Row],[Mes 12]]</f>
        <v>0</v>
      </c>
      <c r="X1113" s="20">
        <f>SUM(Registro[[#This Row],[Trim I]],Registro[[#This Row],[Trim II]],Registro[[#This Row],[Trim III]],Registro[[#This Row],[Trim IV]])</f>
        <v>0</v>
      </c>
      <c r="Y1113" s="22">
        <f>IFERROR((Registro[[#This Row],[Avance Total]]/Registro[[#This Row],[Meta]]),0)</f>
        <v>0</v>
      </c>
      <c r="Z1113" s="22">
        <f>IFERROR((Registro[[#This Row],[Avance Total]]-Registro[[#This Row],[Línea Base 2025]])/Registro[[#This Row],[Línea Base 2025]],0)</f>
        <v>-1</v>
      </c>
      <c r="AA1113" s="20">
        <v>2026</v>
      </c>
    </row>
    <row r="1114" spans="1:27" hidden="1">
      <c r="A1114" s="14">
        <v>1086</v>
      </c>
      <c r="B1114" s="15" t="s">
        <v>111</v>
      </c>
      <c r="C1114" s="16">
        <v>118</v>
      </c>
      <c r="D1114" s="16" t="s">
        <v>188</v>
      </c>
      <c r="E1114" s="17" t="s">
        <v>9</v>
      </c>
      <c r="F1114" s="24">
        <v>0</v>
      </c>
      <c r="G1114" s="19">
        <v>2</v>
      </c>
      <c r="H1114" s="19">
        <v>0</v>
      </c>
      <c r="I1114" s="19">
        <v>0</v>
      </c>
      <c r="T1114" s="19">
        <f>Registro[[#This Row],[Mes 1]]+Registro[[#This Row],[Mes 2]]+Registro[[#This Row],[Mes 3]]</f>
        <v>0</v>
      </c>
      <c r="U1114" s="19">
        <f>Registro[[#This Row],[Mes 4]]+Registro[[#This Row],[Mes 5]]+Registro[[#This Row],[Mes 6]]</f>
        <v>0</v>
      </c>
      <c r="V1114" s="19">
        <f>Registro[[#This Row],[Mes 7]]+Registro[[#This Row],[Mes 8]]+Registro[[#This Row],[Mes 9]]</f>
        <v>0</v>
      </c>
      <c r="W1114" s="20">
        <f>Registro[[#This Row],[Mes 10]]+Registro[[#This Row],[Mes 11]]+Registro[[#This Row],[Mes 12]]</f>
        <v>0</v>
      </c>
      <c r="X1114" s="20">
        <f>SUM(Registro[[#This Row],[Trim I]],Registro[[#This Row],[Trim II]],Registro[[#This Row],[Trim III]],Registro[[#This Row],[Trim IV]])</f>
        <v>0</v>
      </c>
      <c r="Y1114" s="22">
        <f>IFERROR((Registro[[#This Row],[Avance Total]]/Registro[[#This Row],[Meta]]),0)</f>
        <v>0</v>
      </c>
      <c r="Z1114" s="22">
        <f>IFERROR((Registro[[#This Row],[Avance Total]]-Registro[[#This Row],[Línea Base 2025]])/Registro[[#This Row],[Línea Base 2025]],0)</f>
        <v>0</v>
      </c>
      <c r="AA1114" s="20">
        <v>2026</v>
      </c>
    </row>
    <row r="1115" spans="1:27" hidden="1">
      <c r="A1115" s="14">
        <v>1086</v>
      </c>
      <c r="B1115" s="15" t="s">
        <v>111</v>
      </c>
      <c r="C1115" s="16">
        <v>119</v>
      </c>
      <c r="D1115" s="16" t="s">
        <v>190</v>
      </c>
      <c r="E1115" s="17" t="s">
        <v>189</v>
      </c>
      <c r="F1115" s="24">
        <v>0</v>
      </c>
      <c r="G1115" s="19">
        <v>5</v>
      </c>
      <c r="H1115" s="19">
        <v>0</v>
      </c>
      <c r="I1115" s="19">
        <v>0</v>
      </c>
      <c r="T1115" s="19">
        <f>Registro[[#This Row],[Mes 1]]+Registro[[#This Row],[Mes 2]]+Registro[[#This Row],[Mes 3]]</f>
        <v>0</v>
      </c>
      <c r="U1115" s="19">
        <f>Registro[[#This Row],[Mes 4]]+Registro[[#This Row],[Mes 5]]+Registro[[#This Row],[Mes 6]]</f>
        <v>0</v>
      </c>
      <c r="V1115" s="19">
        <f>Registro[[#This Row],[Mes 7]]+Registro[[#This Row],[Mes 8]]+Registro[[#This Row],[Mes 9]]</f>
        <v>0</v>
      </c>
      <c r="W1115" s="20">
        <f>Registro[[#This Row],[Mes 10]]+Registro[[#This Row],[Mes 11]]+Registro[[#This Row],[Mes 12]]</f>
        <v>0</v>
      </c>
      <c r="X1115" s="20">
        <f>SUM(Registro[[#This Row],[Trim I]],Registro[[#This Row],[Trim II]],Registro[[#This Row],[Trim III]],Registro[[#This Row],[Trim IV]])</f>
        <v>0</v>
      </c>
      <c r="Y1115" s="22">
        <f>IFERROR((Registro[[#This Row],[Avance Total]]/Registro[[#This Row],[Meta]]),0)</f>
        <v>0</v>
      </c>
      <c r="Z1115" s="22">
        <f>IFERROR((Registro[[#This Row],[Avance Total]]-Registro[[#This Row],[Línea Base 2025]])/Registro[[#This Row],[Línea Base 2025]],0)</f>
        <v>0</v>
      </c>
      <c r="AA1115" s="20">
        <v>2026</v>
      </c>
    </row>
    <row r="1116" spans="1:27" hidden="1">
      <c r="A1116" s="14">
        <v>1086</v>
      </c>
      <c r="B1116" s="15" t="s">
        <v>111</v>
      </c>
      <c r="C1116" s="16">
        <v>120</v>
      </c>
      <c r="D1116" s="16" t="s">
        <v>192</v>
      </c>
      <c r="E1116" s="17" t="s">
        <v>191</v>
      </c>
      <c r="F1116" s="24">
        <v>40</v>
      </c>
      <c r="G1116" s="19">
        <v>40</v>
      </c>
      <c r="H1116" s="19">
        <v>0</v>
      </c>
      <c r="I1116" s="19">
        <v>0</v>
      </c>
      <c r="T1116" s="19">
        <f>Registro[[#This Row],[Mes 1]]+Registro[[#This Row],[Mes 2]]+Registro[[#This Row],[Mes 3]]</f>
        <v>0</v>
      </c>
      <c r="U1116" s="19">
        <f>Registro[[#This Row],[Mes 4]]+Registro[[#This Row],[Mes 5]]+Registro[[#This Row],[Mes 6]]</f>
        <v>0</v>
      </c>
      <c r="V1116" s="19">
        <f>Registro[[#This Row],[Mes 7]]+Registro[[#This Row],[Mes 8]]+Registro[[#This Row],[Mes 9]]</f>
        <v>0</v>
      </c>
      <c r="W1116" s="20">
        <f>Registro[[#This Row],[Mes 10]]+Registro[[#This Row],[Mes 11]]+Registro[[#This Row],[Mes 12]]</f>
        <v>0</v>
      </c>
      <c r="X1116" s="20">
        <f>SUM(Registro[[#This Row],[Trim I]],Registro[[#This Row],[Trim II]],Registro[[#This Row],[Trim III]],Registro[[#This Row],[Trim IV]])</f>
        <v>0</v>
      </c>
      <c r="Y1116" s="22">
        <f>IFERROR((Registro[[#This Row],[Avance Total]]/Registro[[#This Row],[Meta]]),0)</f>
        <v>0</v>
      </c>
      <c r="Z1116" s="22">
        <f>IFERROR((Registro[[#This Row],[Avance Total]]-Registro[[#This Row],[Línea Base 2025]])/Registro[[#This Row],[Línea Base 2025]],0)</f>
        <v>-1</v>
      </c>
      <c r="AA1116" s="20">
        <v>2026</v>
      </c>
    </row>
    <row r="1117" spans="1:27" hidden="1">
      <c r="A1117" s="14">
        <v>1086</v>
      </c>
      <c r="B1117" s="15" t="s">
        <v>111</v>
      </c>
      <c r="C1117" s="16">
        <v>121</v>
      </c>
      <c r="D1117" s="16" t="s">
        <v>194</v>
      </c>
      <c r="E1117" s="17" t="s">
        <v>193</v>
      </c>
      <c r="F1117" s="24">
        <v>3</v>
      </c>
      <c r="G1117" s="19">
        <v>35</v>
      </c>
      <c r="H1117" s="19">
        <v>0</v>
      </c>
      <c r="I1117" s="19">
        <v>0</v>
      </c>
      <c r="T1117" s="19">
        <f>Registro[[#This Row],[Mes 1]]+Registro[[#This Row],[Mes 2]]+Registro[[#This Row],[Mes 3]]</f>
        <v>0</v>
      </c>
      <c r="U1117" s="19">
        <f>Registro[[#This Row],[Mes 4]]+Registro[[#This Row],[Mes 5]]+Registro[[#This Row],[Mes 6]]</f>
        <v>0</v>
      </c>
      <c r="V1117" s="19">
        <f>Registro[[#This Row],[Mes 7]]+Registro[[#This Row],[Mes 8]]+Registro[[#This Row],[Mes 9]]</f>
        <v>0</v>
      </c>
      <c r="W1117" s="20">
        <f>Registro[[#This Row],[Mes 10]]+Registro[[#This Row],[Mes 11]]+Registro[[#This Row],[Mes 12]]</f>
        <v>0</v>
      </c>
      <c r="X1117" s="20">
        <f>SUM(Registro[[#This Row],[Trim I]],Registro[[#This Row],[Trim II]],Registro[[#This Row],[Trim III]],Registro[[#This Row],[Trim IV]])</f>
        <v>0</v>
      </c>
      <c r="Y1117" s="22">
        <f>IFERROR((Registro[[#This Row],[Avance Total]]/Registro[[#This Row],[Meta]]),0)</f>
        <v>0</v>
      </c>
      <c r="Z1117" s="22">
        <f>IFERROR((Registro[[#This Row],[Avance Total]]-Registro[[#This Row],[Línea Base 2025]])/Registro[[#This Row],[Línea Base 2025]],0)</f>
        <v>-1</v>
      </c>
      <c r="AA1117" s="20">
        <v>2026</v>
      </c>
    </row>
    <row r="1118" spans="1:27" hidden="1">
      <c r="A1118" s="14">
        <v>1086</v>
      </c>
      <c r="B1118" s="15" t="s">
        <v>111</v>
      </c>
      <c r="C1118" s="16">
        <v>122</v>
      </c>
      <c r="D1118" s="16" t="s">
        <v>196</v>
      </c>
      <c r="E1118" s="17" t="s">
        <v>195</v>
      </c>
      <c r="F1118" s="24">
        <v>11</v>
      </c>
      <c r="G1118" s="19">
        <v>16</v>
      </c>
      <c r="H1118" s="19">
        <v>0</v>
      </c>
      <c r="I1118" s="19">
        <v>0</v>
      </c>
      <c r="T1118" s="19">
        <f>Registro[[#This Row],[Mes 1]]+Registro[[#This Row],[Mes 2]]+Registro[[#This Row],[Mes 3]]</f>
        <v>0</v>
      </c>
      <c r="U1118" s="19">
        <f>Registro[[#This Row],[Mes 4]]+Registro[[#This Row],[Mes 5]]+Registro[[#This Row],[Mes 6]]</f>
        <v>0</v>
      </c>
      <c r="V1118" s="19">
        <f>Registro[[#This Row],[Mes 7]]+Registro[[#This Row],[Mes 8]]+Registro[[#This Row],[Mes 9]]</f>
        <v>0</v>
      </c>
      <c r="W1118" s="20">
        <f>Registro[[#This Row],[Mes 10]]+Registro[[#This Row],[Mes 11]]+Registro[[#This Row],[Mes 12]]</f>
        <v>0</v>
      </c>
      <c r="X1118" s="20">
        <f>SUM(Registro[[#This Row],[Trim I]],Registro[[#This Row],[Trim II]],Registro[[#This Row],[Trim III]],Registro[[#This Row],[Trim IV]])</f>
        <v>0</v>
      </c>
      <c r="Y1118" s="22">
        <f>IFERROR((Registro[[#This Row],[Avance Total]]/Registro[[#This Row],[Meta]]),0)</f>
        <v>0</v>
      </c>
      <c r="Z1118" s="22">
        <f>IFERROR((Registro[[#This Row],[Avance Total]]-Registro[[#This Row],[Línea Base 2025]])/Registro[[#This Row],[Línea Base 2025]],0)</f>
        <v>-1</v>
      </c>
      <c r="AA1118" s="20">
        <v>2026</v>
      </c>
    </row>
    <row r="1119" spans="1:27" hidden="1">
      <c r="A1119" s="14">
        <v>1086</v>
      </c>
      <c r="B1119" s="15" t="s">
        <v>111</v>
      </c>
      <c r="C1119" s="16">
        <v>123</v>
      </c>
      <c r="D1119" s="16" t="s">
        <v>198</v>
      </c>
      <c r="E1119" s="17" t="s">
        <v>197</v>
      </c>
      <c r="F1119" s="24">
        <v>0</v>
      </c>
      <c r="G1119" s="19">
        <v>30</v>
      </c>
      <c r="H1119" s="19">
        <v>0</v>
      </c>
      <c r="I1119" s="19">
        <v>0</v>
      </c>
      <c r="T1119" s="19">
        <f>Registro[[#This Row],[Mes 1]]+Registro[[#This Row],[Mes 2]]+Registro[[#This Row],[Mes 3]]</f>
        <v>0</v>
      </c>
      <c r="U1119" s="19">
        <f>Registro[[#This Row],[Mes 4]]+Registro[[#This Row],[Mes 5]]+Registro[[#This Row],[Mes 6]]</f>
        <v>0</v>
      </c>
      <c r="V1119" s="19">
        <f>Registro[[#This Row],[Mes 7]]+Registro[[#This Row],[Mes 8]]+Registro[[#This Row],[Mes 9]]</f>
        <v>0</v>
      </c>
      <c r="W1119" s="20">
        <f>Registro[[#This Row],[Mes 10]]+Registro[[#This Row],[Mes 11]]+Registro[[#This Row],[Mes 12]]</f>
        <v>0</v>
      </c>
      <c r="X1119" s="20">
        <f>SUM(Registro[[#This Row],[Trim I]],Registro[[#This Row],[Trim II]],Registro[[#This Row],[Trim III]],Registro[[#This Row],[Trim IV]])</f>
        <v>0</v>
      </c>
      <c r="Y1119" s="22">
        <f>IFERROR((Registro[[#This Row],[Avance Total]]/Registro[[#This Row],[Meta]]),0)</f>
        <v>0</v>
      </c>
      <c r="Z1119" s="22">
        <f>IFERROR((Registro[[#This Row],[Avance Total]]-Registro[[#This Row],[Línea Base 2025]])/Registro[[#This Row],[Línea Base 2025]],0)</f>
        <v>0</v>
      </c>
      <c r="AA1119" s="20">
        <v>2026</v>
      </c>
    </row>
    <row r="1120" spans="1:27" hidden="1">
      <c r="A1120" s="14">
        <v>1087</v>
      </c>
      <c r="B1120" s="15" t="s">
        <v>112</v>
      </c>
      <c r="C1120" s="16">
        <v>111</v>
      </c>
      <c r="D1120" s="16" t="s">
        <v>171</v>
      </c>
      <c r="E1120" s="17" t="s">
        <v>172</v>
      </c>
      <c r="F1120" s="24">
        <v>7</v>
      </c>
      <c r="G1120" s="19">
        <v>45</v>
      </c>
      <c r="H1120" s="19">
        <v>0</v>
      </c>
      <c r="I1120" s="19">
        <v>7</v>
      </c>
      <c r="T1120" s="19">
        <f>Registro[[#This Row],[Mes 1]]+Registro[[#This Row],[Mes 2]]+Registro[[#This Row],[Mes 3]]</f>
        <v>7</v>
      </c>
      <c r="U1120" s="19">
        <f>Registro[[#This Row],[Mes 4]]+Registro[[#This Row],[Mes 5]]+Registro[[#This Row],[Mes 6]]</f>
        <v>0</v>
      </c>
      <c r="V1120" s="19">
        <f>Registro[[#This Row],[Mes 7]]+Registro[[#This Row],[Mes 8]]+Registro[[#This Row],[Mes 9]]</f>
        <v>0</v>
      </c>
      <c r="W1120" s="20">
        <f>Registro[[#This Row],[Mes 10]]+Registro[[#This Row],[Mes 11]]+Registro[[#This Row],[Mes 12]]</f>
        <v>0</v>
      </c>
      <c r="X1120" s="20">
        <f>SUM(Registro[[#This Row],[Trim I]],Registro[[#This Row],[Trim II]],Registro[[#This Row],[Trim III]],Registro[[#This Row],[Trim IV]])</f>
        <v>7</v>
      </c>
      <c r="Y1120" s="22">
        <f>IFERROR((Registro[[#This Row],[Avance Total]]/Registro[[#This Row],[Meta]]),0)</f>
        <v>0.15555555555555556</v>
      </c>
      <c r="Z1120" s="22">
        <f>IFERROR((Registro[[#This Row],[Avance Total]]-Registro[[#This Row],[Línea Base 2025]])/Registro[[#This Row],[Línea Base 2025]],0)</f>
        <v>0</v>
      </c>
      <c r="AA1120" s="20">
        <v>2026</v>
      </c>
    </row>
    <row r="1121" spans="1:27" hidden="1">
      <c r="A1121" s="14">
        <v>1087</v>
      </c>
      <c r="B1121" s="15" t="s">
        <v>112</v>
      </c>
      <c r="C1121" s="16">
        <v>112</v>
      </c>
      <c r="D1121" s="16" t="s">
        <v>173</v>
      </c>
      <c r="E1121" s="17" t="s">
        <v>7</v>
      </c>
      <c r="F1121" s="24">
        <v>2</v>
      </c>
      <c r="G1121" s="19">
        <v>35</v>
      </c>
      <c r="H1121" s="19">
        <v>0</v>
      </c>
      <c r="I1121" s="19">
        <v>0</v>
      </c>
      <c r="T1121" s="19">
        <f>Registro[[#This Row],[Mes 1]]+Registro[[#This Row],[Mes 2]]+Registro[[#This Row],[Mes 3]]</f>
        <v>0</v>
      </c>
      <c r="U1121" s="19">
        <f>Registro[[#This Row],[Mes 4]]+Registro[[#This Row],[Mes 5]]+Registro[[#This Row],[Mes 6]]</f>
        <v>0</v>
      </c>
      <c r="V1121" s="19">
        <f>Registro[[#This Row],[Mes 7]]+Registro[[#This Row],[Mes 8]]+Registro[[#This Row],[Mes 9]]</f>
        <v>0</v>
      </c>
      <c r="W1121" s="20">
        <f>Registro[[#This Row],[Mes 10]]+Registro[[#This Row],[Mes 11]]+Registro[[#This Row],[Mes 12]]</f>
        <v>0</v>
      </c>
      <c r="X1121" s="20">
        <f>SUM(Registro[[#This Row],[Trim I]],Registro[[#This Row],[Trim II]],Registro[[#This Row],[Trim III]],Registro[[#This Row],[Trim IV]])</f>
        <v>0</v>
      </c>
      <c r="Y1121" s="22">
        <f>IFERROR((Registro[[#This Row],[Avance Total]]/Registro[[#This Row],[Meta]]),0)</f>
        <v>0</v>
      </c>
      <c r="Z1121" s="22">
        <f>IFERROR((Registro[[#This Row],[Avance Total]]-Registro[[#This Row],[Línea Base 2025]])/Registro[[#This Row],[Línea Base 2025]],0)</f>
        <v>-1</v>
      </c>
      <c r="AA1121" s="20">
        <v>2026</v>
      </c>
    </row>
    <row r="1122" spans="1:27" hidden="1">
      <c r="A1122" s="14">
        <v>1087</v>
      </c>
      <c r="B1122" s="15" t="s">
        <v>112</v>
      </c>
      <c r="C1122" s="16">
        <v>113</v>
      </c>
      <c r="D1122" s="16" t="s">
        <v>179</v>
      </c>
      <c r="E1122" s="17" t="s">
        <v>178</v>
      </c>
      <c r="F1122" s="24">
        <v>1</v>
      </c>
      <c r="G1122" s="19">
        <v>59</v>
      </c>
      <c r="H1122" s="19">
        <v>1</v>
      </c>
      <c r="I1122" s="19">
        <v>1</v>
      </c>
      <c r="T1122" s="19">
        <f>Registro[[#This Row],[Mes 1]]+Registro[[#This Row],[Mes 2]]+Registro[[#This Row],[Mes 3]]</f>
        <v>2</v>
      </c>
      <c r="U1122" s="19">
        <f>Registro[[#This Row],[Mes 4]]+Registro[[#This Row],[Mes 5]]+Registro[[#This Row],[Mes 6]]</f>
        <v>0</v>
      </c>
      <c r="V1122" s="19">
        <f>Registro[[#This Row],[Mes 7]]+Registro[[#This Row],[Mes 8]]+Registro[[#This Row],[Mes 9]]</f>
        <v>0</v>
      </c>
      <c r="W1122" s="20">
        <f>Registro[[#This Row],[Mes 10]]+Registro[[#This Row],[Mes 11]]+Registro[[#This Row],[Mes 12]]</f>
        <v>0</v>
      </c>
      <c r="X1122" s="20">
        <f>SUM(Registro[[#This Row],[Trim I]],Registro[[#This Row],[Trim II]],Registro[[#This Row],[Trim III]],Registro[[#This Row],[Trim IV]])</f>
        <v>2</v>
      </c>
      <c r="Y1122" s="22">
        <f>IFERROR((Registro[[#This Row],[Avance Total]]/Registro[[#This Row],[Meta]]),0)</f>
        <v>3.3898305084745763E-2</v>
      </c>
      <c r="Z1122" s="22">
        <f>IFERROR((Registro[[#This Row],[Avance Total]]-Registro[[#This Row],[Línea Base 2025]])/Registro[[#This Row],[Línea Base 2025]],0)</f>
        <v>1</v>
      </c>
      <c r="AA1122" s="20">
        <v>2026</v>
      </c>
    </row>
    <row r="1123" spans="1:27" hidden="1">
      <c r="A1123" s="14">
        <v>1087</v>
      </c>
      <c r="B1123" s="15" t="s">
        <v>112</v>
      </c>
      <c r="C1123" s="16">
        <v>114</v>
      </c>
      <c r="D1123" s="16" t="s">
        <v>181</v>
      </c>
      <c r="E1123" s="17" t="s">
        <v>180</v>
      </c>
      <c r="F1123" s="24">
        <v>0</v>
      </c>
      <c r="G1123" s="19">
        <v>56</v>
      </c>
      <c r="H1123" s="19">
        <v>34</v>
      </c>
      <c r="I1123" s="19">
        <v>0</v>
      </c>
      <c r="T1123" s="19">
        <f>Registro[[#This Row],[Mes 1]]+Registro[[#This Row],[Mes 2]]+Registro[[#This Row],[Mes 3]]</f>
        <v>34</v>
      </c>
      <c r="U1123" s="19">
        <f>Registro[[#This Row],[Mes 4]]+Registro[[#This Row],[Mes 5]]+Registro[[#This Row],[Mes 6]]</f>
        <v>0</v>
      </c>
      <c r="V1123" s="19">
        <f>Registro[[#This Row],[Mes 7]]+Registro[[#This Row],[Mes 8]]+Registro[[#This Row],[Mes 9]]</f>
        <v>0</v>
      </c>
      <c r="W1123" s="20">
        <f>Registro[[#This Row],[Mes 10]]+Registro[[#This Row],[Mes 11]]+Registro[[#This Row],[Mes 12]]</f>
        <v>0</v>
      </c>
      <c r="X1123" s="20">
        <f>SUM(Registro[[#This Row],[Trim I]],Registro[[#This Row],[Trim II]],Registro[[#This Row],[Trim III]],Registro[[#This Row],[Trim IV]])</f>
        <v>34</v>
      </c>
      <c r="Y1123" s="22">
        <f>IFERROR((Registro[[#This Row],[Avance Total]]/Registro[[#This Row],[Meta]]),0)</f>
        <v>0.6071428571428571</v>
      </c>
      <c r="Z1123" s="22">
        <f>IFERROR((Registro[[#This Row],[Avance Total]]-Registro[[#This Row],[Línea Base 2025]])/Registro[[#This Row],[Línea Base 2025]],0)</f>
        <v>0</v>
      </c>
      <c r="AA1123" s="20">
        <v>2026</v>
      </c>
    </row>
    <row r="1124" spans="1:27" hidden="1">
      <c r="A1124" s="14">
        <v>1087</v>
      </c>
      <c r="B1124" s="15" t="s">
        <v>112</v>
      </c>
      <c r="C1124" s="16">
        <v>115</v>
      </c>
      <c r="D1124" s="16" t="s">
        <v>183</v>
      </c>
      <c r="E1124" s="17" t="s">
        <v>182</v>
      </c>
      <c r="F1124" s="24">
        <v>0</v>
      </c>
      <c r="G1124" s="19">
        <v>15</v>
      </c>
      <c r="H1124" s="19">
        <v>0</v>
      </c>
      <c r="I1124" s="19">
        <v>10</v>
      </c>
      <c r="T1124" s="19">
        <f>Registro[[#This Row],[Mes 1]]+Registro[[#This Row],[Mes 2]]+Registro[[#This Row],[Mes 3]]</f>
        <v>10</v>
      </c>
      <c r="U1124" s="19">
        <f>Registro[[#This Row],[Mes 4]]+Registro[[#This Row],[Mes 5]]+Registro[[#This Row],[Mes 6]]</f>
        <v>0</v>
      </c>
      <c r="V1124" s="19">
        <f>Registro[[#This Row],[Mes 7]]+Registro[[#This Row],[Mes 8]]+Registro[[#This Row],[Mes 9]]</f>
        <v>0</v>
      </c>
      <c r="W1124" s="20">
        <f>Registro[[#This Row],[Mes 10]]+Registro[[#This Row],[Mes 11]]+Registro[[#This Row],[Mes 12]]</f>
        <v>0</v>
      </c>
      <c r="X1124" s="20">
        <f>SUM(Registro[[#This Row],[Trim I]],Registro[[#This Row],[Trim II]],Registro[[#This Row],[Trim III]],Registro[[#This Row],[Trim IV]])</f>
        <v>10</v>
      </c>
      <c r="Y1124" s="22">
        <f>IFERROR((Registro[[#This Row],[Avance Total]]/Registro[[#This Row],[Meta]]),0)</f>
        <v>0.66666666666666663</v>
      </c>
      <c r="Z1124" s="22">
        <f>IFERROR((Registro[[#This Row],[Avance Total]]-Registro[[#This Row],[Línea Base 2025]])/Registro[[#This Row],[Línea Base 2025]],0)</f>
        <v>0</v>
      </c>
      <c r="AA1124" s="20">
        <v>2026</v>
      </c>
    </row>
    <row r="1125" spans="1:27">
      <c r="A1125" s="14">
        <v>1087</v>
      </c>
      <c r="B1125" s="15" t="s">
        <v>112</v>
      </c>
      <c r="C1125" s="16">
        <v>116</v>
      </c>
      <c r="D1125" s="16" t="s">
        <v>185</v>
      </c>
      <c r="E1125" s="17" t="s">
        <v>184</v>
      </c>
      <c r="F1125" s="24">
        <v>1</v>
      </c>
      <c r="G1125" s="19">
        <v>1</v>
      </c>
      <c r="H1125" s="19">
        <v>0</v>
      </c>
      <c r="I1125" s="19">
        <v>0</v>
      </c>
      <c r="T1125" s="19">
        <f>Registro[[#This Row],[Mes 1]]+Registro[[#This Row],[Mes 2]]+Registro[[#This Row],[Mes 3]]</f>
        <v>0</v>
      </c>
      <c r="U1125" s="19">
        <f>Registro[[#This Row],[Mes 4]]+Registro[[#This Row],[Mes 5]]+Registro[[#This Row],[Mes 6]]</f>
        <v>0</v>
      </c>
      <c r="V1125" s="19">
        <f>Registro[[#This Row],[Mes 7]]+Registro[[#This Row],[Mes 8]]+Registro[[#This Row],[Mes 9]]</f>
        <v>0</v>
      </c>
      <c r="W1125" s="20">
        <f>Registro[[#This Row],[Mes 10]]+Registro[[#This Row],[Mes 11]]+Registro[[#This Row],[Mes 12]]</f>
        <v>0</v>
      </c>
      <c r="X1125" s="20">
        <f>SUM(Registro[[#This Row],[Trim I]],Registro[[#This Row],[Trim II]],Registro[[#This Row],[Trim III]],Registro[[#This Row],[Trim IV]])</f>
        <v>0</v>
      </c>
      <c r="Y1125" s="22">
        <f>IFERROR((Registro[[#This Row],[Avance Total]]/Registro[[#This Row],[Meta]]),0)</f>
        <v>0</v>
      </c>
      <c r="Z1125" s="22">
        <f>IFERROR((Registro[[#This Row],[Avance Total]]-Registro[[#This Row],[Línea Base 2025]])/Registro[[#This Row],[Línea Base 2025]],0)</f>
        <v>-1</v>
      </c>
      <c r="AA1125" s="20">
        <v>2026</v>
      </c>
    </row>
    <row r="1126" spans="1:27" hidden="1">
      <c r="A1126" s="14">
        <v>1087</v>
      </c>
      <c r="B1126" s="15" t="s">
        <v>112</v>
      </c>
      <c r="C1126" s="16">
        <v>117</v>
      </c>
      <c r="D1126" s="16" t="s">
        <v>187</v>
      </c>
      <c r="E1126" s="17" t="s">
        <v>186</v>
      </c>
      <c r="F1126" s="24">
        <v>1</v>
      </c>
      <c r="G1126" s="19">
        <v>1</v>
      </c>
      <c r="H1126" s="19">
        <v>0</v>
      </c>
      <c r="I1126" s="19">
        <v>0</v>
      </c>
      <c r="T1126" s="19">
        <f>Registro[[#This Row],[Mes 1]]+Registro[[#This Row],[Mes 2]]+Registro[[#This Row],[Mes 3]]</f>
        <v>0</v>
      </c>
      <c r="U1126" s="19">
        <f>Registro[[#This Row],[Mes 4]]+Registro[[#This Row],[Mes 5]]+Registro[[#This Row],[Mes 6]]</f>
        <v>0</v>
      </c>
      <c r="V1126" s="19">
        <f>Registro[[#This Row],[Mes 7]]+Registro[[#This Row],[Mes 8]]+Registro[[#This Row],[Mes 9]]</f>
        <v>0</v>
      </c>
      <c r="W1126" s="20">
        <f>Registro[[#This Row],[Mes 10]]+Registro[[#This Row],[Mes 11]]+Registro[[#This Row],[Mes 12]]</f>
        <v>0</v>
      </c>
      <c r="X1126" s="20">
        <f>SUM(Registro[[#This Row],[Trim I]],Registro[[#This Row],[Trim II]],Registro[[#This Row],[Trim III]],Registro[[#This Row],[Trim IV]])</f>
        <v>0</v>
      </c>
      <c r="Y1126" s="22">
        <f>IFERROR((Registro[[#This Row],[Avance Total]]/Registro[[#This Row],[Meta]]),0)</f>
        <v>0</v>
      </c>
      <c r="Z1126" s="22">
        <f>IFERROR((Registro[[#This Row],[Avance Total]]-Registro[[#This Row],[Línea Base 2025]])/Registro[[#This Row],[Línea Base 2025]],0)</f>
        <v>-1</v>
      </c>
      <c r="AA1126" s="20">
        <v>2026</v>
      </c>
    </row>
    <row r="1127" spans="1:27" hidden="1">
      <c r="A1127" s="14">
        <v>1087</v>
      </c>
      <c r="B1127" s="15" t="s">
        <v>112</v>
      </c>
      <c r="C1127" s="16">
        <v>118</v>
      </c>
      <c r="D1127" s="16" t="s">
        <v>188</v>
      </c>
      <c r="E1127" s="17" t="s">
        <v>9</v>
      </c>
      <c r="F1127" s="24">
        <v>0</v>
      </c>
      <c r="G1127" s="19">
        <v>0</v>
      </c>
      <c r="H1127" s="19">
        <v>0</v>
      </c>
      <c r="I1127" s="19">
        <v>0</v>
      </c>
      <c r="T1127" s="19">
        <f>Registro[[#This Row],[Mes 1]]+Registro[[#This Row],[Mes 2]]+Registro[[#This Row],[Mes 3]]</f>
        <v>0</v>
      </c>
      <c r="U1127" s="19">
        <f>Registro[[#This Row],[Mes 4]]+Registro[[#This Row],[Mes 5]]+Registro[[#This Row],[Mes 6]]</f>
        <v>0</v>
      </c>
      <c r="V1127" s="19">
        <f>Registro[[#This Row],[Mes 7]]+Registro[[#This Row],[Mes 8]]+Registro[[#This Row],[Mes 9]]</f>
        <v>0</v>
      </c>
      <c r="W1127" s="20">
        <f>Registro[[#This Row],[Mes 10]]+Registro[[#This Row],[Mes 11]]+Registro[[#This Row],[Mes 12]]</f>
        <v>0</v>
      </c>
      <c r="X1127" s="20">
        <f>SUM(Registro[[#This Row],[Trim I]],Registro[[#This Row],[Trim II]],Registro[[#This Row],[Trim III]],Registro[[#This Row],[Trim IV]])</f>
        <v>0</v>
      </c>
      <c r="Y1127" s="22">
        <f>IFERROR((Registro[[#This Row],[Avance Total]]/Registro[[#This Row],[Meta]]),0)</f>
        <v>0</v>
      </c>
      <c r="Z1127" s="22">
        <f>IFERROR((Registro[[#This Row],[Avance Total]]-Registro[[#This Row],[Línea Base 2025]])/Registro[[#This Row],[Línea Base 2025]],0)</f>
        <v>0</v>
      </c>
      <c r="AA1127" s="20">
        <v>2026</v>
      </c>
    </row>
    <row r="1128" spans="1:27" hidden="1">
      <c r="A1128" s="14">
        <v>1087</v>
      </c>
      <c r="B1128" s="15" t="s">
        <v>112</v>
      </c>
      <c r="C1128" s="16">
        <v>119</v>
      </c>
      <c r="D1128" s="16" t="s">
        <v>190</v>
      </c>
      <c r="E1128" s="17" t="s">
        <v>189</v>
      </c>
      <c r="F1128" s="24">
        <v>0</v>
      </c>
      <c r="G1128" s="19">
        <v>1</v>
      </c>
      <c r="H1128" s="19">
        <v>0</v>
      </c>
      <c r="I1128" s="19">
        <v>0</v>
      </c>
      <c r="T1128" s="19">
        <f>Registro[[#This Row],[Mes 1]]+Registro[[#This Row],[Mes 2]]+Registro[[#This Row],[Mes 3]]</f>
        <v>0</v>
      </c>
      <c r="U1128" s="19">
        <f>Registro[[#This Row],[Mes 4]]+Registro[[#This Row],[Mes 5]]+Registro[[#This Row],[Mes 6]]</f>
        <v>0</v>
      </c>
      <c r="V1128" s="19">
        <f>Registro[[#This Row],[Mes 7]]+Registro[[#This Row],[Mes 8]]+Registro[[#This Row],[Mes 9]]</f>
        <v>0</v>
      </c>
      <c r="W1128" s="20">
        <f>Registro[[#This Row],[Mes 10]]+Registro[[#This Row],[Mes 11]]+Registro[[#This Row],[Mes 12]]</f>
        <v>0</v>
      </c>
      <c r="X1128" s="20">
        <f>SUM(Registro[[#This Row],[Trim I]],Registro[[#This Row],[Trim II]],Registro[[#This Row],[Trim III]],Registro[[#This Row],[Trim IV]])</f>
        <v>0</v>
      </c>
      <c r="Y1128" s="22">
        <f>IFERROR((Registro[[#This Row],[Avance Total]]/Registro[[#This Row],[Meta]]),0)</f>
        <v>0</v>
      </c>
      <c r="Z1128" s="22">
        <f>IFERROR((Registro[[#This Row],[Avance Total]]-Registro[[#This Row],[Línea Base 2025]])/Registro[[#This Row],[Línea Base 2025]],0)</f>
        <v>0</v>
      </c>
      <c r="AA1128" s="20">
        <v>2026</v>
      </c>
    </row>
    <row r="1129" spans="1:27" hidden="1">
      <c r="A1129" s="14">
        <v>1087</v>
      </c>
      <c r="B1129" s="15" t="s">
        <v>112</v>
      </c>
      <c r="C1129" s="16">
        <v>120</v>
      </c>
      <c r="D1129" s="16" t="s">
        <v>192</v>
      </c>
      <c r="E1129" s="17" t="s">
        <v>191</v>
      </c>
      <c r="F1129" s="24">
        <v>0</v>
      </c>
      <c r="G1129" s="19">
        <v>4</v>
      </c>
      <c r="H1129" s="19">
        <v>0</v>
      </c>
      <c r="I1129" s="19">
        <v>0</v>
      </c>
      <c r="T1129" s="19">
        <f>Registro[[#This Row],[Mes 1]]+Registro[[#This Row],[Mes 2]]+Registro[[#This Row],[Mes 3]]</f>
        <v>0</v>
      </c>
      <c r="U1129" s="19">
        <f>Registro[[#This Row],[Mes 4]]+Registro[[#This Row],[Mes 5]]+Registro[[#This Row],[Mes 6]]</f>
        <v>0</v>
      </c>
      <c r="V1129" s="19">
        <f>Registro[[#This Row],[Mes 7]]+Registro[[#This Row],[Mes 8]]+Registro[[#This Row],[Mes 9]]</f>
        <v>0</v>
      </c>
      <c r="W1129" s="20">
        <f>Registro[[#This Row],[Mes 10]]+Registro[[#This Row],[Mes 11]]+Registro[[#This Row],[Mes 12]]</f>
        <v>0</v>
      </c>
      <c r="X1129" s="20">
        <f>SUM(Registro[[#This Row],[Trim I]],Registro[[#This Row],[Trim II]],Registro[[#This Row],[Trim III]],Registro[[#This Row],[Trim IV]])</f>
        <v>0</v>
      </c>
      <c r="Y1129" s="22">
        <f>IFERROR((Registro[[#This Row],[Avance Total]]/Registro[[#This Row],[Meta]]),0)</f>
        <v>0</v>
      </c>
      <c r="Z1129" s="22">
        <f>IFERROR((Registro[[#This Row],[Avance Total]]-Registro[[#This Row],[Línea Base 2025]])/Registro[[#This Row],[Línea Base 2025]],0)</f>
        <v>0</v>
      </c>
      <c r="AA1129" s="20">
        <v>2026</v>
      </c>
    </row>
    <row r="1130" spans="1:27" hidden="1">
      <c r="A1130" s="14">
        <v>1087</v>
      </c>
      <c r="B1130" s="15" t="s">
        <v>112</v>
      </c>
      <c r="C1130" s="16">
        <v>121</v>
      </c>
      <c r="D1130" s="16" t="s">
        <v>194</v>
      </c>
      <c r="E1130" s="17" t="s">
        <v>193</v>
      </c>
      <c r="F1130" s="24">
        <v>0</v>
      </c>
      <c r="G1130" s="19">
        <v>3</v>
      </c>
      <c r="H1130" s="19">
        <v>0</v>
      </c>
      <c r="I1130" s="19">
        <v>0</v>
      </c>
      <c r="T1130" s="19">
        <f>Registro[[#This Row],[Mes 1]]+Registro[[#This Row],[Mes 2]]+Registro[[#This Row],[Mes 3]]</f>
        <v>0</v>
      </c>
      <c r="U1130" s="19">
        <f>Registro[[#This Row],[Mes 4]]+Registro[[#This Row],[Mes 5]]+Registro[[#This Row],[Mes 6]]</f>
        <v>0</v>
      </c>
      <c r="V1130" s="19">
        <f>Registro[[#This Row],[Mes 7]]+Registro[[#This Row],[Mes 8]]+Registro[[#This Row],[Mes 9]]</f>
        <v>0</v>
      </c>
      <c r="W1130" s="20">
        <f>Registro[[#This Row],[Mes 10]]+Registro[[#This Row],[Mes 11]]+Registro[[#This Row],[Mes 12]]</f>
        <v>0</v>
      </c>
      <c r="X1130" s="20">
        <f>SUM(Registro[[#This Row],[Trim I]],Registro[[#This Row],[Trim II]],Registro[[#This Row],[Trim III]],Registro[[#This Row],[Trim IV]])</f>
        <v>0</v>
      </c>
      <c r="Y1130" s="22">
        <f>IFERROR((Registro[[#This Row],[Avance Total]]/Registro[[#This Row],[Meta]]),0)</f>
        <v>0</v>
      </c>
      <c r="Z1130" s="22">
        <f>IFERROR((Registro[[#This Row],[Avance Total]]-Registro[[#This Row],[Línea Base 2025]])/Registro[[#This Row],[Línea Base 2025]],0)</f>
        <v>0</v>
      </c>
      <c r="AA1130" s="20">
        <v>2026</v>
      </c>
    </row>
    <row r="1131" spans="1:27" hidden="1">
      <c r="A1131" s="14">
        <v>1087</v>
      </c>
      <c r="B1131" s="15" t="s">
        <v>112</v>
      </c>
      <c r="C1131" s="16">
        <v>122</v>
      </c>
      <c r="D1131" s="16" t="s">
        <v>196</v>
      </c>
      <c r="E1131" s="17" t="s">
        <v>195</v>
      </c>
      <c r="F1131" s="24">
        <v>0</v>
      </c>
      <c r="G1131" s="19">
        <v>6</v>
      </c>
      <c r="H1131" s="19">
        <v>0</v>
      </c>
      <c r="I1131" s="19">
        <v>0</v>
      </c>
      <c r="T1131" s="19">
        <f>Registro[[#This Row],[Mes 1]]+Registro[[#This Row],[Mes 2]]+Registro[[#This Row],[Mes 3]]</f>
        <v>0</v>
      </c>
      <c r="U1131" s="19">
        <f>Registro[[#This Row],[Mes 4]]+Registro[[#This Row],[Mes 5]]+Registro[[#This Row],[Mes 6]]</f>
        <v>0</v>
      </c>
      <c r="V1131" s="19">
        <f>Registro[[#This Row],[Mes 7]]+Registro[[#This Row],[Mes 8]]+Registro[[#This Row],[Mes 9]]</f>
        <v>0</v>
      </c>
      <c r="W1131" s="20">
        <f>Registro[[#This Row],[Mes 10]]+Registro[[#This Row],[Mes 11]]+Registro[[#This Row],[Mes 12]]</f>
        <v>0</v>
      </c>
      <c r="X1131" s="20">
        <f>SUM(Registro[[#This Row],[Trim I]],Registro[[#This Row],[Trim II]],Registro[[#This Row],[Trim III]],Registro[[#This Row],[Trim IV]])</f>
        <v>0</v>
      </c>
      <c r="Y1131" s="22">
        <f>IFERROR((Registro[[#This Row],[Avance Total]]/Registro[[#This Row],[Meta]]),0)</f>
        <v>0</v>
      </c>
      <c r="Z1131" s="22">
        <f>IFERROR((Registro[[#This Row],[Avance Total]]-Registro[[#This Row],[Línea Base 2025]])/Registro[[#This Row],[Línea Base 2025]],0)</f>
        <v>0</v>
      </c>
      <c r="AA1131" s="20">
        <v>2026</v>
      </c>
    </row>
    <row r="1132" spans="1:27" hidden="1">
      <c r="A1132" s="14">
        <v>1087</v>
      </c>
      <c r="B1132" s="15" t="s">
        <v>112</v>
      </c>
      <c r="C1132" s="16">
        <v>123</v>
      </c>
      <c r="D1132" s="16" t="s">
        <v>198</v>
      </c>
      <c r="E1132" s="17" t="s">
        <v>197</v>
      </c>
      <c r="F1132" s="24">
        <v>0</v>
      </c>
      <c r="G1132" s="19">
        <v>1</v>
      </c>
      <c r="H1132" s="19">
        <v>0</v>
      </c>
      <c r="I1132" s="19">
        <v>0</v>
      </c>
      <c r="T1132" s="19">
        <f>Registro[[#This Row],[Mes 1]]+Registro[[#This Row],[Mes 2]]+Registro[[#This Row],[Mes 3]]</f>
        <v>0</v>
      </c>
      <c r="U1132" s="19">
        <f>Registro[[#This Row],[Mes 4]]+Registro[[#This Row],[Mes 5]]+Registro[[#This Row],[Mes 6]]</f>
        <v>0</v>
      </c>
      <c r="V1132" s="19">
        <f>Registro[[#This Row],[Mes 7]]+Registro[[#This Row],[Mes 8]]+Registro[[#This Row],[Mes 9]]</f>
        <v>0</v>
      </c>
      <c r="W1132" s="20">
        <f>Registro[[#This Row],[Mes 10]]+Registro[[#This Row],[Mes 11]]+Registro[[#This Row],[Mes 12]]</f>
        <v>0</v>
      </c>
      <c r="X1132" s="20">
        <f>SUM(Registro[[#This Row],[Trim I]],Registro[[#This Row],[Trim II]],Registro[[#This Row],[Trim III]],Registro[[#This Row],[Trim IV]])</f>
        <v>0</v>
      </c>
      <c r="Y1132" s="22">
        <f>IFERROR((Registro[[#This Row],[Avance Total]]/Registro[[#This Row],[Meta]]),0)</f>
        <v>0</v>
      </c>
      <c r="Z1132" s="22">
        <f>IFERROR((Registro[[#This Row],[Avance Total]]-Registro[[#This Row],[Línea Base 2025]])/Registro[[#This Row],[Línea Base 2025]],0)</f>
        <v>0</v>
      </c>
      <c r="AA1132" s="20">
        <v>2026</v>
      </c>
    </row>
    <row r="1133" spans="1:27" hidden="1">
      <c r="A1133" s="14">
        <v>1088</v>
      </c>
      <c r="B1133" s="15" t="s">
        <v>13</v>
      </c>
      <c r="C1133" s="16">
        <v>111</v>
      </c>
      <c r="D1133" s="16" t="s">
        <v>171</v>
      </c>
      <c r="E1133" s="17" t="s">
        <v>172</v>
      </c>
      <c r="F1133" s="24">
        <v>2</v>
      </c>
      <c r="G1133" s="19">
        <v>340</v>
      </c>
      <c r="H1133" s="19">
        <v>4</v>
      </c>
      <c r="I1133" s="19">
        <v>4</v>
      </c>
      <c r="T1133" s="19">
        <f>Registro[[#This Row],[Mes 1]]+Registro[[#This Row],[Mes 2]]+Registro[[#This Row],[Mes 3]]</f>
        <v>8</v>
      </c>
      <c r="U1133" s="19">
        <f>Registro[[#This Row],[Mes 4]]+Registro[[#This Row],[Mes 5]]+Registro[[#This Row],[Mes 6]]</f>
        <v>0</v>
      </c>
      <c r="V1133" s="19">
        <f>Registro[[#This Row],[Mes 7]]+Registro[[#This Row],[Mes 8]]+Registro[[#This Row],[Mes 9]]</f>
        <v>0</v>
      </c>
      <c r="W1133" s="20">
        <f>Registro[[#This Row],[Mes 10]]+Registro[[#This Row],[Mes 11]]+Registro[[#This Row],[Mes 12]]</f>
        <v>0</v>
      </c>
      <c r="X1133" s="20">
        <f>SUM(Registro[[#This Row],[Trim I]],Registro[[#This Row],[Trim II]],Registro[[#This Row],[Trim III]],Registro[[#This Row],[Trim IV]])</f>
        <v>8</v>
      </c>
      <c r="Y1133" s="22">
        <f>IFERROR((Registro[[#This Row],[Avance Total]]/Registro[[#This Row],[Meta]]),0)</f>
        <v>2.3529411764705882E-2</v>
      </c>
      <c r="Z1133" s="22">
        <f>IFERROR((Registro[[#This Row],[Avance Total]]-Registro[[#This Row],[Línea Base 2025]])/Registro[[#This Row],[Línea Base 2025]],0)</f>
        <v>3</v>
      </c>
      <c r="AA1133" s="20">
        <v>2026</v>
      </c>
    </row>
    <row r="1134" spans="1:27" hidden="1">
      <c r="A1134" s="14">
        <v>1088</v>
      </c>
      <c r="B1134" s="15" t="s">
        <v>13</v>
      </c>
      <c r="C1134" s="16">
        <v>112</v>
      </c>
      <c r="D1134" s="16" t="s">
        <v>173</v>
      </c>
      <c r="E1134" s="17" t="s">
        <v>7</v>
      </c>
      <c r="F1134" s="24">
        <v>0</v>
      </c>
      <c r="G1134" s="19">
        <v>16</v>
      </c>
      <c r="H1134" s="19">
        <v>0</v>
      </c>
      <c r="I1134" s="19">
        <v>0</v>
      </c>
      <c r="T1134" s="19">
        <f>Registro[[#This Row],[Mes 1]]+Registro[[#This Row],[Mes 2]]+Registro[[#This Row],[Mes 3]]</f>
        <v>0</v>
      </c>
      <c r="U1134" s="19">
        <f>Registro[[#This Row],[Mes 4]]+Registro[[#This Row],[Mes 5]]+Registro[[#This Row],[Mes 6]]</f>
        <v>0</v>
      </c>
      <c r="V1134" s="19">
        <f>Registro[[#This Row],[Mes 7]]+Registro[[#This Row],[Mes 8]]+Registro[[#This Row],[Mes 9]]</f>
        <v>0</v>
      </c>
      <c r="W1134" s="20">
        <f>Registro[[#This Row],[Mes 10]]+Registro[[#This Row],[Mes 11]]+Registro[[#This Row],[Mes 12]]</f>
        <v>0</v>
      </c>
      <c r="X1134" s="20">
        <f>SUM(Registro[[#This Row],[Trim I]],Registro[[#This Row],[Trim II]],Registro[[#This Row],[Trim III]],Registro[[#This Row],[Trim IV]])</f>
        <v>0</v>
      </c>
      <c r="Y1134" s="22">
        <f>IFERROR((Registro[[#This Row],[Avance Total]]/Registro[[#This Row],[Meta]]),0)</f>
        <v>0</v>
      </c>
      <c r="Z1134" s="22">
        <f>IFERROR((Registro[[#This Row],[Avance Total]]-Registro[[#This Row],[Línea Base 2025]])/Registro[[#This Row],[Línea Base 2025]],0)</f>
        <v>0</v>
      </c>
      <c r="AA1134" s="20">
        <v>2026</v>
      </c>
    </row>
    <row r="1135" spans="1:27" hidden="1">
      <c r="A1135" s="14">
        <v>1088</v>
      </c>
      <c r="B1135" s="15" t="s">
        <v>13</v>
      </c>
      <c r="C1135" s="16">
        <v>113</v>
      </c>
      <c r="D1135" s="16" t="s">
        <v>179</v>
      </c>
      <c r="E1135" s="17" t="s">
        <v>178</v>
      </c>
      <c r="F1135" s="24">
        <v>25</v>
      </c>
      <c r="G1135" s="19">
        <v>155</v>
      </c>
      <c r="H1135" s="19">
        <v>1</v>
      </c>
      <c r="I1135" s="19">
        <v>0</v>
      </c>
      <c r="T1135" s="19">
        <f>Registro[[#This Row],[Mes 1]]+Registro[[#This Row],[Mes 2]]+Registro[[#This Row],[Mes 3]]</f>
        <v>1</v>
      </c>
      <c r="U1135" s="19">
        <f>Registro[[#This Row],[Mes 4]]+Registro[[#This Row],[Mes 5]]+Registro[[#This Row],[Mes 6]]</f>
        <v>0</v>
      </c>
      <c r="V1135" s="19">
        <f>Registro[[#This Row],[Mes 7]]+Registro[[#This Row],[Mes 8]]+Registro[[#This Row],[Mes 9]]</f>
        <v>0</v>
      </c>
      <c r="W1135" s="20">
        <f>Registro[[#This Row],[Mes 10]]+Registro[[#This Row],[Mes 11]]+Registro[[#This Row],[Mes 12]]</f>
        <v>0</v>
      </c>
      <c r="X1135" s="20">
        <f>SUM(Registro[[#This Row],[Trim I]],Registro[[#This Row],[Trim II]],Registro[[#This Row],[Trim III]],Registro[[#This Row],[Trim IV]])</f>
        <v>1</v>
      </c>
      <c r="Y1135" s="22">
        <f>IFERROR((Registro[[#This Row],[Avance Total]]/Registro[[#This Row],[Meta]]),0)</f>
        <v>6.4516129032258064E-3</v>
      </c>
      <c r="Z1135" s="22">
        <f>IFERROR((Registro[[#This Row],[Avance Total]]-Registro[[#This Row],[Línea Base 2025]])/Registro[[#This Row],[Línea Base 2025]],0)</f>
        <v>-0.96</v>
      </c>
      <c r="AA1135" s="20">
        <v>2026</v>
      </c>
    </row>
    <row r="1136" spans="1:27" hidden="1">
      <c r="A1136" s="14">
        <v>1088</v>
      </c>
      <c r="B1136" s="15" t="s">
        <v>13</v>
      </c>
      <c r="C1136" s="16">
        <v>114</v>
      </c>
      <c r="D1136" s="16" t="s">
        <v>181</v>
      </c>
      <c r="E1136" s="17" t="s">
        <v>180</v>
      </c>
      <c r="F1136" s="24">
        <v>0</v>
      </c>
      <c r="G1136" s="19">
        <v>0</v>
      </c>
      <c r="H1136" s="19">
        <v>1</v>
      </c>
      <c r="I1136" s="19">
        <v>0</v>
      </c>
      <c r="T1136" s="19">
        <f>Registro[[#This Row],[Mes 1]]+Registro[[#This Row],[Mes 2]]+Registro[[#This Row],[Mes 3]]</f>
        <v>1</v>
      </c>
      <c r="U1136" s="19">
        <f>Registro[[#This Row],[Mes 4]]+Registro[[#This Row],[Mes 5]]+Registro[[#This Row],[Mes 6]]</f>
        <v>0</v>
      </c>
      <c r="V1136" s="19">
        <f>Registro[[#This Row],[Mes 7]]+Registro[[#This Row],[Mes 8]]+Registro[[#This Row],[Mes 9]]</f>
        <v>0</v>
      </c>
      <c r="W1136" s="20">
        <f>Registro[[#This Row],[Mes 10]]+Registro[[#This Row],[Mes 11]]+Registro[[#This Row],[Mes 12]]</f>
        <v>0</v>
      </c>
      <c r="X1136" s="20">
        <f>SUM(Registro[[#This Row],[Trim I]],Registro[[#This Row],[Trim II]],Registro[[#This Row],[Trim III]],Registro[[#This Row],[Trim IV]])</f>
        <v>1</v>
      </c>
      <c r="Y1136" s="22">
        <f>IFERROR((Registro[[#This Row],[Avance Total]]/Registro[[#This Row],[Meta]]),0)</f>
        <v>0</v>
      </c>
      <c r="Z1136" s="22">
        <f>IFERROR((Registro[[#This Row],[Avance Total]]-Registro[[#This Row],[Línea Base 2025]])/Registro[[#This Row],[Línea Base 2025]],0)</f>
        <v>0</v>
      </c>
      <c r="AA1136" s="20">
        <v>2026</v>
      </c>
    </row>
    <row r="1137" spans="1:27" hidden="1">
      <c r="A1137" s="14">
        <v>1088</v>
      </c>
      <c r="B1137" s="15" t="s">
        <v>13</v>
      </c>
      <c r="C1137" s="16">
        <v>115</v>
      </c>
      <c r="D1137" s="16" t="s">
        <v>183</v>
      </c>
      <c r="E1137" s="17" t="s">
        <v>182</v>
      </c>
      <c r="F1137" s="24">
        <v>0</v>
      </c>
      <c r="G1137" s="19">
        <v>0</v>
      </c>
      <c r="H1137" s="19">
        <v>0</v>
      </c>
      <c r="I1137" s="19">
        <v>0</v>
      </c>
      <c r="T1137" s="19">
        <f>Registro[[#This Row],[Mes 1]]+Registro[[#This Row],[Mes 2]]+Registro[[#This Row],[Mes 3]]</f>
        <v>0</v>
      </c>
      <c r="U1137" s="19">
        <f>Registro[[#This Row],[Mes 4]]+Registro[[#This Row],[Mes 5]]+Registro[[#This Row],[Mes 6]]</f>
        <v>0</v>
      </c>
      <c r="V1137" s="19">
        <f>Registro[[#This Row],[Mes 7]]+Registro[[#This Row],[Mes 8]]+Registro[[#This Row],[Mes 9]]</f>
        <v>0</v>
      </c>
      <c r="W1137" s="20">
        <f>Registro[[#This Row],[Mes 10]]+Registro[[#This Row],[Mes 11]]+Registro[[#This Row],[Mes 12]]</f>
        <v>0</v>
      </c>
      <c r="X1137" s="20">
        <f>SUM(Registro[[#This Row],[Trim I]],Registro[[#This Row],[Trim II]],Registro[[#This Row],[Trim III]],Registro[[#This Row],[Trim IV]])</f>
        <v>0</v>
      </c>
      <c r="Y1137" s="22">
        <f>IFERROR((Registro[[#This Row],[Avance Total]]/Registro[[#This Row],[Meta]]),0)</f>
        <v>0</v>
      </c>
      <c r="Z1137" s="22">
        <f>IFERROR((Registro[[#This Row],[Avance Total]]-Registro[[#This Row],[Línea Base 2025]])/Registro[[#This Row],[Línea Base 2025]],0)</f>
        <v>0</v>
      </c>
      <c r="AA1137" s="20">
        <v>2026</v>
      </c>
    </row>
    <row r="1138" spans="1:27">
      <c r="A1138" s="14">
        <v>1088</v>
      </c>
      <c r="B1138" s="15" t="s">
        <v>13</v>
      </c>
      <c r="C1138" s="16">
        <v>116</v>
      </c>
      <c r="D1138" s="16" t="s">
        <v>185</v>
      </c>
      <c r="E1138" s="17" t="s">
        <v>184</v>
      </c>
      <c r="F1138" s="24">
        <v>0</v>
      </c>
      <c r="G1138" s="19">
        <v>1</v>
      </c>
      <c r="H1138" s="19">
        <v>0</v>
      </c>
      <c r="I1138" s="19">
        <v>0</v>
      </c>
      <c r="T1138" s="19">
        <f>Registro[[#This Row],[Mes 1]]+Registro[[#This Row],[Mes 2]]+Registro[[#This Row],[Mes 3]]</f>
        <v>0</v>
      </c>
      <c r="U1138" s="19">
        <f>Registro[[#This Row],[Mes 4]]+Registro[[#This Row],[Mes 5]]+Registro[[#This Row],[Mes 6]]</f>
        <v>0</v>
      </c>
      <c r="V1138" s="19">
        <f>Registro[[#This Row],[Mes 7]]+Registro[[#This Row],[Mes 8]]+Registro[[#This Row],[Mes 9]]</f>
        <v>0</v>
      </c>
      <c r="W1138" s="20">
        <f>Registro[[#This Row],[Mes 10]]+Registro[[#This Row],[Mes 11]]+Registro[[#This Row],[Mes 12]]</f>
        <v>0</v>
      </c>
      <c r="X1138" s="20">
        <f>SUM(Registro[[#This Row],[Trim I]],Registro[[#This Row],[Trim II]],Registro[[#This Row],[Trim III]],Registro[[#This Row],[Trim IV]])</f>
        <v>0</v>
      </c>
      <c r="Y1138" s="22">
        <f>IFERROR((Registro[[#This Row],[Avance Total]]/Registro[[#This Row],[Meta]]),0)</f>
        <v>0</v>
      </c>
      <c r="Z1138" s="22">
        <f>IFERROR((Registro[[#This Row],[Avance Total]]-Registro[[#This Row],[Línea Base 2025]])/Registro[[#This Row],[Línea Base 2025]],0)</f>
        <v>0</v>
      </c>
      <c r="AA1138" s="20">
        <v>2026</v>
      </c>
    </row>
    <row r="1139" spans="1:27" hidden="1">
      <c r="A1139" s="14">
        <v>1088</v>
      </c>
      <c r="B1139" s="15" t="s">
        <v>13</v>
      </c>
      <c r="C1139" s="16">
        <v>117</v>
      </c>
      <c r="D1139" s="16" t="s">
        <v>187</v>
      </c>
      <c r="E1139" s="17" t="s">
        <v>186</v>
      </c>
      <c r="F1139" s="24">
        <v>1</v>
      </c>
      <c r="G1139" s="19">
        <v>0</v>
      </c>
      <c r="H1139" s="19">
        <v>0</v>
      </c>
      <c r="I1139" s="19">
        <v>0</v>
      </c>
      <c r="T1139" s="19">
        <f>Registro[[#This Row],[Mes 1]]+Registro[[#This Row],[Mes 2]]+Registro[[#This Row],[Mes 3]]</f>
        <v>0</v>
      </c>
      <c r="U1139" s="19">
        <f>Registro[[#This Row],[Mes 4]]+Registro[[#This Row],[Mes 5]]+Registro[[#This Row],[Mes 6]]</f>
        <v>0</v>
      </c>
      <c r="V1139" s="19">
        <f>Registro[[#This Row],[Mes 7]]+Registro[[#This Row],[Mes 8]]+Registro[[#This Row],[Mes 9]]</f>
        <v>0</v>
      </c>
      <c r="W1139" s="20">
        <f>Registro[[#This Row],[Mes 10]]+Registro[[#This Row],[Mes 11]]+Registro[[#This Row],[Mes 12]]</f>
        <v>0</v>
      </c>
      <c r="X1139" s="20">
        <f>SUM(Registro[[#This Row],[Trim I]],Registro[[#This Row],[Trim II]],Registro[[#This Row],[Trim III]],Registro[[#This Row],[Trim IV]])</f>
        <v>0</v>
      </c>
      <c r="Y1139" s="22">
        <f>IFERROR((Registro[[#This Row],[Avance Total]]/Registro[[#This Row],[Meta]]),0)</f>
        <v>0</v>
      </c>
      <c r="Z1139" s="22">
        <f>IFERROR((Registro[[#This Row],[Avance Total]]-Registro[[#This Row],[Línea Base 2025]])/Registro[[#This Row],[Línea Base 2025]],0)</f>
        <v>-1</v>
      </c>
      <c r="AA1139" s="20">
        <v>2026</v>
      </c>
    </row>
    <row r="1140" spans="1:27" hidden="1">
      <c r="A1140" s="14">
        <v>1088</v>
      </c>
      <c r="B1140" s="15" t="s">
        <v>13</v>
      </c>
      <c r="C1140" s="16">
        <v>118</v>
      </c>
      <c r="D1140" s="16" t="s">
        <v>188</v>
      </c>
      <c r="E1140" s="17" t="s">
        <v>9</v>
      </c>
      <c r="F1140" s="24">
        <v>0</v>
      </c>
      <c r="G1140" s="19">
        <v>0</v>
      </c>
      <c r="H1140" s="19">
        <v>0</v>
      </c>
      <c r="I1140" s="19">
        <v>0</v>
      </c>
      <c r="T1140" s="19">
        <f>Registro[[#This Row],[Mes 1]]+Registro[[#This Row],[Mes 2]]+Registro[[#This Row],[Mes 3]]</f>
        <v>0</v>
      </c>
      <c r="U1140" s="19">
        <f>Registro[[#This Row],[Mes 4]]+Registro[[#This Row],[Mes 5]]+Registro[[#This Row],[Mes 6]]</f>
        <v>0</v>
      </c>
      <c r="V1140" s="19">
        <f>Registro[[#This Row],[Mes 7]]+Registro[[#This Row],[Mes 8]]+Registro[[#This Row],[Mes 9]]</f>
        <v>0</v>
      </c>
      <c r="W1140" s="20">
        <f>Registro[[#This Row],[Mes 10]]+Registro[[#This Row],[Mes 11]]+Registro[[#This Row],[Mes 12]]</f>
        <v>0</v>
      </c>
      <c r="X1140" s="20">
        <f>SUM(Registro[[#This Row],[Trim I]],Registro[[#This Row],[Trim II]],Registro[[#This Row],[Trim III]],Registro[[#This Row],[Trim IV]])</f>
        <v>0</v>
      </c>
      <c r="Y1140" s="22">
        <f>IFERROR((Registro[[#This Row],[Avance Total]]/Registro[[#This Row],[Meta]]),0)</f>
        <v>0</v>
      </c>
      <c r="Z1140" s="22">
        <f>IFERROR((Registro[[#This Row],[Avance Total]]-Registro[[#This Row],[Línea Base 2025]])/Registro[[#This Row],[Línea Base 2025]],0)</f>
        <v>0</v>
      </c>
      <c r="AA1140" s="20">
        <v>2026</v>
      </c>
    </row>
    <row r="1141" spans="1:27" hidden="1">
      <c r="A1141" s="14">
        <v>1088</v>
      </c>
      <c r="B1141" s="15" t="s">
        <v>13</v>
      </c>
      <c r="C1141" s="16">
        <v>119</v>
      </c>
      <c r="D1141" s="16" t="s">
        <v>190</v>
      </c>
      <c r="E1141" s="17" t="s">
        <v>189</v>
      </c>
      <c r="F1141" s="24">
        <v>0</v>
      </c>
      <c r="G1141" s="19">
        <v>1</v>
      </c>
      <c r="H1141" s="19">
        <v>0</v>
      </c>
      <c r="I1141" s="19">
        <v>0</v>
      </c>
      <c r="T1141" s="19">
        <f>Registro[[#This Row],[Mes 1]]+Registro[[#This Row],[Mes 2]]+Registro[[#This Row],[Mes 3]]</f>
        <v>0</v>
      </c>
      <c r="U1141" s="19">
        <f>Registro[[#This Row],[Mes 4]]+Registro[[#This Row],[Mes 5]]+Registro[[#This Row],[Mes 6]]</f>
        <v>0</v>
      </c>
      <c r="V1141" s="19">
        <f>Registro[[#This Row],[Mes 7]]+Registro[[#This Row],[Mes 8]]+Registro[[#This Row],[Mes 9]]</f>
        <v>0</v>
      </c>
      <c r="W1141" s="20">
        <f>Registro[[#This Row],[Mes 10]]+Registro[[#This Row],[Mes 11]]+Registro[[#This Row],[Mes 12]]</f>
        <v>0</v>
      </c>
      <c r="X1141" s="20">
        <f>SUM(Registro[[#This Row],[Trim I]],Registro[[#This Row],[Trim II]],Registro[[#This Row],[Trim III]],Registro[[#This Row],[Trim IV]])</f>
        <v>0</v>
      </c>
      <c r="Y1141" s="22">
        <f>IFERROR((Registro[[#This Row],[Avance Total]]/Registro[[#This Row],[Meta]]),0)</f>
        <v>0</v>
      </c>
      <c r="Z1141" s="22">
        <f>IFERROR((Registro[[#This Row],[Avance Total]]-Registro[[#This Row],[Línea Base 2025]])/Registro[[#This Row],[Línea Base 2025]],0)</f>
        <v>0</v>
      </c>
      <c r="AA1141" s="20">
        <v>2026</v>
      </c>
    </row>
    <row r="1142" spans="1:27" hidden="1">
      <c r="A1142" s="14">
        <v>1088</v>
      </c>
      <c r="B1142" s="15" t="s">
        <v>13</v>
      </c>
      <c r="C1142" s="16">
        <v>120</v>
      </c>
      <c r="D1142" s="16" t="s">
        <v>192</v>
      </c>
      <c r="E1142" s="17" t="s">
        <v>191</v>
      </c>
      <c r="F1142" s="24">
        <v>0</v>
      </c>
      <c r="G1142" s="19">
        <v>0</v>
      </c>
      <c r="H1142" s="19">
        <v>0</v>
      </c>
      <c r="I1142" s="19">
        <v>0</v>
      </c>
      <c r="T1142" s="19">
        <f>Registro[[#This Row],[Mes 1]]+Registro[[#This Row],[Mes 2]]+Registro[[#This Row],[Mes 3]]</f>
        <v>0</v>
      </c>
      <c r="U1142" s="19">
        <f>Registro[[#This Row],[Mes 4]]+Registro[[#This Row],[Mes 5]]+Registro[[#This Row],[Mes 6]]</f>
        <v>0</v>
      </c>
      <c r="V1142" s="19">
        <f>Registro[[#This Row],[Mes 7]]+Registro[[#This Row],[Mes 8]]+Registro[[#This Row],[Mes 9]]</f>
        <v>0</v>
      </c>
      <c r="W1142" s="20">
        <f>Registro[[#This Row],[Mes 10]]+Registro[[#This Row],[Mes 11]]+Registro[[#This Row],[Mes 12]]</f>
        <v>0</v>
      </c>
      <c r="X1142" s="20">
        <f>SUM(Registro[[#This Row],[Trim I]],Registro[[#This Row],[Trim II]],Registro[[#This Row],[Trim III]],Registro[[#This Row],[Trim IV]])</f>
        <v>0</v>
      </c>
      <c r="Y1142" s="22">
        <f>IFERROR((Registro[[#This Row],[Avance Total]]/Registro[[#This Row],[Meta]]),0)</f>
        <v>0</v>
      </c>
      <c r="Z1142" s="22">
        <f>IFERROR((Registro[[#This Row],[Avance Total]]-Registro[[#This Row],[Línea Base 2025]])/Registro[[#This Row],[Línea Base 2025]],0)</f>
        <v>0</v>
      </c>
      <c r="AA1142" s="20">
        <v>2026</v>
      </c>
    </row>
    <row r="1143" spans="1:27" hidden="1">
      <c r="A1143" s="14">
        <v>1088</v>
      </c>
      <c r="B1143" s="15" t="s">
        <v>13</v>
      </c>
      <c r="C1143" s="16">
        <v>121</v>
      </c>
      <c r="D1143" s="16" t="s">
        <v>194</v>
      </c>
      <c r="E1143" s="17" t="s">
        <v>193</v>
      </c>
      <c r="F1143" s="24">
        <v>0</v>
      </c>
      <c r="G1143" s="19">
        <v>0</v>
      </c>
      <c r="H1143" s="19">
        <v>0</v>
      </c>
      <c r="I1143" s="19">
        <v>0</v>
      </c>
      <c r="T1143" s="19">
        <f>Registro[[#This Row],[Mes 1]]+Registro[[#This Row],[Mes 2]]+Registro[[#This Row],[Mes 3]]</f>
        <v>0</v>
      </c>
      <c r="U1143" s="19">
        <f>Registro[[#This Row],[Mes 4]]+Registro[[#This Row],[Mes 5]]+Registro[[#This Row],[Mes 6]]</f>
        <v>0</v>
      </c>
      <c r="V1143" s="19">
        <f>Registro[[#This Row],[Mes 7]]+Registro[[#This Row],[Mes 8]]+Registro[[#This Row],[Mes 9]]</f>
        <v>0</v>
      </c>
      <c r="W1143" s="20">
        <f>Registro[[#This Row],[Mes 10]]+Registro[[#This Row],[Mes 11]]+Registro[[#This Row],[Mes 12]]</f>
        <v>0</v>
      </c>
      <c r="X1143" s="20">
        <f>SUM(Registro[[#This Row],[Trim I]],Registro[[#This Row],[Trim II]],Registro[[#This Row],[Trim III]],Registro[[#This Row],[Trim IV]])</f>
        <v>0</v>
      </c>
      <c r="Y1143" s="22">
        <f>IFERROR((Registro[[#This Row],[Avance Total]]/Registro[[#This Row],[Meta]]),0)</f>
        <v>0</v>
      </c>
      <c r="Z1143" s="22">
        <f>IFERROR((Registro[[#This Row],[Avance Total]]-Registro[[#This Row],[Línea Base 2025]])/Registro[[#This Row],[Línea Base 2025]],0)</f>
        <v>0</v>
      </c>
      <c r="AA1143" s="20">
        <v>2026</v>
      </c>
    </row>
    <row r="1144" spans="1:27" hidden="1">
      <c r="A1144" s="14">
        <v>1088</v>
      </c>
      <c r="B1144" s="15" t="s">
        <v>13</v>
      </c>
      <c r="C1144" s="16">
        <v>122</v>
      </c>
      <c r="D1144" s="16" t="s">
        <v>196</v>
      </c>
      <c r="E1144" s="17" t="s">
        <v>195</v>
      </c>
      <c r="F1144" s="24">
        <v>0</v>
      </c>
      <c r="G1144" s="19">
        <v>0</v>
      </c>
      <c r="H1144" s="19">
        <v>0</v>
      </c>
      <c r="I1144" s="19">
        <v>0</v>
      </c>
      <c r="T1144" s="19">
        <f>Registro[[#This Row],[Mes 1]]+Registro[[#This Row],[Mes 2]]+Registro[[#This Row],[Mes 3]]</f>
        <v>0</v>
      </c>
      <c r="U1144" s="19">
        <f>Registro[[#This Row],[Mes 4]]+Registro[[#This Row],[Mes 5]]+Registro[[#This Row],[Mes 6]]</f>
        <v>0</v>
      </c>
      <c r="V1144" s="19">
        <f>Registro[[#This Row],[Mes 7]]+Registro[[#This Row],[Mes 8]]+Registro[[#This Row],[Mes 9]]</f>
        <v>0</v>
      </c>
      <c r="W1144" s="20">
        <f>Registro[[#This Row],[Mes 10]]+Registro[[#This Row],[Mes 11]]+Registro[[#This Row],[Mes 12]]</f>
        <v>0</v>
      </c>
      <c r="X1144" s="20">
        <f>SUM(Registro[[#This Row],[Trim I]],Registro[[#This Row],[Trim II]],Registro[[#This Row],[Trim III]],Registro[[#This Row],[Trim IV]])</f>
        <v>0</v>
      </c>
      <c r="Y1144" s="22">
        <f>IFERROR((Registro[[#This Row],[Avance Total]]/Registro[[#This Row],[Meta]]),0)</f>
        <v>0</v>
      </c>
      <c r="Z1144" s="22">
        <f>IFERROR((Registro[[#This Row],[Avance Total]]-Registro[[#This Row],[Línea Base 2025]])/Registro[[#This Row],[Línea Base 2025]],0)</f>
        <v>0</v>
      </c>
      <c r="AA1144" s="20">
        <v>2026</v>
      </c>
    </row>
    <row r="1145" spans="1:27" hidden="1">
      <c r="A1145" s="14">
        <v>1088</v>
      </c>
      <c r="B1145" s="15" t="s">
        <v>13</v>
      </c>
      <c r="C1145" s="16">
        <v>123</v>
      </c>
      <c r="D1145" s="16" t="s">
        <v>198</v>
      </c>
      <c r="E1145" s="17" t="s">
        <v>197</v>
      </c>
      <c r="F1145" s="24">
        <v>0</v>
      </c>
      <c r="G1145" s="19">
        <v>0</v>
      </c>
      <c r="H1145" s="19">
        <v>0</v>
      </c>
      <c r="I1145" s="19">
        <v>0</v>
      </c>
      <c r="T1145" s="19">
        <f>Registro[[#This Row],[Mes 1]]+Registro[[#This Row],[Mes 2]]+Registro[[#This Row],[Mes 3]]</f>
        <v>0</v>
      </c>
      <c r="U1145" s="19">
        <f>Registro[[#This Row],[Mes 4]]+Registro[[#This Row],[Mes 5]]+Registro[[#This Row],[Mes 6]]</f>
        <v>0</v>
      </c>
      <c r="V1145" s="19">
        <f>Registro[[#This Row],[Mes 7]]+Registro[[#This Row],[Mes 8]]+Registro[[#This Row],[Mes 9]]</f>
        <v>0</v>
      </c>
      <c r="W1145" s="20">
        <f>Registro[[#This Row],[Mes 10]]+Registro[[#This Row],[Mes 11]]+Registro[[#This Row],[Mes 12]]</f>
        <v>0</v>
      </c>
      <c r="X1145" s="20">
        <f>SUM(Registro[[#This Row],[Trim I]],Registro[[#This Row],[Trim II]],Registro[[#This Row],[Trim III]],Registro[[#This Row],[Trim IV]])</f>
        <v>0</v>
      </c>
      <c r="Y1145" s="22">
        <f>IFERROR((Registro[[#This Row],[Avance Total]]/Registro[[#This Row],[Meta]]),0)</f>
        <v>0</v>
      </c>
      <c r="Z1145" s="22">
        <f>IFERROR((Registro[[#This Row],[Avance Total]]-Registro[[#This Row],[Línea Base 2025]])/Registro[[#This Row],[Línea Base 2025]],0)</f>
        <v>0</v>
      </c>
      <c r="AA1145" s="20">
        <v>2026</v>
      </c>
    </row>
    <row r="1146" spans="1:27" hidden="1">
      <c r="A1146" s="14">
        <v>1089</v>
      </c>
      <c r="B1146" s="15" t="s">
        <v>113</v>
      </c>
      <c r="C1146" s="16">
        <v>111</v>
      </c>
      <c r="D1146" s="16" t="s">
        <v>171</v>
      </c>
      <c r="E1146" s="17" t="s">
        <v>172</v>
      </c>
      <c r="F1146" s="24">
        <v>42</v>
      </c>
      <c r="G1146" s="19">
        <v>68</v>
      </c>
      <c r="H1146" s="19">
        <v>18</v>
      </c>
      <c r="I1146" s="19">
        <v>24</v>
      </c>
      <c r="T1146" s="19">
        <f>Registro[[#This Row],[Mes 1]]+Registro[[#This Row],[Mes 2]]+Registro[[#This Row],[Mes 3]]</f>
        <v>42</v>
      </c>
      <c r="U1146" s="19">
        <f>Registro[[#This Row],[Mes 4]]+Registro[[#This Row],[Mes 5]]+Registro[[#This Row],[Mes 6]]</f>
        <v>0</v>
      </c>
      <c r="V1146" s="19">
        <f>Registro[[#This Row],[Mes 7]]+Registro[[#This Row],[Mes 8]]+Registro[[#This Row],[Mes 9]]</f>
        <v>0</v>
      </c>
      <c r="W1146" s="20">
        <f>Registro[[#This Row],[Mes 10]]+Registro[[#This Row],[Mes 11]]+Registro[[#This Row],[Mes 12]]</f>
        <v>0</v>
      </c>
      <c r="X1146" s="20">
        <f>SUM(Registro[[#This Row],[Trim I]],Registro[[#This Row],[Trim II]],Registro[[#This Row],[Trim III]],Registro[[#This Row],[Trim IV]])</f>
        <v>42</v>
      </c>
      <c r="Y1146" s="22">
        <f>IFERROR((Registro[[#This Row],[Avance Total]]/Registro[[#This Row],[Meta]]),0)</f>
        <v>0.61764705882352944</v>
      </c>
      <c r="Z1146" s="22">
        <f>IFERROR((Registro[[#This Row],[Avance Total]]-Registro[[#This Row],[Línea Base 2025]])/Registro[[#This Row],[Línea Base 2025]],0)</f>
        <v>0</v>
      </c>
      <c r="AA1146" s="20">
        <v>2026</v>
      </c>
    </row>
    <row r="1147" spans="1:27" hidden="1">
      <c r="A1147" s="14">
        <v>1089</v>
      </c>
      <c r="B1147" s="15" t="s">
        <v>113</v>
      </c>
      <c r="C1147" s="16">
        <v>112</v>
      </c>
      <c r="D1147" s="16" t="s">
        <v>173</v>
      </c>
      <c r="E1147" s="17" t="s">
        <v>7</v>
      </c>
      <c r="F1147" s="24">
        <v>25</v>
      </c>
      <c r="G1147" s="19">
        <v>111</v>
      </c>
      <c r="H1147" s="19">
        <v>0</v>
      </c>
      <c r="I1147" s="19">
        <v>0</v>
      </c>
      <c r="T1147" s="19">
        <f>Registro[[#This Row],[Mes 1]]+Registro[[#This Row],[Mes 2]]+Registro[[#This Row],[Mes 3]]</f>
        <v>0</v>
      </c>
      <c r="U1147" s="19">
        <f>Registro[[#This Row],[Mes 4]]+Registro[[#This Row],[Mes 5]]+Registro[[#This Row],[Mes 6]]</f>
        <v>0</v>
      </c>
      <c r="V1147" s="19">
        <f>Registro[[#This Row],[Mes 7]]+Registro[[#This Row],[Mes 8]]+Registro[[#This Row],[Mes 9]]</f>
        <v>0</v>
      </c>
      <c r="W1147" s="20">
        <f>Registro[[#This Row],[Mes 10]]+Registro[[#This Row],[Mes 11]]+Registro[[#This Row],[Mes 12]]</f>
        <v>0</v>
      </c>
      <c r="X1147" s="20">
        <f>SUM(Registro[[#This Row],[Trim I]],Registro[[#This Row],[Trim II]],Registro[[#This Row],[Trim III]],Registro[[#This Row],[Trim IV]])</f>
        <v>0</v>
      </c>
      <c r="Y1147" s="22">
        <f>IFERROR((Registro[[#This Row],[Avance Total]]/Registro[[#This Row],[Meta]]),0)</f>
        <v>0</v>
      </c>
      <c r="Z1147" s="22">
        <f>IFERROR((Registro[[#This Row],[Avance Total]]-Registro[[#This Row],[Línea Base 2025]])/Registro[[#This Row],[Línea Base 2025]],0)</f>
        <v>-1</v>
      </c>
      <c r="AA1147" s="20">
        <v>2026</v>
      </c>
    </row>
    <row r="1148" spans="1:27" hidden="1">
      <c r="A1148" s="14">
        <v>1089</v>
      </c>
      <c r="B1148" s="15" t="s">
        <v>113</v>
      </c>
      <c r="C1148" s="16">
        <v>113</v>
      </c>
      <c r="D1148" s="16" t="s">
        <v>179</v>
      </c>
      <c r="E1148" s="17" t="s">
        <v>178</v>
      </c>
      <c r="F1148" s="24">
        <v>34</v>
      </c>
      <c r="G1148" s="19">
        <v>186</v>
      </c>
      <c r="H1148" s="19">
        <v>8</v>
      </c>
      <c r="I1148" s="19">
        <v>7</v>
      </c>
      <c r="T1148" s="19">
        <f>Registro[[#This Row],[Mes 1]]+Registro[[#This Row],[Mes 2]]+Registro[[#This Row],[Mes 3]]</f>
        <v>15</v>
      </c>
      <c r="U1148" s="19">
        <f>Registro[[#This Row],[Mes 4]]+Registro[[#This Row],[Mes 5]]+Registro[[#This Row],[Mes 6]]</f>
        <v>0</v>
      </c>
      <c r="V1148" s="19">
        <f>Registro[[#This Row],[Mes 7]]+Registro[[#This Row],[Mes 8]]+Registro[[#This Row],[Mes 9]]</f>
        <v>0</v>
      </c>
      <c r="W1148" s="20">
        <f>Registro[[#This Row],[Mes 10]]+Registro[[#This Row],[Mes 11]]+Registro[[#This Row],[Mes 12]]</f>
        <v>0</v>
      </c>
      <c r="X1148" s="20">
        <f>SUM(Registro[[#This Row],[Trim I]],Registro[[#This Row],[Trim II]],Registro[[#This Row],[Trim III]],Registro[[#This Row],[Trim IV]])</f>
        <v>15</v>
      </c>
      <c r="Y1148" s="22">
        <f>IFERROR((Registro[[#This Row],[Avance Total]]/Registro[[#This Row],[Meta]]),0)</f>
        <v>8.0645161290322578E-2</v>
      </c>
      <c r="Z1148" s="22">
        <f>IFERROR((Registro[[#This Row],[Avance Total]]-Registro[[#This Row],[Línea Base 2025]])/Registro[[#This Row],[Línea Base 2025]],0)</f>
        <v>-0.55882352941176472</v>
      </c>
      <c r="AA1148" s="20">
        <v>2026</v>
      </c>
    </row>
    <row r="1149" spans="1:27" hidden="1">
      <c r="A1149" s="14">
        <v>1089</v>
      </c>
      <c r="B1149" s="15" t="s">
        <v>113</v>
      </c>
      <c r="C1149" s="16">
        <v>114</v>
      </c>
      <c r="D1149" s="16" t="s">
        <v>181</v>
      </c>
      <c r="E1149" s="17" t="s">
        <v>180</v>
      </c>
      <c r="F1149" s="24">
        <v>0</v>
      </c>
      <c r="G1149" s="19">
        <v>34</v>
      </c>
      <c r="H1149" s="19">
        <v>8</v>
      </c>
      <c r="I1149" s="19">
        <v>0</v>
      </c>
      <c r="T1149" s="19">
        <f>Registro[[#This Row],[Mes 1]]+Registro[[#This Row],[Mes 2]]+Registro[[#This Row],[Mes 3]]</f>
        <v>8</v>
      </c>
      <c r="U1149" s="19">
        <f>Registro[[#This Row],[Mes 4]]+Registro[[#This Row],[Mes 5]]+Registro[[#This Row],[Mes 6]]</f>
        <v>0</v>
      </c>
      <c r="V1149" s="19">
        <f>Registro[[#This Row],[Mes 7]]+Registro[[#This Row],[Mes 8]]+Registro[[#This Row],[Mes 9]]</f>
        <v>0</v>
      </c>
      <c r="W1149" s="20">
        <f>Registro[[#This Row],[Mes 10]]+Registro[[#This Row],[Mes 11]]+Registro[[#This Row],[Mes 12]]</f>
        <v>0</v>
      </c>
      <c r="X1149" s="20">
        <f>SUM(Registro[[#This Row],[Trim I]],Registro[[#This Row],[Trim II]],Registro[[#This Row],[Trim III]],Registro[[#This Row],[Trim IV]])</f>
        <v>8</v>
      </c>
      <c r="Y1149" s="22">
        <f>IFERROR((Registro[[#This Row],[Avance Total]]/Registro[[#This Row],[Meta]]),0)</f>
        <v>0.23529411764705882</v>
      </c>
      <c r="Z1149" s="22">
        <f>IFERROR((Registro[[#This Row],[Avance Total]]-Registro[[#This Row],[Línea Base 2025]])/Registro[[#This Row],[Línea Base 2025]],0)</f>
        <v>0</v>
      </c>
      <c r="AA1149" s="20">
        <v>2026</v>
      </c>
    </row>
    <row r="1150" spans="1:27" hidden="1">
      <c r="A1150" s="14">
        <v>1089</v>
      </c>
      <c r="B1150" s="15" t="s">
        <v>113</v>
      </c>
      <c r="C1150" s="16">
        <v>115</v>
      </c>
      <c r="D1150" s="16" t="s">
        <v>183</v>
      </c>
      <c r="E1150" s="17" t="s">
        <v>182</v>
      </c>
      <c r="F1150" s="24">
        <v>15</v>
      </c>
      <c r="G1150" s="19">
        <v>30</v>
      </c>
      <c r="H1150" s="19">
        <v>0</v>
      </c>
      <c r="I1150" s="19">
        <v>0</v>
      </c>
      <c r="T1150" s="19">
        <f>Registro[[#This Row],[Mes 1]]+Registro[[#This Row],[Mes 2]]+Registro[[#This Row],[Mes 3]]</f>
        <v>0</v>
      </c>
      <c r="U1150" s="19">
        <f>Registro[[#This Row],[Mes 4]]+Registro[[#This Row],[Mes 5]]+Registro[[#This Row],[Mes 6]]</f>
        <v>0</v>
      </c>
      <c r="V1150" s="19">
        <f>Registro[[#This Row],[Mes 7]]+Registro[[#This Row],[Mes 8]]+Registro[[#This Row],[Mes 9]]</f>
        <v>0</v>
      </c>
      <c r="W1150" s="20">
        <f>Registro[[#This Row],[Mes 10]]+Registro[[#This Row],[Mes 11]]+Registro[[#This Row],[Mes 12]]</f>
        <v>0</v>
      </c>
      <c r="X1150" s="20">
        <f>SUM(Registro[[#This Row],[Trim I]],Registro[[#This Row],[Trim II]],Registro[[#This Row],[Trim III]],Registro[[#This Row],[Trim IV]])</f>
        <v>0</v>
      </c>
      <c r="Y1150" s="22">
        <f>IFERROR((Registro[[#This Row],[Avance Total]]/Registro[[#This Row],[Meta]]),0)</f>
        <v>0</v>
      </c>
      <c r="Z1150" s="22">
        <f>IFERROR((Registro[[#This Row],[Avance Total]]-Registro[[#This Row],[Línea Base 2025]])/Registro[[#This Row],[Línea Base 2025]],0)</f>
        <v>-1</v>
      </c>
      <c r="AA1150" s="20">
        <v>2026</v>
      </c>
    </row>
    <row r="1151" spans="1:27">
      <c r="A1151" s="14">
        <v>1089</v>
      </c>
      <c r="B1151" s="15" t="s">
        <v>113</v>
      </c>
      <c r="C1151" s="16">
        <v>116</v>
      </c>
      <c r="D1151" s="16" t="s">
        <v>185</v>
      </c>
      <c r="E1151" s="17" t="s">
        <v>184</v>
      </c>
      <c r="F1151" s="24">
        <v>2</v>
      </c>
      <c r="G1151" s="19">
        <v>2</v>
      </c>
      <c r="H1151" s="19">
        <v>0</v>
      </c>
      <c r="I1151" s="19">
        <v>0</v>
      </c>
      <c r="T1151" s="19">
        <f>Registro[[#This Row],[Mes 1]]+Registro[[#This Row],[Mes 2]]+Registro[[#This Row],[Mes 3]]</f>
        <v>0</v>
      </c>
      <c r="U1151" s="19">
        <f>Registro[[#This Row],[Mes 4]]+Registro[[#This Row],[Mes 5]]+Registro[[#This Row],[Mes 6]]</f>
        <v>0</v>
      </c>
      <c r="V1151" s="19">
        <f>Registro[[#This Row],[Mes 7]]+Registro[[#This Row],[Mes 8]]+Registro[[#This Row],[Mes 9]]</f>
        <v>0</v>
      </c>
      <c r="W1151" s="20">
        <f>Registro[[#This Row],[Mes 10]]+Registro[[#This Row],[Mes 11]]+Registro[[#This Row],[Mes 12]]</f>
        <v>0</v>
      </c>
      <c r="X1151" s="20">
        <f>SUM(Registro[[#This Row],[Trim I]],Registro[[#This Row],[Trim II]],Registro[[#This Row],[Trim III]],Registro[[#This Row],[Trim IV]])</f>
        <v>0</v>
      </c>
      <c r="Y1151" s="22">
        <f>IFERROR((Registro[[#This Row],[Avance Total]]/Registro[[#This Row],[Meta]]),0)</f>
        <v>0</v>
      </c>
      <c r="Z1151" s="22">
        <f>IFERROR((Registro[[#This Row],[Avance Total]]-Registro[[#This Row],[Línea Base 2025]])/Registro[[#This Row],[Línea Base 2025]],0)</f>
        <v>-1</v>
      </c>
      <c r="AA1151" s="20">
        <v>2026</v>
      </c>
    </row>
    <row r="1152" spans="1:27" hidden="1">
      <c r="A1152" s="14">
        <v>1089</v>
      </c>
      <c r="B1152" s="15" t="s">
        <v>113</v>
      </c>
      <c r="C1152" s="16">
        <v>117</v>
      </c>
      <c r="D1152" s="16" t="s">
        <v>187</v>
      </c>
      <c r="E1152" s="17" t="s">
        <v>186</v>
      </c>
      <c r="F1152" s="24">
        <v>6</v>
      </c>
      <c r="G1152" s="19">
        <v>6</v>
      </c>
      <c r="H1152" s="19">
        <v>0</v>
      </c>
      <c r="I1152" s="19">
        <v>0</v>
      </c>
      <c r="T1152" s="19">
        <f>Registro[[#This Row],[Mes 1]]+Registro[[#This Row],[Mes 2]]+Registro[[#This Row],[Mes 3]]</f>
        <v>0</v>
      </c>
      <c r="U1152" s="19">
        <f>Registro[[#This Row],[Mes 4]]+Registro[[#This Row],[Mes 5]]+Registro[[#This Row],[Mes 6]]</f>
        <v>0</v>
      </c>
      <c r="V1152" s="19">
        <f>Registro[[#This Row],[Mes 7]]+Registro[[#This Row],[Mes 8]]+Registro[[#This Row],[Mes 9]]</f>
        <v>0</v>
      </c>
      <c r="W1152" s="20">
        <f>Registro[[#This Row],[Mes 10]]+Registro[[#This Row],[Mes 11]]+Registro[[#This Row],[Mes 12]]</f>
        <v>0</v>
      </c>
      <c r="X1152" s="20">
        <f>SUM(Registro[[#This Row],[Trim I]],Registro[[#This Row],[Trim II]],Registro[[#This Row],[Trim III]],Registro[[#This Row],[Trim IV]])</f>
        <v>0</v>
      </c>
      <c r="Y1152" s="22">
        <f>IFERROR((Registro[[#This Row],[Avance Total]]/Registro[[#This Row],[Meta]]),0)</f>
        <v>0</v>
      </c>
      <c r="Z1152" s="22">
        <f>IFERROR((Registro[[#This Row],[Avance Total]]-Registro[[#This Row],[Línea Base 2025]])/Registro[[#This Row],[Línea Base 2025]],0)</f>
        <v>-1</v>
      </c>
      <c r="AA1152" s="20">
        <v>2026</v>
      </c>
    </row>
    <row r="1153" spans="1:27" hidden="1">
      <c r="A1153" s="14">
        <v>1089</v>
      </c>
      <c r="B1153" s="15" t="s">
        <v>113</v>
      </c>
      <c r="C1153" s="16">
        <v>118</v>
      </c>
      <c r="D1153" s="16" t="s">
        <v>188</v>
      </c>
      <c r="E1153" s="17" t="s">
        <v>9</v>
      </c>
      <c r="F1153" s="24">
        <v>0</v>
      </c>
      <c r="G1153" s="19">
        <v>33</v>
      </c>
      <c r="H1153" s="19">
        <v>0</v>
      </c>
      <c r="I1153" s="19">
        <v>0</v>
      </c>
      <c r="T1153" s="19">
        <f>Registro[[#This Row],[Mes 1]]+Registro[[#This Row],[Mes 2]]+Registro[[#This Row],[Mes 3]]</f>
        <v>0</v>
      </c>
      <c r="U1153" s="19">
        <f>Registro[[#This Row],[Mes 4]]+Registro[[#This Row],[Mes 5]]+Registro[[#This Row],[Mes 6]]</f>
        <v>0</v>
      </c>
      <c r="V1153" s="19">
        <f>Registro[[#This Row],[Mes 7]]+Registro[[#This Row],[Mes 8]]+Registro[[#This Row],[Mes 9]]</f>
        <v>0</v>
      </c>
      <c r="W1153" s="20">
        <f>Registro[[#This Row],[Mes 10]]+Registro[[#This Row],[Mes 11]]+Registro[[#This Row],[Mes 12]]</f>
        <v>0</v>
      </c>
      <c r="X1153" s="20">
        <f>SUM(Registro[[#This Row],[Trim I]],Registro[[#This Row],[Trim II]],Registro[[#This Row],[Trim III]],Registro[[#This Row],[Trim IV]])</f>
        <v>0</v>
      </c>
      <c r="Y1153" s="22">
        <f>IFERROR((Registro[[#This Row],[Avance Total]]/Registro[[#This Row],[Meta]]),0)</f>
        <v>0</v>
      </c>
      <c r="Z1153" s="22">
        <f>IFERROR((Registro[[#This Row],[Avance Total]]-Registro[[#This Row],[Línea Base 2025]])/Registro[[#This Row],[Línea Base 2025]],0)</f>
        <v>0</v>
      </c>
      <c r="AA1153" s="20">
        <v>2026</v>
      </c>
    </row>
    <row r="1154" spans="1:27" hidden="1">
      <c r="A1154" s="14">
        <v>1089</v>
      </c>
      <c r="B1154" s="15" t="s">
        <v>113</v>
      </c>
      <c r="C1154" s="16">
        <v>119</v>
      </c>
      <c r="D1154" s="16" t="s">
        <v>190</v>
      </c>
      <c r="E1154" s="17" t="s">
        <v>189</v>
      </c>
      <c r="F1154" s="24">
        <v>0</v>
      </c>
      <c r="G1154" s="19">
        <v>2</v>
      </c>
      <c r="H1154" s="19">
        <v>0</v>
      </c>
      <c r="I1154" s="19">
        <v>0</v>
      </c>
      <c r="T1154" s="19">
        <f>Registro[[#This Row],[Mes 1]]+Registro[[#This Row],[Mes 2]]+Registro[[#This Row],[Mes 3]]</f>
        <v>0</v>
      </c>
      <c r="U1154" s="19">
        <f>Registro[[#This Row],[Mes 4]]+Registro[[#This Row],[Mes 5]]+Registro[[#This Row],[Mes 6]]</f>
        <v>0</v>
      </c>
      <c r="V1154" s="19">
        <f>Registro[[#This Row],[Mes 7]]+Registro[[#This Row],[Mes 8]]+Registro[[#This Row],[Mes 9]]</f>
        <v>0</v>
      </c>
      <c r="W1154" s="20">
        <f>Registro[[#This Row],[Mes 10]]+Registro[[#This Row],[Mes 11]]+Registro[[#This Row],[Mes 12]]</f>
        <v>0</v>
      </c>
      <c r="X1154" s="20">
        <f>SUM(Registro[[#This Row],[Trim I]],Registro[[#This Row],[Trim II]],Registro[[#This Row],[Trim III]],Registro[[#This Row],[Trim IV]])</f>
        <v>0</v>
      </c>
      <c r="Y1154" s="22">
        <f>IFERROR((Registro[[#This Row],[Avance Total]]/Registro[[#This Row],[Meta]]),0)</f>
        <v>0</v>
      </c>
      <c r="Z1154" s="22">
        <f>IFERROR((Registro[[#This Row],[Avance Total]]-Registro[[#This Row],[Línea Base 2025]])/Registro[[#This Row],[Línea Base 2025]],0)</f>
        <v>0</v>
      </c>
      <c r="AA1154" s="20">
        <v>2026</v>
      </c>
    </row>
    <row r="1155" spans="1:27" hidden="1">
      <c r="A1155" s="14">
        <v>1089</v>
      </c>
      <c r="B1155" s="15" t="s">
        <v>113</v>
      </c>
      <c r="C1155" s="16">
        <v>120</v>
      </c>
      <c r="D1155" s="16" t="s">
        <v>192</v>
      </c>
      <c r="E1155" s="17" t="s">
        <v>191</v>
      </c>
      <c r="F1155" s="24">
        <v>24</v>
      </c>
      <c r="G1155" s="19">
        <v>37</v>
      </c>
      <c r="H1155" s="19">
        <v>0</v>
      </c>
      <c r="I1155" s="19">
        <v>0</v>
      </c>
      <c r="T1155" s="19">
        <f>Registro[[#This Row],[Mes 1]]+Registro[[#This Row],[Mes 2]]+Registro[[#This Row],[Mes 3]]</f>
        <v>0</v>
      </c>
      <c r="U1155" s="19">
        <f>Registro[[#This Row],[Mes 4]]+Registro[[#This Row],[Mes 5]]+Registro[[#This Row],[Mes 6]]</f>
        <v>0</v>
      </c>
      <c r="V1155" s="19">
        <f>Registro[[#This Row],[Mes 7]]+Registro[[#This Row],[Mes 8]]+Registro[[#This Row],[Mes 9]]</f>
        <v>0</v>
      </c>
      <c r="W1155" s="20">
        <f>Registro[[#This Row],[Mes 10]]+Registro[[#This Row],[Mes 11]]+Registro[[#This Row],[Mes 12]]</f>
        <v>0</v>
      </c>
      <c r="X1155" s="20">
        <f>SUM(Registro[[#This Row],[Trim I]],Registro[[#This Row],[Trim II]],Registro[[#This Row],[Trim III]],Registro[[#This Row],[Trim IV]])</f>
        <v>0</v>
      </c>
      <c r="Y1155" s="22">
        <f>IFERROR((Registro[[#This Row],[Avance Total]]/Registro[[#This Row],[Meta]]),0)</f>
        <v>0</v>
      </c>
      <c r="Z1155" s="22">
        <f>IFERROR((Registro[[#This Row],[Avance Total]]-Registro[[#This Row],[Línea Base 2025]])/Registro[[#This Row],[Línea Base 2025]],0)</f>
        <v>-1</v>
      </c>
      <c r="AA1155" s="20">
        <v>2026</v>
      </c>
    </row>
    <row r="1156" spans="1:27" hidden="1">
      <c r="A1156" s="14">
        <v>1089</v>
      </c>
      <c r="B1156" s="15" t="s">
        <v>113</v>
      </c>
      <c r="C1156" s="16">
        <v>121</v>
      </c>
      <c r="D1156" s="16" t="s">
        <v>194</v>
      </c>
      <c r="E1156" s="17" t="s">
        <v>193</v>
      </c>
      <c r="F1156" s="24">
        <v>18</v>
      </c>
      <c r="G1156" s="19">
        <v>11</v>
      </c>
      <c r="H1156" s="19">
        <v>2</v>
      </c>
      <c r="I1156" s="19">
        <v>3</v>
      </c>
      <c r="T1156" s="19">
        <f>Registro[[#This Row],[Mes 1]]+Registro[[#This Row],[Mes 2]]+Registro[[#This Row],[Mes 3]]</f>
        <v>5</v>
      </c>
      <c r="U1156" s="19">
        <f>Registro[[#This Row],[Mes 4]]+Registro[[#This Row],[Mes 5]]+Registro[[#This Row],[Mes 6]]</f>
        <v>0</v>
      </c>
      <c r="V1156" s="19">
        <f>Registro[[#This Row],[Mes 7]]+Registro[[#This Row],[Mes 8]]+Registro[[#This Row],[Mes 9]]</f>
        <v>0</v>
      </c>
      <c r="W1156" s="20">
        <f>Registro[[#This Row],[Mes 10]]+Registro[[#This Row],[Mes 11]]+Registro[[#This Row],[Mes 12]]</f>
        <v>0</v>
      </c>
      <c r="X1156" s="20">
        <f>SUM(Registro[[#This Row],[Trim I]],Registro[[#This Row],[Trim II]],Registro[[#This Row],[Trim III]],Registro[[#This Row],[Trim IV]])</f>
        <v>5</v>
      </c>
      <c r="Y1156" s="22">
        <f>IFERROR((Registro[[#This Row],[Avance Total]]/Registro[[#This Row],[Meta]]),0)</f>
        <v>0.45454545454545453</v>
      </c>
      <c r="Z1156" s="22">
        <f>IFERROR((Registro[[#This Row],[Avance Total]]-Registro[[#This Row],[Línea Base 2025]])/Registro[[#This Row],[Línea Base 2025]],0)</f>
        <v>-0.72222222222222221</v>
      </c>
      <c r="AA1156" s="20">
        <v>2026</v>
      </c>
    </row>
    <row r="1157" spans="1:27" hidden="1">
      <c r="A1157" s="14">
        <v>1089</v>
      </c>
      <c r="B1157" s="15" t="s">
        <v>113</v>
      </c>
      <c r="C1157" s="16">
        <v>122</v>
      </c>
      <c r="D1157" s="16" t="s">
        <v>196</v>
      </c>
      <c r="E1157" s="17" t="s">
        <v>195</v>
      </c>
      <c r="F1157" s="24">
        <v>8</v>
      </c>
      <c r="G1157" s="19">
        <v>40</v>
      </c>
      <c r="H1157" s="19">
        <v>0</v>
      </c>
      <c r="I1157" s="19">
        <v>0</v>
      </c>
      <c r="T1157" s="19">
        <f>Registro[[#This Row],[Mes 1]]+Registro[[#This Row],[Mes 2]]+Registro[[#This Row],[Mes 3]]</f>
        <v>0</v>
      </c>
      <c r="U1157" s="19">
        <f>Registro[[#This Row],[Mes 4]]+Registro[[#This Row],[Mes 5]]+Registro[[#This Row],[Mes 6]]</f>
        <v>0</v>
      </c>
      <c r="V1157" s="19">
        <f>Registro[[#This Row],[Mes 7]]+Registro[[#This Row],[Mes 8]]+Registro[[#This Row],[Mes 9]]</f>
        <v>0</v>
      </c>
      <c r="W1157" s="20">
        <f>Registro[[#This Row],[Mes 10]]+Registro[[#This Row],[Mes 11]]+Registro[[#This Row],[Mes 12]]</f>
        <v>0</v>
      </c>
      <c r="X1157" s="20">
        <f>SUM(Registro[[#This Row],[Trim I]],Registro[[#This Row],[Trim II]],Registro[[#This Row],[Trim III]],Registro[[#This Row],[Trim IV]])</f>
        <v>0</v>
      </c>
      <c r="Y1157" s="22">
        <f>IFERROR((Registro[[#This Row],[Avance Total]]/Registro[[#This Row],[Meta]]),0)</f>
        <v>0</v>
      </c>
      <c r="Z1157" s="22">
        <f>IFERROR((Registro[[#This Row],[Avance Total]]-Registro[[#This Row],[Línea Base 2025]])/Registro[[#This Row],[Línea Base 2025]],0)</f>
        <v>-1</v>
      </c>
      <c r="AA1157" s="20">
        <v>2026</v>
      </c>
    </row>
    <row r="1158" spans="1:27" hidden="1">
      <c r="A1158" s="14">
        <v>1089</v>
      </c>
      <c r="B1158" s="15" t="s">
        <v>113</v>
      </c>
      <c r="C1158" s="16">
        <v>123</v>
      </c>
      <c r="D1158" s="16" t="s">
        <v>198</v>
      </c>
      <c r="E1158" s="17" t="s">
        <v>197</v>
      </c>
      <c r="F1158" s="24">
        <v>0</v>
      </c>
      <c r="G1158" s="19">
        <v>4</v>
      </c>
      <c r="H1158" s="19">
        <v>0</v>
      </c>
      <c r="I1158" s="19">
        <v>0</v>
      </c>
      <c r="T1158" s="19">
        <f>Registro[[#This Row],[Mes 1]]+Registro[[#This Row],[Mes 2]]+Registro[[#This Row],[Mes 3]]</f>
        <v>0</v>
      </c>
      <c r="U1158" s="19">
        <f>Registro[[#This Row],[Mes 4]]+Registro[[#This Row],[Mes 5]]+Registro[[#This Row],[Mes 6]]</f>
        <v>0</v>
      </c>
      <c r="V1158" s="19">
        <f>Registro[[#This Row],[Mes 7]]+Registro[[#This Row],[Mes 8]]+Registro[[#This Row],[Mes 9]]</f>
        <v>0</v>
      </c>
      <c r="W1158" s="20">
        <f>Registro[[#This Row],[Mes 10]]+Registro[[#This Row],[Mes 11]]+Registro[[#This Row],[Mes 12]]</f>
        <v>0</v>
      </c>
      <c r="X1158" s="20">
        <f>SUM(Registro[[#This Row],[Trim I]],Registro[[#This Row],[Trim II]],Registro[[#This Row],[Trim III]],Registro[[#This Row],[Trim IV]])</f>
        <v>0</v>
      </c>
      <c r="Y1158" s="22">
        <f>IFERROR((Registro[[#This Row],[Avance Total]]/Registro[[#This Row],[Meta]]),0)</f>
        <v>0</v>
      </c>
      <c r="Z1158" s="22">
        <f>IFERROR((Registro[[#This Row],[Avance Total]]-Registro[[#This Row],[Línea Base 2025]])/Registro[[#This Row],[Línea Base 2025]],0)</f>
        <v>0</v>
      </c>
      <c r="AA1158" s="20">
        <v>2026</v>
      </c>
    </row>
    <row r="1159" spans="1:27" hidden="1">
      <c r="A1159" s="14">
        <v>1090</v>
      </c>
      <c r="B1159" s="15" t="s">
        <v>114</v>
      </c>
      <c r="C1159" s="16">
        <v>111</v>
      </c>
      <c r="D1159" s="16" t="s">
        <v>171</v>
      </c>
      <c r="E1159" s="17" t="s">
        <v>172</v>
      </c>
      <c r="F1159" s="24">
        <v>35</v>
      </c>
      <c r="G1159" s="19">
        <v>146</v>
      </c>
      <c r="H1159" s="19">
        <v>1</v>
      </c>
      <c r="I1159" s="19">
        <v>5</v>
      </c>
      <c r="T1159" s="19">
        <f>Registro[[#This Row],[Mes 1]]+Registro[[#This Row],[Mes 2]]+Registro[[#This Row],[Mes 3]]</f>
        <v>6</v>
      </c>
      <c r="U1159" s="19">
        <f>Registro[[#This Row],[Mes 4]]+Registro[[#This Row],[Mes 5]]+Registro[[#This Row],[Mes 6]]</f>
        <v>0</v>
      </c>
      <c r="V1159" s="19">
        <f>Registro[[#This Row],[Mes 7]]+Registro[[#This Row],[Mes 8]]+Registro[[#This Row],[Mes 9]]</f>
        <v>0</v>
      </c>
      <c r="W1159" s="20">
        <f>Registro[[#This Row],[Mes 10]]+Registro[[#This Row],[Mes 11]]+Registro[[#This Row],[Mes 12]]</f>
        <v>0</v>
      </c>
      <c r="X1159" s="20">
        <f>SUM(Registro[[#This Row],[Trim I]],Registro[[#This Row],[Trim II]],Registro[[#This Row],[Trim III]],Registro[[#This Row],[Trim IV]])</f>
        <v>6</v>
      </c>
      <c r="Y1159" s="22">
        <f>IFERROR((Registro[[#This Row],[Avance Total]]/Registro[[#This Row],[Meta]]),0)</f>
        <v>4.1095890410958902E-2</v>
      </c>
      <c r="Z1159" s="22">
        <f>IFERROR((Registro[[#This Row],[Avance Total]]-Registro[[#This Row],[Línea Base 2025]])/Registro[[#This Row],[Línea Base 2025]],0)</f>
        <v>-0.82857142857142863</v>
      </c>
      <c r="AA1159" s="20">
        <v>2026</v>
      </c>
    </row>
    <row r="1160" spans="1:27" hidden="1">
      <c r="A1160" s="14">
        <v>1090</v>
      </c>
      <c r="B1160" s="15" t="s">
        <v>114</v>
      </c>
      <c r="C1160" s="16">
        <v>112</v>
      </c>
      <c r="D1160" s="16" t="s">
        <v>173</v>
      </c>
      <c r="E1160" s="17" t="s">
        <v>7</v>
      </c>
      <c r="F1160" s="24">
        <v>26</v>
      </c>
      <c r="G1160" s="19">
        <v>89</v>
      </c>
      <c r="H1160" s="19">
        <v>0</v>
      </c>
      <c r="I1160" s="19">
        <v>0</v>
      </c>
      <c r="T1160" s="19">
        <f>Registro[[#This Row],[Mes 1]]+Registro[[#This Row],[Mes 2]]+Registro[[#This Row],[Mes 3]]</f>
        <v>0</v>
      </c>
      <c r="U1160" s="19">
        <f>Registro[[#This Row],[Mes 4]]+Registro[[#This Row],[Mes 5]]+Registro[[#This Row],[Mes 6]]</f>
        <v>0</v>
      </c>
      <c r="V1160" s="19">
        <f>Registro[[#This Row],[Mes 7]]+Registro[[#This Row],[Mes 8]]+Registro[[#This Row],[Mes 9]]</f>
        <v>0</v>
      </c>
      <c r="W1160" s="20">
        <f>Registro[[#This Row],[Mes 10]]+Registro[[#This Row],[Mes 11]]+Registro[[#This Row],[Mes 12]]</f>
        <v>0</v>
      </c>
      <c r="X1160" s="20">
        <f>SUM(Registro[[#This Row],[Trim I]],Registro[[#This Row],[Trim II]],Registro[[#This Row],[Trim III]],Registro[[#This Row],[Trim IV]])</f>
        <v>0</v>
      </c>
      <c r="Y1160" s="22">
        <f>IFERROR((Registro[[#This Row],[Avance Total]]/Registro[[#This Row],[Meta]]),0)</f>
        <v>0</v>
      </c>
      <c r="Z1160" s="22">
        <f>IFERROR((Registro[[#This Row],[Avance Total]]-Registro[[#This Row],[Línea Base 2025]])/Registro[[#This Row],[Línea Base 2025]],0)</f>
        <v>-1</v>
      </c>
      <c r="AA1160" s="20">
        <v>2026</v>
      </c>
    </row>
    <row r="1161" spans="1:27" hidden="1">
      <c r="A1161" s="14">
        <v>1090</v>
      </c>
      <c r="B1161" s="15" t="s">
        <v>114</v>
      </c>
      <c r="C1161" s="16">
        <v>113</v>
      </c>
      <c r="D1161" s="16" t="s">
        <v>179</v>
      </c>
      <c r="E1161" s="17" t="s">
        <v>178</v>
      </c>
      <c r="F1161" s="24">
        <v>46</v>
      </c>
      <c r="G1161" s="19">
        <v>246</v>
      </c>
      <c r="H1161" s="19">
        <v>1</v>
      </c>
      <c r="I1161" s="19">
        <v>1</v>
      </c>
      <c r="T1161" s="19">
        <f>Registro[[#This Row],[Mes 1]]+Registro[[#This Row],[Mes 2]]+Registro[[#This Row],[Mes 3]]</f>
        <v>2</v>
      </c>
      <c r="U1161" s="19">
        <f>Registro[[#This Row],[Mes 4]]+Registro[[#This Row],[Mes 5]]+Registro[[#This Row],[Mes 6]]</f>
        <v>0</v>
      </c>
      <c r="V1161" s="19">
        <f>Registro[[#This Row],[Mes 7]]+Registro[[#This Row],[Mes 8]]+Registro[[#This Row],[Mes 9]]</f>
        <v>0</v>
      </c>
      <c r="W1161" s="20">
        <f>Registro[[#This Row],[Mes 10]]+Registro[[#This Row],[Mes 11]]+Registro[[#This Row],[Mes 12]]</f>
        <v>0</v>
      </c>
      <c r="X1161" s="20">
        <f>SUM(Registro[[#This Row],[Trim I]],Registro[[#This Row],[Trim II]],Registro[[#This Row],[Trim III]],Registro[[#This Row],[Trim IV]])</f>
        <v>2</v>
      </c>
      <c r="Y1161" s="22">
        <f>IFERROR((Registro[[#This Row],[Avance Total]]/Registro[[#This Row],[Meta]]),0)</f>
        <v>8.130081300813009E-3</v>
      </c>
      <c r="Z1161" s="22">
        <f>IFERROR((Registro[[#This Row],[Avance Total]]-Registro[[#This Row],[Línea Base 2025]])/Registro[[#This Row],[Línea Base 2025]],0)</f>
        <v>-0.95652173913043481</v>
      </c>
      <c r="AA1161" s="20">
        <v>2026</v>
      </c>
    </row>
    <row r="1162" spans="1:27" hidden="1">
      <c r="A1162" s="14">
        <v>1090</v>
      </c>
      <c r="B1162" s="15" t="s">
        <v>114</v>
      </c>
      <c r="C1162" s="16">
        <v>114</v>
      </c>
      <c r="D1162" s="16" t="s">
        <v>181</v>
      </c>
      <c r="E1162" s="17" t="s">
        <v>180</v>
      </c>
      <c r="F1162" s="24">
        <v>0</v>
      </c>
      <c r="G1162" s="19">
        <v>18</v>
      </c>
      <c r="H1162" s="19">
        <v>0</v>
      </c>
      <c r="I1162" s="19">
        <v>0</v>
      </c>
      <c r="T1162" s="19">
        <f>Registro[[#This Row],[Mes 1]]+Registro[[#This Row],[Mes 2]]+Registro[[#This Row],[Mes 3]]</f>
        <v>0</v>
      </c>
      <c r="U1162" s="19">
        <f>Registro[[#This Row],[Mes 4]]+Registro[[#This Row],[Mes 5]]+Registro[[#This Row],[Mes 6]]</f>
        <v>0</v>
      </c>
      <c r="V1162" s="19">
        <f>Registro[[#This Row],[Mes 7]]+Registro[[#This Row],[Mes 8]]+Registro[[#This Row],[Mes 9]]</f>
        <v>0</v>
      </c>
      <c r="W1162" s="20">
        <f>Registro[[#This Row],[Mes 10]]+Registro[[#This Row],[Mes 11]]+Registro[[#This Row],[Mes 12]]</f>
        <v>0</v>
      </c>
      <c r="X1162" s="20">
        <f>SUM(Registro[[#This Row],[Trim I]],Registro[[#This Row],[Trim II]],Registro[[#This Row],[Trim III]],Registro[[#This Row],[Trim IV]])</f>
        <v>0</v>
      </c>
      <c r="Y1162" s="22">
        <f>IFERROR((Registro[[#This Row],[Avance Total]]/Registro[[#This Row],[Meta]]),0)</f>
        <v>0</v>
      </c>
      <c r="Z1162" s="22">
        <f>IFERROR((Registro[[#This Row],[Avance Total]]-Registro[[#This Row],[Línea Base 2025]])/Registro[[#This Row],[Línea Base 2025]],0)</f>
        <v>0</v>
      </c>
      <c r="AA1162" s="20">
        <v>2026</v>
      </c>
    </row>
    <row r="1163" spans="1:27" hidden="1">
      <c r="A1163" s="14">
        <v>1090</v>
      </c>
      <c r="B1163" s="15" t="s">
        <v>114</v>
      </c>
      <c r="C1163" s="16">
        <v>115</v>
      </c>
      <c r="D1163" s="16" t="s">
        <v>183</v>
      </c>
      <c r="E1163" s="17" t="s">
        <v>182</v>
      </c>
      <c r="F1163" s="24">
        <v>0</v>
      </c>
      <c r="G1163" s="19">
        <v>16</v>
      </c>
      <c r="H1163" s="19">
        <v>0</v>
      </c>
      <c r="I1163" s="19">
        <v>0</v>
      </c>
      <c r="T1163" s="19">
        <f>Registro[[#This Row],[Mes 1]]+Registro[[#This Row],[Mes 2]]+Registro[[#This Row],[Mes 3]]</f>
        <v>0</v>
      </c>
      <c r="U1163" s="19">
        <f>Registro[[#This Row],[Mes 4]]+Registro[[#This Row],[Mes 5]]+Registro[[#This Row],[Mes 6]]</f>
        <v>0</v>
      </c>
      <c r="V1163" s="19">
        <f>Registro[[#This Row],[Mes 7]]+Registro[[#This Row],[Mes 8]]+Registro[[#This Row],[Mes 9]]</f>
        <v>0</v>
      </c>
      <c r="W1163" s="20">
        <f>Registro[[#This Row],[Mes 10]]+Registro[[#This Row],[Mes 11]]+Registro[[#This Row],[Mes 12]]</f>
        <v>0</v>
      </c>
      <c r="X1163" s="20">
        <f>SUM(Registro[[#This Row],[Trim I]],Registro[[#This Row],[Trim II]],Registro[[#This Row],[Trim III]],Registro[[#This Row],[Trim IV]])</f>
        <v>0</v>
      </c>
      <c r="Y1163" s="22">
        <f>IFERROR((Registro[[#This Row],[Avance Total]]/Registro[[#This Row],[Meta]]),0)</f>
        <v>0</v>
      </c>
      <c r="Z1163" s="22">
        <f>IFERROR((Registro[[#This Row],[Avance Total]]-Registro[[#This Row],[Línea Base 2025]])/Registro[[#This Row],[Línea Base 2025]],0)</f>
        <v>0</v>
      </c>
      <c r="AA1163" s="20">
        <v>2026</v>
      </c>
    </row>
    <row r="1164" spans="1:27">
      <c r="A1164" s="14">
        <v>1090</v>
      </c>
      <c r="B1164" s="15" t="s">
        <v>114</v>
      </c>
      <c r="C1164" s="16">
        <v>116</v>
      </c>
      <c r="D1164" s="16" t="s">
        <v>185</v>
      </c>
      <c r="E1164" s="17" t="s">
        <v>184</v>
      </c>
      <c r="F1164" s="24">
        <v>2</v>
      </c>
      <c r="G1164" s="19">
        <v>4</v>
      </c>
      <c r="H1164" s="19">
        <v>0</v>
      </c>
      <c r="I1164" s="19">
        <v>0</v>
      </c>
      <c r="T1164" s="19">
        <f>Registro[[#This Row],[Mes 1]]+Registro[[#This Row],[Mes 2]]+Registro[[#This Row],[Mes 3]]</f>
        <v>0</v>
      </c>
      <c r="U1164" s="19">
        <f>Registro[[#This Row],[Mes 4]]+Registro[[#This Row],[Mes 5]]+Registro[[#This Row],[Mes 6]]</f>
        <v>0</v>
      </c>
      <c r="V1164" s="19">
        <f>Registro[[#This Row],[Mes 7]]+Registro[[#This Row],[Mes 8]]+Registro[[#This Row],[Mes 9]]</f>
        <v>0</v>
      </c>
      <c r="W1164" s="20">
        <f>Registro[[#This Row],[Mes 10]]+Registro[[#This Row],[Mes 11]]+Registro[[#This Row],[Mes 12]]</f>
        <v>0</v>
      </c>
      <c r="X1164" s="20">
        <f>SUM(Registro[[#This Row],[Trim I]],Registro[[#This Row],[Trim II]],Registro[[#This Row],[Trim III]],Registro[[#This Row],[Trim IV]])</f>
        <v>0</v>
      </c>
      <c r="Y1164" s="22">
        <f>IFERROR((Registro[[#This Row],[Avance Total]]/Registro[[#This Row],[Meta]]),0)</f>
        <v>0</v>
      </c>
      <c r="Z1164" s="22">
        <f>IFERROR((Registro[[#This Row],[Avance Total]]-Registro[[#This Row],[Línea Base 2025]])/Registro[[#This Row],[Línea Base 2025]],0)</f>
        <v>-1</v>
      </c>
      <c r="AA1164" s="20">
        <v>2026</v>
      </c>
    </row>
    <row r="1165" spans="1:27" hidden="1">
      <c r="A1165" s="14">
        <v>1090</v>
      </c>
      <c r="B1165" s="15" t="s">
        <v>114</v>
      </c>
      <c r="C1165" s="16">
        <v>117</v>
      </c>
      <c r="D1165" s="16" t="s">
        <v>187</v>
      </c>
      <c r="E1165" s="17" t="s">
        <v>186</v>
      </c>
      <c r="F1165" s="24">
        <v>2</v>
      </c>
      <c r="G1165" s="19">
        <v>6</v>
      </c>
      <c r="H1165" s="19">
        <v>0</v>
      </c>
      <c r="I1165" s="19">
        <v>0</v>
      </c>
      <c r="T1165" s="19">
        <f>Registro[[#This Row],[Mes 1]]+Registro[[#This Row],[Mes 2]]+Registro[[#This Row],[Mes 3]]</f>
        <v>0</v>
      </c>
      <c r="U1165" s="19">
        <f>Registro[[#This Row],[Mes 4]]+Registro[[#This Row],[Mes 5]]+Registro[[#This Row],[Mes 6]]</f>
        <v>0</v>
      </c>
      <c r="V1165" s="19">
        <f>Registro[[#This Row],[Mes 7]]+Registro[[#This Row],[Mes 8]]+Registro[[#This Row],[Mes 9]]</f>
        <v>0</v>
      </c>
      <c r="W1165" s="20">
        <f>Registro[[#This Row],[Mes 10]]+Registro[[#This Row],[Mes 11]]+Registro[[#This Row],[Mes 12]]</f>
        <v>0</v>
      </c>
      <c r="X1165" s="20">
        <f>SUM(Registro[[#This Row],[Trim I]],Registro[[#This Row],[Trim II]],Registro[[#This Row],[Trim III]],Registro[[#This Row],[Trim IV]])</f>
        <v>0</v>
      </c>
      <c r="Y1165" s="22">
        <f>IFERROR((Registro[[#This Row],[Avance Total]]/Registro[[#This Row],[Meta]]),0)</f>
        <v>0</v>
      </c>
      <c r="Z1165" s="22">
        <f>IFERROR((Registro[[#This Row],[Avance Total]]-Registro[[#This Row],[Línea Base 2025]])/Registro[[#This Row],[Línea Base 2025]],0)</f>
        <v>-1</v>
      </c>
      <c r="AA1165" s="20">
        <v>2026</v>
      </c>
    </row>
    <row r="1166" spans="1:27" hidden="1">
      <c r="A1166" s="14">
        <v>1090</v>
      </c>
      <c r="B1166" s="15" t="s">
        <v>114</v>
      </c>
      <c r="C1166" s="16">
        <v>118</v>
      </c>
      <c r="D1166" s="16" t="s">
        <v>188</v>
      </c>
      <c r="E1166" s="17" t="s">
        <v>9</v>
      </c>
      <c r="F1166" s="24">
        <v>0</v>
      </c>
      <c r="G1166" s="19">
        <v>2</v>
      </c>
      <c r="H1166" s="19">
        <v>0</v>
      </c>
      <c r="I1166" s="19">
        <v>0</v>
      </c>
      <c r="T1166" s="19">
        <f>Registro[[#This Row],[Mes 1]]+Registro[[#This Row],[Mes 2]]+Registro[[#This Row],[Mes 3]]</f>
        <v>0</v>
      </c>
      <c r="U1166" s="19">
        <f>Registro[[#This Row],[Mes 4]]+Registro[[#This Row],[Mes 5]]+Registro[[#This Row],[Mes 6]]</f>
        <v>0</v>
      </c>
      <c r="V1166" s="19">
        <f>Registro[[#This Row],[Mes 7]]+Registro[[#This Row],[Mes 8]]+Registro[[#This Row],[Mes 9]]</f>
        <v>0</v>
      </c>
      <c r="W1166" s="20">
        <f>Registro[[#This Row],[Mes 10]]+Registro[[#This Row],[Mes 11]]+Registro[[#This Row],[Mes 12]]</f>
        <v>0</v>
      </c>
      <c r="X1166" s="20">
        <f>SUM(Registro[[#This Row],[Trim I]],Registro[[#This Row],[Trim II]],Registro[[#This Row],[Trim III]],Registro[[#This Row],[Trim IV]])</f>
        <v>0</v>
      </c>
      <c r="Y1166" s="22">
        <f>IFERROR((Registro[[#This Row],[Avance Total]]/Registro[[#This Row],[Meta]]),0)</f>
        <v>0</v>
      </c>
      <c r="Z1166" s="22">
        <f>IFERROR((Registro[[#This Row],[Avance Total]]-Registro[[#This Row],[Línea Base 2025]])/Registro[[#This Row],[Línea Base 2025]],0)</f>
        <v>0</v>
      </c>
      <c r="AA1166" s="20">
        <v>2026</v>
      </c>
    </row>
    <row r="1167" spans="1:27" hidden="1">
      <c r="A1167" s="14">
        <v>1090</v>
      </c>
      <c r="B1167" s="15" t="s">
        <v>114</v>
      </c>
      <c r="C1167" s="16">
        <v>119</v>
      </c>
      <c r="D1167" s="16" t="s">
        <v>190</v>
      </c>
      <c r="E1167" s="17" t="s">
        <v>189</v>
      </c>
      <c r="F1167" s="24">
        <v>0</v>
      </c>
      <c r="G1167" s="19">
        <v>3</v>
      </c>
      <c r="H1167" s="19">
        <v>0</v>
      </c>
      <c r="I1167" s="19">
        <v>0</v>
      </c>
      <c r="T1167" s="19">
        <f>Registro[[#This Row],[Mes 1]]+Registro[[#This Row],[Mes 2]]+Registro[[#This Row],[Mes 3]]</f>
        <v>0</v>
      </c>
      <c r="U1167" s="19">
        <f>Registro[[#This Row],[Mes 4]]+Registro[[#This Row],[Mes 5]]+Registro[[#This Row],[Mes 6]]</f>
        <v>0</v>
      </c>
      <c r="V1167" s="19">
        <f>Registro[[#This Row],[Mes 7]]+Registro[[#This Row],[Mes 8]]+Registro[[#This Row],[Mes 9]]</f>
        <v>0</v>
      </c>
      <c r="W1167" s="20">
        <f>Registro[[#This Row],[Mes 10]]+Registro[[#This Row],[Mes 11]]+Registro[[#This Row],[Mes 12]]</f>
        <v>0</v>
      </c>
      <c r="X1167" s="20">
        <f>SUM(Registro[[#This Row],[Trim I]],Registro[[#This Row],[Trim II]],Registro[[#This Row],[Trim III]],Registro[[#This Row],[Trim IV]])</f>
        <v>0</v>
      </c>
      <c r="Y1167" s="22">
        <f>IFERROR((Registro[[#This Row],[Avance Total]]/Registro[[#This Row],[Meta]]),0)</f>
        <v>0</v>
      </c>
      <c r="Z1167" s="22">
        <f>IFERROR((Registro[[#This Row],[Avance Total]]-Registro[[#This Row],[Línea Base 2025]])/Registro[[#This Row],[Línea Base 2025]],0)</f>
        <v>0</v>
      </c>
      <c r="AA1167" s="20">
        <v>2026</v>
      </c>
    </row>
    <row r="1168" spans="1:27" hidden="1">
      <c r="A1168" s="14">
        <v>1090</v>
      </c>
      <c r="B1168" s="15" t="s">
        <v>114</v>
      </c>
      <c r="C1168" s="16">
        <v>120</v>
      </c>
      <c r="D1168" s="16" t="s">
        <v>192</v>
      </c>
      <c r="E1168" s="17" t="s">
        <v>191</v>
      </c>
      <c r="F1168" s="24">
        <v>6</v>
      </c>
      <c r="G1168" s="19">
        <v>45</v>
      </c>
      <c r="H1168" s="19">
        <v>0</v>
      </c>
      <c r="I1168" s="19">
        <v>0</v>
      </c>
      <c r="T1168" s="19">
        <f>Registro[[#This Row],[Mes 1]]+Registro[[#This Row],[Mes 2]]+Registro[[#This Row],[Mes 3]]</f>
        <v>0</v>
      </c>
      <c r="U1168" s="19">
        <f>Registro[[#This Row],[Mes 4]]+Registro[[#This Row],[Mes 5]]+Registro[[#This Row],[Mes 6]]</f>
        <v>0</v>
      </c>
      <c r="V1168" s="19">
        <f>Registro[[#This Row],[Mes 7]]+Registro[[#This Row],[Mes 8]]+Registro[[#This Row],[Mes 9]]</f>
        <v>0</v>
      </c>
      <c r="W1168" s="20">
        <f>Registro[[#This Row],[Mes 10]]+Registro[[#This Row],[Mes 11]]+Registro[[#This Row],[Mes 12]]</f>
        <v>0</v>
      </c>
      <c r="X1168" s="20">
        <f>SUM(Registro[[#This Row],[Trim I]],Registro[[#This Row],[Trim II]],Registro[[#This Row],[Trim III]],Registro[[#This Row],[Trim IV]])</f>
        <v>0</v>
      </c>
      <c r="Y1168" s="22">
        <f>IFERROR((Registro[[#This Row],[Avance Total]]/Registro[[#This Row],[Meta]]),0)</f>
        <v>0</v>
      </c>
      <c r="Z1168" s="22">
        <f>IFERROR((Registro[[#This Row],[Avance Total]]-Registro[[#This Row],[Línea Base 2025]])/Registro[[#This Row],[Línea Base 2025]],0)</f>
        <v>-1</v>
      </c>
      <c r="AA1168" s="20">
        <v>2026</v>
      </c>
    </row>
    <row r="1169" spans="1:27" hidden="1">
      <c r="A1169" s="14">
        <v>1090</v>
      </c>
      <c r="B1169" s="15" t="s">
        <v>114</v>
      </c>
      <c r="C1169" s="16">
        <v>121</v>
      </c>
      <c r="D1169" s="16" t="s">
        <v>194</v>
      </c>
      <c r="E1169" s="17" t="s">
        <v>193</v>
      </c>
      <c r="F1169" s="24">
        <v>6</v>
      </c>
      <c r="G1169" s="19">
        <v>12</v>
      </c>
      <c r="H1169" s="19">
        <v>0</v>
      </c>
      <c r="I1169" s="19">
        <v>0</v>
      </c>
      <c r="T1169" s="19">
        <f>Registro[[#This Row],[Mes 1]]+Registro[[#This Row],[Mes 2]]+Registro[[#This Row],[Mes 3]]</f>
        <v>0</v>
      </c>
      <c r="U1169" s="19">
        <f>Registro[[#This Row],[Mes 4]]+Registro[[#This Row],[Mes 5]]+Registro[[#This Row],[Mes 6]]</f>
        <v>0</v>
      </c>
      <c r="V1169" s="19">
        <f>Registro[[#This Row],[Mes 7]]+Registro[[#This Row],[Mes 8]]+Registro[[#This Row],[Mes 9]]</f>
        <v>0</v>
      </c>
      <c r="W1169" s="20">
        <f>Registro[[#This Row],[Mes 10]]+Registro[[#This Row],[Mes 11]]+Registro[[#This Row],[Mes 12]]</f>
        <v>0</v>
      </c>
      <c r="X1169" s="20">
        <f>SUM(Registro[[#This Row],[Trim I]],Registro[[#This Row],[Trim II]],Registro[[#This Row],[Trim III]],Registro[[#This Row],[Trim IV]])</f>
        <v>0</v>
      </c>
      <c r="Y1169" s="22">
        <f>IFERROR((Registro[[#This Row],[Avance Total]]/Registro[[#This Row],[Meta]]),0)</f>
        <v>0</v>
      </c>
      <c r="Z1169" s="22">
        <f>IFERROR((Registro[[#This Row],[Avance Total]]-Registro[[#This Row],[Línea Base 2025]])/Registro[[#This Row],[Línea Base 2025]],0)</f>
        <v>-1</v>
      </c>
      <c r="AA1169" s="20">
        <v>2026</v>
      </c>
    </row>
    <row r="1170" spans="1:27" hidden="1">
      <c r="A1170" s="14">
        <v>1090</v>
      </c>
      <c r="B1170" s="15" t="s">
        <v>114</v>
      </c>
      <c r="C1170" s="16">
        <v>122</v>
      </c>
      <c r="D1170" s="16" t="s">
        <v>196</v>
      </c>
      <c r="E1170" s="17" t="s">
        <v>195</v>
      </c>
      <c r="F1170" s="24">
        <v>4</v>
      </c>
      <c r="G1170" s="19">
        <v>26</v>
      </c>
      <c r="H1170" s="19">
        <v>0</v>
      </c>
      <c r="I1170" s="19">
        <v>0</v>
      </c>
      <c r="T1170" s="19">
        <f>Registro[[#This Row],[Mes 1]]+Registro[[#This Row],[Mes 2]]+Registro[[#This Row],[Mes 3]]</f>
        <v>0</v>
      </c>
      <c r="U1170" s="19">
        <f>Registro[[#This Row],[Mes 4]]+Registro[[#This Row],[Mes 5]]+Registro[[#This Row],[Mes 6]]</f>
        <v>0</v>
      </c>
      <c r="V1170" s="19">
        <f>Registro[[#This Row],[Mes 7]]+Registro[[#This Row],[Mes 8]]+Registro[[#This Row],[Mes 9]]</f>
        <v>0</v>
      </c>
      <c r="W1170" s="20">
        <f>Registro[[#This Row],[Mes 10]]+Registro[[#This Row],[Mes 11]]+Registro[[#This Row],[Mes 12]]</f>
        <v>0</v>
      </c>
      <c r="X1170" s="20">
        <f>SUM(Registro[[#This Row],[Trim I]],Registro[[#This Row],[Trim II]],Registro[[#This Row],[Trim III]],Registro[[#This Row],[Trim IV]])</f>
        <v>0</v>
      </c>
      <c r="Y1170" s="22">
        <f>IFERROR((Registro[[#This Row],[Avance Total]]/Registro[[#This Row],[Meta]]),0)</f>
        <v>0</v>
      </c>
      <c r="Z1170" s="22">
        <f>IFERROR((Registro[[#This Row],[Avance Total]]-Registro[[#This Row],[Línea Base 2025]])/Registro[[#This Row],[Línea Base 2025]],0)</f>
        <v>-1</v>
      </c>
      <c r="AA1170" s="20">
        <v>2026</v>
      </c>
    </row>
    <row r="1171" spans="1:27" hidden="1">
      <c r="A1171" s="14">
        <v>1090</v>
      </c>
      <c r="B1171" s="15" t="s">
        <v>114</v>
      </c>
      <c r="C1171" s="16">
        <v>123</v>
      </c>
      <c r="D1171" s="16" t="s">
        <v>198</v>
      </c>
      <c r="E1171" s="17" t="s">
        <v>197</v>
      </c>
      <c r="F1171" s="24">
        <v>0</v>
      </c>
      <c r="G1171" s="19">
        <v>2</v>
      </c>
      <c r="H1171" s="19">
        <v>0</v>
      </c>
      <c r="I1171" s="19">
        <v>0</v>
      </c>
      <c r="T1171" s="19">
        <f>Registro[[#This Row],[Mes 1]]+Registro[[#This Row],[Mes 2]]+Registro[[#This Row],[Mes 3]]</f>
        <v>0</v>
      </c>
      <c r="U1171" s="19">
        <f>Registro[[#This Row],[Mes 4]]+Registro[[#This Row],[Mes 5]]+Registro[[#This Row],[Mes 6]]</f>
        <v>0</v>
      </c>
      <c r="V1171" s="19">
        <f>Registro[[#This Row],[Mes 7]]+Registro[[#This Row],[Mes 8]]+Registro[[#This Row],[Mes 9]]</f>
        <v>0</v>
      </c>
      <c r="W1171" s="20">
        <f>Registro[[#This Row],[Mes 10]]+Registro[[#This Row],[Mes 11]]+Registro[[#This Row],[Mes 12]]</f>
        <v>0</v>
      </c>
      <c r="X1171" s="20">
        <f>SUM(Registro[[#This Row],[Trim I]],Registro[[#This Row],[Trim II]],Registro[[#This Row],[Trim III]],Registro[[#This Row],[Trim IV]])</f>
        <v>0</v>
      </c>
      <c r="Y1171" s="22">
        <f>IFERROR((Registro[[#This Row],[Avance Total]]/Registro[[#This Row],[Meta]]),0)</f>
        <v>0</v>
      </c>
      <c r="Z1171" s="22">
        <f>IFERROR((Registro[[#This Row],[Avance Total]]-Registro[[#This Row],[Línea Base 2025]])/Registro[[#This Row],[Línea Base 2025]],0)</f>
        <v>0</v>
      </c>
      <c r="AA1171" s="20">
        <v>2026</v>
      </c>
    </row>
    <row r="1172" spans="1:27" hidden="1">
      <c r="A1172" s="14">
        <v>1091</v>
      </c>
      <c r="B1172" s="15" t="s">
        <v>115</v>
      </c>
      <c r="C1172" s="16">
        <v>111</v>
      </c>
      <c r="D1172" s="16" t="s">
        <v>171</v>
      </c>
      <c r="E1172" s="17" t="s">
        <v>172</v>
      </c>
      <c r="F1172" s="24">
        <v>114</v>
      </c>
      <c r="G1172" s="19">
        <v>300</v>
      </c>
      <c r="H1172" s="19">
        <v>0</v>
      </c>
      <c r="I1172" s="19">
        <v>7</v>
      </c>
      <c r="T1172" s="19">
        <f>Registro[[#This Row],[Mes 1]]+Registro[[#This Row],[Mes 2]]+Registro[[#This Row],[Mes 3]]</f>
        <v>7</v>
      </c>
      <c r="U1172" s="19">
        <f>Registro[[#This Row],[Mes 4]]+Registro[[#This Row],[Mes 5]]+Registro[[#This Row],[Mes 6]]</f>
        <v>0</v>
      </c>
      <c r="V1172" s="19">
        <f>Registro[[#This Row],[Mes 7]]+Registro[[#This Row],[Mes 8]]+Registro[[#This Row],[Mes 9]]</f>
        <v>0</v>
      </c>
      <c r="W1172" s="20">
        <f>Registro[[#This Row],[Mes 10]]+Registro[[#This Row],[Mes 11]]+Registro[[#This Row],[Mes 12]]</f>
        <v>0</v>
      </c>
      <c r="X1172" s="20">
        <f>SUM(Registro[[#This Row],[Trim I]],Registro[[#This Row],[Trim II]],Registro[[#This Row],[Trim III]],Registro[[#This Row],[Trim IV]])</f>
        <v>7</v>
      </c>
      <c r="Y1172" s="22">
        <f>IFERROR((Registro[[#This Row],[Avance Total]]/Registro[[#This Row],[Meta]]),0)</f>
        <v>2.3333333333333334E-2</v>
      </c>
      <c r="Z1172" s="22">
        <f>IFERROR((Registro[[#This Row],[Avance Total]]-Registro[[#This Row],[Línea Base 2025]])/Registro[[#This Row],[Línea Base 2025]],0)</f>
        <v>-0.93859649122807021</v>
      </c>
      <c r="AA1172" s="20">
        <v>2026</v>
      </c>
    </row>
    <row r="1173" spans="1:27" hidden="1">
      <c r="A1173" s="14">
        <v>1091</v>
      </c>
      <c r="B1173" s="15" t="s">
        <v>115</v>
      </c>
      <c r="C1173" s="16">
        <v>112</v>
      </c>
      <c r="D1173" s="16" t="s">
        <v>173</v>
      </c>
      <c r="E1173" s="17" t="s">
        <v>7</v>
      </c>
      <c r="F1173" s="24">
        <v>77</v>
      </c>
      <c r="G1173" s="19">
        <v>314</v>
      </c>
      <c r="H1173" s="19">
        <v>0</v>
      </c>
      <c r="I1173" s="19">
        <v>0</v>
      </c>
      <c r="T1173" s="19">
        <f>Registro[[#This Row],[Mes 1]]+Registro[[#This Row],[Mes 2]]+Registro[[#This Row],[Mes 3]]</f>
        <v>0</v>
      </c>
      <c r="U1173" s="19">
        <f>Registro[[#This Row],[Mes 4]]+Registro[[#This Row],[Mes 5]]+Registro[[#This Row],[Mes 6]]</f>
        <v>0</v>
      </c>
      <c r="V1173" s="19">
        <f>Registro[[#This Row],[Mes 7]]+Registro[[#This Row],[Mes 8]]+Registro[[#This Row],[Mes 9]]</f>
        <v>0</v>
      </c>
      <c r="W1173" s="20">
        <f>Registro[[#This Row],[Mes 10]]+Registro[[#This Row],[Mes 11]]+Registro[[#This Row],[Mes 12]]</f>
        <v>0</v>
      </c>
      <c r="X1173" s="20">
        <f>SUM(Registro[[#This Row],[Trim I]],Registro[[#This Row],[Trim II]],Registro[[#This Row],[Trim III]],Registro[[#This Row],[Trim IV]])</f>
        <v>0</v>
      </c>
      <c r="Y1173" s="22">
        <f>IFERROR((Registro[[#This Row],[Avance Total]]/Registro[[#This Row],[Meta]]),0)</f>
        <v>0</v>
      </c>
      <c r="Z1173" s="22">
        <f>IFERROR((Registro[[#This Row],[Avance Total]]-Registro[[#This Row],[Línea Base 2025]])/Registro[[#This Row],[Línea Base 2025]],0)</f>
        <v>-1</v>
      </c>
      <c r="AA1173" s="20">
        <v>2026</v>
      </c>
    </row>
    <row r="1174" spans="1:27" hidden="1">
      <c r="A1174" s="14">
        <v>1091</v>
      </c>
      <c r="B1174" s="15" t="s">
        <v>115</v>
      </c>
      <c r="C1174" s="16">
        <v>113</v>
      </c>
      <c r="D1174" s="16" t="s">
        <v>179</v>
      </c>
      <c r="E1174" s="17" t="s">
        <v>178</v>
      </c>
      <c r="F1174" s="24">
        <v>98</v>
      </c>
      <c r="G1174" s="19">
        <v>674</v>
      </c>
      <c r="H1174" s="19">
        <v>1</v>
      </c>
      <c r="I1174" s="19">
        <v>2</v>
      </c>
      <c r="T1174" s="19">
        <f>Registro[[#This Row],[Mes 1]]+Registro[[#This Row],[Mes 2]]+Registro[[#This Row],[Mes 3]]</f>
        <v>3</v>
      </c>
      <c r="U1174" s="19">
        <f>Registro[[#This Row],[Mes 4]]+Registro[[#This Row],[Mes 5]]+Registro[[#This Row],[Mes 6]]</f>
        <v>0</v>
      </c>
      <c r="V1174" s="19">
        <f>Registro[[#This Row],[Mes 7]]+Registro[[#This Row],[Mes 8]]+Registro[[#This Row],[Mes 9]]</f>
        <v>0</v>
      </c>
      <c r="W1174" s="20">
        <f>Registro[[#This Row],[Mes 10]]+Registro[[#This Row],[Mes 11]]+Registro[[#This Row],[Mes 12]]</f>
        <v>0</v>
      </c>
      <c r="X1174" s="20">
        <f>SUM(Registro[[#This Row],[Trim I]],Registro[[#This Row],[Trim II]],Registro[[#This Row],[Trim III]],Registro[[#This Row],[Trim IV]])</f>
        <v>3</v>
      </c>
      <c r="Y1174" s="22">
        <f>IFERROR((Registro[[#This Row],[Avance Total]]/Registro[[#This Row],[Meta]]),0)</f>
        <v>4.4510385756676559E-3</v>
      </c>
      <c r="Z1174" s="22">
        <f>IFERROR((Registro[[#This Row],[Avance Total]]-Registro[[#This Row],[Línea Base 2025]])/Registro[[#This Row],[Línea Base 2025]],0)</f>
        <v>-0.96938775510204078</v>
      </c>
      <c r="AA1174" s="20">
        <v>2026</v>
      </c>
    </row>
    <row r="1175" spans="1:27" hidden="1">
      <c r="A1175" s="14">
        <v>1091</v>
      </c>
      <c r="B1175" s="15" t="s">
        <v>115</v>
      </c>
      <c r="C1175" s="16">
        <v>114</v>
      </c>
      <c r="D1175" s="16" t="s">
        <v>181</v>
      </c>
      <c r="E1175" s="17" t="s">
        <v>180</v>
      </c>
      <c r="F1175" s="24">
        <v>0</v>
      </c>
      <c r="G1175" s="19">
        <v>47</v>
      </c>
      <c r="H1175" s="19">
        <v>0</v>
      </c>
      <c r="I1175" s="19">
        <v>0</v>
      </c>
      <c r="T1175" s="19">
        <f>Registro[[#This Row],[Mes 1]]+Registro[[#This Row],[Mes 2]]+Registro[[#This Row],[Mes 3]]</f>
        <v>0</v>
      </c>
      <c r="U1175" s="19">
        <f>Registro[[#This Row],[Mes 4]]+Registro[[#This Row],[Mes 5]]+Registro[[#This Row],[Mes 6]]</f>
        <v>0</v>
      </c>
      <c r="V1175" s="19">
        <f>Registro[[#This Row],[Mes 7]]+Registro[[#This Row],[Mes 8]]+Registro[[#This Row],[Mes 9]]</f>
        <v>0</v>
      </c>
      <c r="W1175" s="20">
        <f>Registro[[#This Row],[Mes 10]]+Registro[[#This Row],[Mes 11]]+Registro[[#This Row],[Mes 12]]</f>
        <v>0</v>
      </c>
      <c r="X1175" s="20">
        <f>SUM(Registro[[#This Row],[Trim I]],Registro[[#This Row],[Trim II]],Registro[[#This Row],[Trim III]],Registro[[#This Row],[Trim IV]])</f>
        <v>0</v>
      </c>
      <c r="Y1175" s="22">
        <f>IFERROR((Registro[[#This Row],[Avance Total]]/Registro[[#This Row],[Meta]]),0)</f>
        <v>0</v>
      </c>
      <c r="Z1175" s="22">
        <f>IFERROR((Registro[[#This Row],[Avance Total]]-Registro[[#This Row],[Línea Base 2025]])/Registro[[#This Row],[Línea Base 2025]],0)</f>
        <v>0</v>
      </c>
      <c r="AA1175" s="20">
        <v>2026</v>
      </c>
    </row>
    <row r="1176" spans="1:27" hidden="1">
      <c r="A1176" s="14">
        <v>1091</v>
      </c>
      <c r="B1176" s="15" t="s">
        <v>115</v>
      </c>
      <c r="C1176" s="16">
        <v>115</v>
      </c>
      <c r="D1176" s="16" t="s">
        <v>183</v>
      </c>
      <c r="E1176" s="17" t="s">
        <v>182</v>
      </c>
      <c r="F1176" s="24">
        <v>12</v>
      </c>
      <c r="G1176" s="19">
        <v>42</v>
      </c>
      <c r="H1176" s="19">
        <v>0</v>
      </c>
      <c r="I1176" s="19">
        <v>0</v>
      </c>
      <c r="T1176" s="19">
        <f>Registro[[#This Row],[Mes 1]]+Registro[[#This Row],[Mes 2]]+Registro[[#This Row],[Mes 3]]</f>
        <v>0</v>
      </c>
      <c r="U1176" s="19">
        <f>Registro[[#This Row],[Mes 4]]+Registro[[#This Row],[Mes 5]]+Registro[[#This Row],[Mes 6]]</f>
        <v>0</v>
      </c>
      <c r="V1176" s="19">
        <f>Registro[[#This Row],[Mes 7]]+Registro[[#This Row],[Mes 8]]+Registro[[#This Row],[Mes 9]]</f>
        <v>0</v>
      </c>
      <c r="W1176" s="20">
        <f>Registro[[#This Row],[Mes 10]]+Registro[[#This Row],[Mes 11]]+Registro[[#This Row],[Mes 12]]</f>
        <v>0</v>
      </c>
      <c r="X1176" s="20">
        <f>SUM(Registro[[#This Row],[Trim I]],Registro[[#This Row],[Trim II]],Registro[[#This Row],[Trim III]],Registro[[#This Row],[Trim IV]])</f>
        <v>0</v>
      </c>
      <c r="Y1176" s="22">
        <f>IFERROR((Registro[[#This Row],[Avance Total]]/Registro[[#This Row],[Meta]]),0)</f>
        <v>0</v>
      </c>
      <c r="Z1176" s="22">
        <f>IFERROR((Registro[[#This Row],[Avance Total]]-Registro[[#This Row],[Línea Base 2025]])/Registro[[#This Row],[Línea Base 2025]],0)</f>
        <v>-1</v>
      </c>
      <c r="AA1176" s="20">
        <v>2026</v>
      </c>
    </row>
    <row r="1177" spans="1:27">
      <c r="A1177" s="14">
        <v>1091</v>
      </c>
      <c r="B1177" s="15" t="s">
        <v>115</v>
      </c>
      <c r="C1177" s="16">
        <v>116</v>
      </c>
      <c r="D1177" s="16" t="s">
        <v>185</v>
      </c>
      <c r="E1177" s="17" t="s">
        <v>184</v>
      </c>
      <c r="F1177" s="24">
        <v>11</v>
      </c>
      <c r="G1177" s="19">
        <v>9</v>
      </c>
      <c r="H1177" s="19">
        <v>0</v>
      </c>
      <c r="I1177" s="19">
        <v>0</v>
      </c>
      <c r="T1177" s="19">
        <f>Registro[[#This Row],[Mes 1]]+Registro[[#This Row],[Mes 2]]+Registro[[#This Row],[Mes 3]]</f>
        <v>0</v>
      </c>
      <c r="U1177" s="19">
        <f>Registro[[#This Row],[Mes 4]]+Registro[[#This Row],[Mes 5]]+Registro[[#This Row],[Mes 6]]</f>
        <v>0</v>
      </c>
      <c r="V1177" s="19">
        <f>Registro[[#This Row],[Mes 7]]+Registro[[#This Row],[Mes 8]]+Registro[[#This Row],[Mes 9]]</f>
        <v>0</v>
      </c>
      <c r="W1177" s="20">
        <f>Registro[[#This Row],[Mes 10]]+Registro[[#This Row],[Mes 11]]+Registro[[#This Row],[Mes 12]]</f>
        <v>0</v>
      </c>
      <c r="X1177" s="20">
        <f>SUM(Registro[[#This Row],[Trim I]],Registro[[#This Row],[Trim II]],Registro[[#This Row],[Trim III]],Registro[[#This Row],[Trim IV]])</f>
        <v>0</v>
      </c>
      <c r="Y1177" s="22">
        <f>IFERROR((Registro[[#This Row],[Avance Total]]/Registro[[#This Row],[Meta]]),0)</f>
        <v>0</v>
      </c>
      <c r="Z1177" s="22">
        <f>IFERROR((Registro[[#This Row],[Avance Total]]-Registro[[#This Row],[Línea Base 2025]])/Registro[[#This Row],[Línea Base 2025]],0)</f>
        <v>-1</v>
      </c>
      <c r="AA1177" s="20">
        <v>2026</v>
      </c>
    </row>
    <row r="1178" spans="1:27" hidden="1">
      <c r="A1178" s="14">
        <v>1091</v>
      </c>
      <c r="B1178" s="15" t="s">
        <v>115</v>
      </c>
      <c r="C1178" s="16">
        <v>117</v>
      </c>
      <c r="D1178" s="16" t="s">
        <v>187</v>
      </c>
      <c r="E1178" s="17" t="s">
        <v>186</v>
      </c>
      <c r="F1178" s="24">
        <v>9</v>
      </c>
      <c r="G1178" s="19">
        <v>4</v>
      </c>
      <c r="H1178" s="19">
        <v>0</v>
      </c>
      <c r="I1178" s="19">
        <v>0</v>
      </c>
      <c r="T1178" s="19">
        <f>Registro[[#This Row],[Mes 1]]+Registro[[#This Row],[Mes 2]]+Registro[[#This Row],[Mes 3]]</f>
        <v>0</v>
      </c>
      <c r="U1178" s="19">
        <f>Registro[[#This Row],[Mes 4]]+Registro[[#This Row],[Mes 5]]+Registro[[#This Row],[Mes 6]]</f>
        <v>0</v>
      </c>
      <c r="V1178" s="19">
        <f>Registro[[#This Row],[Mes 7]]+Registro[[#This Row],[Mes 8]]+Registro[[#This Row],[Mes 9]]</f>
        <v>0</v>
      </c>
      <c r="W1178" s="20">
        <f>Registro[[#This Row],[Mes 10]]+Registro[[#This Row],[Mes 11]]+Registro[[#This Row],[Mes 12]]</f>
        <v>0</v>
      </c>
      <c r="X1178" s="20">
        <f>SUM(Registro[[#This Row],[Trim I]],Registro[[#This Row],[Trim II]],Registro[[#This Row],[Trim III]],Registro[[#This Row],[Trim IV]])</f>
        <v>0</v>
      </c>
      <c r="Y1178" s="22">
        <f>IFERROR((Registro[[#This Row],[Avance Total]]/Registro[[#This Row],[Meta]]),0)</f>
        <v>0</v>
      </c>
      <c r="Z1178" s="22">
        <f>IFERROR((Registro[[#This Row],[Avance Total]]-Registro[[#This Row],[Línea Base 2025]])/Registro[[#This Row],[Línea Base 2025]],0)</f>
        <v>-1</v>
      </c>
      <c r="AA1178" s="20">
        <v>2026</v>
      </c>
    </row>
    <row r="1179" spans="1:27" hidden="1">
      <c r="A1179" s="14">
        <v>1091</v>
      </c>
      <c r="B1179" s="15" t="s">
        <v>115</v>
      </c>
      <c r="C1179" s="16">
        <v>118</v>
      </c>
      <c r="D1179" s="16" t="s">
        <v>188</v>
      </c>
      <c r="E1179" s="17" t="s">
        <v>9</v>
      </c>
      <c r="F1179" s="24">
        <v>0</v>
      </c>
      <c r="G1179" s="19">
        <v>4</v>
      </c>
      <c r="H1179" s="19">
        <v>0</v>
      </c>
      <c r="I1179" s="19">
        <v>0</v>
      </c>
      <c r="T1179" s="19">
        <f>Registro[[#This Row],[Mes 1]]+Registro[[#This Row],[Mes 2]]+Registro[[#This Row],[Mes 3]]</f>
        <v>0</v>
      </c>
      <c r="U1179" s="19">
        <f>Registro[[#This Row],[Mes 4]]+Registro[[#This Row],[Mes 5]]+Registro[[#This Row],[Mes 6]]</f>
        <v>0</v>
      </c>
      <c r="V1179" s="19">
        <f>Registro[[#This Row],[Mes 7]]+Registro[[#This Row],[Mes 8]]+Registro[[#This Row],[Mes 9]]</f>
        <v>0</v>
      </c>
      <c r="W1179" s="20">
        <f>Registro[[#This Row],[Mes 10]]+Registro[[#This Row],[Mes 11]]+Registro[[#This Row],[Mes 12]]</f>
        <v>0</v>
      </c>
      <c r="X1179" s="20">
        <f>SUM(Registro[[#This Row],[Trim I]],Registro[[#This Row],[Trim II]],Registro[[#This Row],[Trim III]],Registro[[#This Row],[Trim IV]])</f>
        <v>0</v>
      </c>
      <c r="Y1179" s="22">
        <f>IFERROR((Registro[[#This Row],[Avance Total]]/Registro[[#This Row],[Meta]]),0)</f>
        <v>0</v>
      </c>
      <c r="Z1179" s="22">
        <f>IFERROR((Registro[[#This Row],[Avance Total]]-Registro[[#This Row],[Línea Base 2025]])/Registro[[#This Row],[Línea Base 2025]],0)</f>
        <v>0</v>
      </c>
      <c r="AA1179" s="20">
        <v>2026</v>
      </c>
    </row>
    <row r="1180" spans="1:27" hidden="1">
      <c r="A1180" s="14">
        <v>1091</v>
      </c>
      <c r="B1180" s="15" t="s">
        <v>115</v>
      </c>
      <c r="C1180" s="16">
        <v>119</v>
      </c>
      <c r="D1180" s="16" t="s">
        <v>190</v>
      </c>
      <c r="E1180" s="17" t="s">
        <v>189</v>
      </c>
      <c r="F1180" s="24">
        <v>0</v>
      </c>
      <c r="G1180" s="19">
        <v>7</v>
      </c>
      <c r="H1180" s="19">
        <v>0</v>
      </c>
      <c r="I1180" s="19">
        <v>0</v>
      </c>
      <c r="T1180" s="19">
        <f>Registro[[#This Row],[Mes 1]]+Registro[[#This Row],[Mes 2]]+Registro[[#This Row],[Mes 3]]</f>
        <v>0</v>
      </c>
      <c r="U1180" s="19">
        <f>Registro[[#This Row],[Mes 4]]+Registro[[#This Row],[Mes 5]]+Registro[[#This Row],[Mes 6]]</f>
        <v>0</v>
      </c>
      <c r="V1180" s="19">
        <f>Registro[[#This Row],[Mes 7]]+Registro[[#This Row],[Mes 8]]+Registro[[#This Row],[Mes 9]]</f>
        <v>0</v>
      </c>
      <c r="W1180" s="20">
        <f>Registro[[#This Row],[Mes 10]]+Registro[[#This Row],[Mes 11]]+Registro[[#This Row],[Mes 12]]</f>
        <v>0</v>
      </c>
      <c r="X1180" s="20">
        <f>SUM(Registro[[#This Row],[Trim I]],Registro[[#This Row],[Trim II]],Registro[[#This Row],[Trim III]],Registro[[#This Row],[Trim IV]])</f>
        <v>0</v>
      </c>
      <c r="Y1180" s="22">
        <f>IFERROR((Registro[[#This Row],[Avance Total]]/Registro[[#This Row],[Meta]]),0)</f>
        <v>0</v>
      </c>
      <c r="Z1180" s="22">
        <f>IFERROR((Registro[[#This Row],[Avance Total]]-Registro[[#This Row],[Línea Base 2025]])/Registro[[#This Row],[Línea Base 2025]],0)</f>
        <v>0</v>
      </c>
      <c r="AA1180" s="20">
        <v>2026</v>
      </c>
    </row>
    <row r="1181" spans="1:27" hidden="1">
      <c r="A1181" s="14">
        <v>1091</v>
      </c>
      <c r="B1181" s="15" t="s">
        <v>115</v>
      </c>
      <c r="C1181" s="16">
        <v>120</v>
      </c>
      <c r="D1181" s="16" t="s">
        <v>192</v>
      </c>
      <c r="E1181" s="17" t="s">
        <v>191</v>
      </c>
      <c r="F1181" s="24">
        <v>0</v>
      </c>
      <c r="G1181" s="19">
        <v>30</v>
      </c>
      <c r="H1181" s="19">
        <v>0</v>
      </c>
      <c r="I1181" s="19">
        <v>17</v>
      </c>
      <c r="T1181" s="19">
        <f>Registro[[#This Row],[Mes 1]]+Registro[[#This Row],[Mes 2]]+Registro[[#This Row],[Mes 3]]</f>
        <v>17</v>
      </c>
      <c r="U1181" s="19">
        <f>Registro[[#This Row],[Mes 4]]+Registro[[#This Row],[Mes 5]]+Registro[[#This Row],[Mes 6]]</f>
        <v>0</v>
      </c>
      <c r="V1181" s="19">
        <f>Registro[[#This Row],[Mes 7]]+Registro[[#This Row],[Mes 8]]+Registro[[#This Row],[Mes 9]]</f>
        <v>0</v>
      </c>
      <c r="W1181" s="20">
        <f>Registro[[#This Row],[Mes 10]]+Registro[[#This Row],[Mes 11]]+Registro[[#This Row],[Mes 12]]</f>
        <v>0</v>
      </c>
      <c r="X1181" s="20">
        <f>SUM(Registro[[#This Row],[Trim I]],Registro[[#This Row],[Trim II]],Registro[[#This Row],[Trim III]],Registro[[#This Row],[Trim IV]])</f>
        <v>17</v>
      </c>
      <c r="Y1181" s="22">
        <f>IFERROR((Registro[[#This Row],[Avance Total]]/Registro[[#This Row],[Meta]]),0)</f>
        <v>0.56666666666666665</v>
      </c>
      <c r="Z1181" s="22">
        <f>IFERROR((Registro[[#This Row],[Avance Total]]-Registro[[#This Row],[Línea Base 2025]])/Registro[[#This Row],[Línea Base 2025]],0)</f>
        <v>0</v>
      </c>
      <c r="AA1181" s="20">
        <v>2026</v>
      </c>
    </row>
    <row r="1182" spans="1:27" hidden="1">
      <c r="A1182" s="14">
        <v>1091</v>
      </c>
      <c r="B1182" s="15" t="s">
        <v>115</v>
      </c>
      <c r="C1182" s="16">
        <v>121</v>
      </c>
      <c r="D1182" s="16" t="s">
        <v>194</v>
      </c>
      <c r="E1182" s="17" t="s">
        <v>193</v>
      </c>
      <c r="F1182" s="24">
        <v>8</v>
      </c>
      <c r="G1182" s="19">
        <v>11</v>
      </c>
      <c r="H1182" s="19">
        <v>0</v>
      </c>
      <c r="I1182" s="19">
        <v>0</v>
      </c>
      <c r="T1182" s="19">
        <f>Registro[[#This Row],[Mes 1]]+Registro[[#This Row],[Mes 2]]+Registro[[#This Row],[Mes 3]]</f>
        <v>0</v>
      </c>
      <c r="U1182" s="19">
        <f>Registro[[#This Row],[Mes 4]]+Registro[[#This Row],[Mes 5]]+Registro[[#This Row],[Mes 6]]</f>
        <v>0</v>
      </c>
      <c r="V1182" s="19">
        <f>Registro[[#This Row],[Mes 7]]+Registro[[#This Row],[Mes 8]]+Registro[[#This Row],[Mes 9]]</f>
        <v>0</v>
      </c>
      <c r="W1182" s="20">
        <f>Registro[[#This Row],[Mes 10]]+Registro[[#This Row],[Mes 11]]+Registro[[#This Row],[Mes 12]]</f>
        <v>0</v>
      </c>
      <c r="X1182" s="20">
        <f>SUM(Registro[[#This Row],[Trim I]],Registro[[#This Row],[Trim II]],Registro[[#This Row],[Trim III]],Registro[[#This Row],[Trim IV]])</f>
        <v>0</v>
      </c>
      <c r="Y1182" s="22">
        <f>IFERROR((Registro[[#This Row],[Avance Total]]/Registro[[#This Row],[Meta]]),0)</f>
        <v>0</v>
      </c>
      <c r="Z1182" s="22">
        <f>IFERROR((Registro[[#This Row],[Avance Total]]-Registro[[#This Row],[Línea Base 2025]])/Registro[[#This Row],[Línea Base 2025]],0)</f>
        <v>-1</v>
      </c>
      <c r="AA1182" s="20">
        <v>2026</v>
      </c>
    </row>
    <row r="1183" spans="1:27" hidden="1">
      <c r="A1183" s="14">
        <v>1091</v>
      </c>
      <c r="B1183" s="15" t="s">
        <v>115</v>
      </c>
      <c r="C1183" s="16">
        <v>122</v>
      </c>
      <c r="D1183" s="16" t="s">
        <v>196</v>
      </c>
      <c r="E1183" s="17" t="s">
        <v>195</v>
      </c>
      <c r="F1183" s="24">
        <v>10</v>
      </c>
      <c r="G1183" s="19">
        <v>20</v>
      </c>
      <c r="H1183" s="19">
        <v>0</v>
      </c>
      <c r="I1183" s="19">
        <v>0</v>
      </c>
      <c r="T1183" s="19">
        <f>Registro[[#This Row],[Mes 1]]+Registro[[#This Row],[Mes 2]]+Registro[[#This Row],[Mes 3]]</f>
        <v>0</v>
      </c>
      <c r="U1183" s="19">
        <f>Registro[[#This Row],[Mes 4]]+Registro[[#This Row],[Mes 5]]+Registro[[#This Row],[Mes 6]]</f>
        <v>0</v>
      </c>
      <c r="V1183" s="19">
        <f>Registro[[#This Row],[Mes 7]]+Registro[[#This Row],[Mes 8]]+Registro[[#This Row],[Mes 9]]</f>
        <v>0</v>
      </c>
      <c r="W1183" s="20">
        <f>Registro[[#This Row],[Mes 10]]+Registro[[#This Row],[Mes 11]]+Registro[[#This Row],[Mes 12]]</f>
        <v>0</v>
      </c>
      <c r="X1183" s="20">
        <f>SUM(Registro[[#This Row],[Trim I]],Registro[[#This Row],[Trim II]],Registro[[#This Row],[Trim III]],Registro[[#This Row],[Trim IV]])</f>
        <v>0</v>
      </c>
      <c r="Y1183" s="22">
        <f>IFERROR((Registro[[#This Row],[Avance Total]]/Registro[[#This Row],[Meta]]),0)</f>
        <v>0</v>
      </c>
      <c r="Z1183" s="22">
        <f>IFERROR((Registro[[#This Row],[Avance Total]]-Registro[[#This Row],[Línea Base 2025]])/Registro[[#This Row],[Línea Base 2025]],0)</f>
        <v>-1</v>
      </c>
      <c r="AA1183" s="20">
        <v>2026</v>
      </c>
    </row>
    <row r="1184" spans="1:27" hidden="1">
      <c r="A1184" s="14">
        <v>1091</v>
      </c>
      <c r="B1184" s="15" t="s">
        <v>115</v>
      </c>
      <c r="C1184" s="16">
        <v>123</v>
      </c>
      <c r="D1184" s="16" t="s">
        <v>198</v>
      </c>
      <c r="E1184" s="17" t="s">
        <v>197</v>
      </c>
      <c r="F1184" s="24">
        <v>0</v>
      </c>
      <c r="G1184" s="19">
        <v>5</v>
      </c>
      <c r="H1184" s="19">
        <v>0</v>
      </c>
      <c r="I1184" s="19">
        <v>0</v>
      </c>
      <c r="T1184" s="19">
        <f>Registro[[#This Row],[Mes 1]]+Registro[[#This Row],[Mes 2]]+Registro[[#This Row],[Mes 3]]</f>
        <v>0</v>
      </c>
      <c r="U1184" s="19">
        <f>Registro[[#This Row],[Mes 4]]+Registro[[#This Row],[Mes 5]]+Registro[[#This Row],[Mes 6]]</f>
        <v>0</v>
      </c>
      <c r="V1184" s="19">
        <f>Registro[[#This Row],[Mes 7]]+Registro[[#This Row],[Mes 8]]+Registro[[#This Row],[Mes 9]]</f>
        <v>0</v>
      </c>
      <c r="W1184" s="20">
        <f>Registro[[#This Row],[Mes 10]]+Registro[[#This Row],[Mes 11]]+Registro[[#This Row],[Mes 12]]</f>
        <v>0</v>
      </c>
      <c r="X1184" s="20">
        <f>SUM(Registro[[#This Row],[Trim I]],Registro[[#This Row],[Trim II]],Registro[[#This Row],[Trim III]],Registro[[#This Row],[Trim IV]])</f>
        <v>0</v>
      </c>
      <c r="Y1184" s="22">
        <f>IFERROR((Registro[[#This Row],[Avance Total]]/Registro[[#This Row],[Meta]]),0)</f>
        <v>0</v>
      </c>
      <c r="Z1184" s="22">
        <f>IFERROR((Registro[[#This Row],[Avance Total]]-Registro[[#This Row],[Línea Base 2025]])/Registro[[#This Row],[Línea Base 2025]],0)</f>
        <v>0</v>
      </c>
      <c r="AA1184" s="20">
        <v>2026</v>
      </c>
    </row>
    <row r="1185" spans="1:27" hidden="1">
      <c r="A1185" s="14">
        <v>1092</v>
      </c>
      <c r="B1185" s="15" t="s">
        <v>116</v>
      </c>
      <c r="C1185" s="16">
        <v>111</v>
      </c>
      <c r="D1185" s="16" t="s">
        <v>171</v>
      </c>
      <c r="E1185" s="17" t="s">
        <v>172</v>
      </c>
      <c r="F1185" s="24">
        <v>7</v>
      </c>
      <c r="G1185" s="19">
        <v>28</v>
      </c>
      <c r="H1185" s="19">
        <v>7</v>
      </c>
      <c r="I1185" s="19">
        <v>6</v>
      </c>
      <c r="T1185" s="19">
        <f>Registro[[#This Row],[Mes 1]]+Registro[[#This Row],[Mes 2]]+Registro[[#This Row],[Mes 3]]</f>
        <v>13</v>
      </c>
      <c r="U1185" s="19">
        <f>Registro[[#This Row],[Mes 4]]+Registro[[#This Row],[Mes 5]]+Registro[[#This Row],[Mes 6]]</f>
        <v>0</v>
      </c>
      <c r="V1185" s="19">
        <f>Registro[[#This Row],[Mes 7]]+Registro[[#This Row],[Mes 8]]+Registro[[#This Row],[Mes 9]]</f>
        <v>0</v>
      </c>
      <c r="W1185" s="20">
        <f>Registro[[#This Row],[Mes 10]]+Registro[[#This Row],[Mes 11]]+Registro[[#This Row],[Mes 12]]</f>
        <v>0</v>
      </c>
      <c r="X1185" s="20">
        <f>SUM(Registro[[#This Row],[Trim I]],Registro[[#This Row],[Trim II]],Registro[[#This Row],[Trim III]],Registro[[#This Row],[Trim IV]])</f>
        <v>13</v>
      </c>
      <c r="Y1185" s="22">
        <f>IFERROR((Registro[[#This Row],[Avance Total]]/Registro[[#This Row],[Meta]]),0)</f>
        <v>0.4642857142857143</v>
      </c>
      <c r="Z1185" s="22">
        <f>IFERROR((Registro[[#This Row],[Avance Total]]-Registro[[#This Row],[Línea Base 2025]])/Registro[[#This Row],[Línea Base 2025]],0)</f>
        <v>0.8571428571428571</v>
      </c>
      <c r="AA1185" s="20">
        <v>2026</v>
      </c>
    </row>
    <row r="1186" spans="1:27" hidden="1">
      <c r="A1186" s="14">
        <v>1092</v>
      </c>
      <c r="B1186" s="15" t="s">
        <v>116</v>
      </c>
      <c r="C1186" s="16">
        <v>112</v>
      </c>
      <c r="D1186" s="16" t="s">
        <v>173</v>
      </c>
      <c r="E1186" s="17" t="s">
        <v>7</v>
      </c>
      <c r="F1186" s="24">
        <v>2</v>
      </c>
      <c r="G1186" s="19">
        <v>18</v>
      </c>
      <c r="H1186" s="19">
        <v>0</v>
      </c>
      <c r="I1186" s="19">
        <v>0</v>
      </c>
      <c r="T1186" s="19">
        <f>Registro[[#This Row],[Mes 1]]+Registro[[#This Row],[Mes 2]]+Registro[[#This Row],[Mes 3]]</f>
        <v>0</v>
      </c>
      <c r="U1186" s="19">
        <f>Registro[[#This Row],[Mes 4]]+Registro[[#This Row],[Mes 5]]+Registro[[#This Row],[Mes 6]]</f>
        <v>0</v>
      </c>
      <c r="V1186" s="19">
        <f>Registro[[#This Row],[Mes 7]]+Registro[[#This Row],[Mes 8]]+Registro[[#This Row],[Mes 9]]</f>
        <v>0</v>
      </c>
      <c r="W1186" s="20">
        <f>Registro[[#This Row],[Mes 10]]+Registro[[#This Row],[Mes 11]]+Registro[[#This Row],[Mes 12]]</f>
        <v>0</v>
      </c>
      <c r="X1186" s="20">
        <f>SUM(Registro[[#This Row],[Trim I]],Registro[[#This Row],[Trim II]],Registro[[#This Row],[Trim III]],Registro[[#This Row],[Trim IV]])</f>
        <v>0</v>
      </c>
      <c r="Y1186" s="22">
        <f>IFERROR((Registro[[#This Row],[Avance Total]]/Registro[[#This Row],[Meta]]),0)</f>
        <v>0</v>
      </c>
      <c r="Z1186" s="22">
        <f>IFERROR((Registro[[#This Row],[Avance Total]]-Registro[[#This Row],[Línea Base 2025]])/Registro[[#This Row],[Línea Base 2025]],0)</f>
        <v>-1</v>
      </c>
      <c r="AA1186" s="20">
        <v>2026</v>
      </c>
    </row>
    <row r="1187" spans="1:27" hidden="1">
      <c r="A1187" s="14">
        <v>1092</v>
      </c>
      <c r="B1187" s="15" t="s">
        <v>116</v>
      </c>
      <c r="C1187" s="16">
        <v>113</v>
      </c>
      <c r="D1187" s="16" t="s">
        <v>179</v>
      </c>
      <c r="E1187" s="17" t="s">
        <v>178</v>
      </c>
      <c r="F1187" s="24">
        <v>7</v>
      </c>
      <c r="G1187" s="19">
        <v>17</v>
      </c>
      <c r="H1187" s="19">
        <v>2</v>
      </c>
      <c r="I1187" s="19">
        <v>3</v>
      </c>
      <c r="T1187" s="19">
        <f>Registro[[#This Row],[Mes 1]]+Registro[[#This Row],[Mes 2]]+Registro[[#This Row],[Mes 3]]</f>
        <v>5</v>
      </c>
      <c r="U1187" s="19">
        <f>Registro[[#This Row],[Mes 4]]+Registro[[#This Row],[Mes 5]]+Registro[[#This Row],[Mes 6]]</f>
        <v>0</v>
      </c>
      <c r="V1187" s="19">
        <f>Registro[[#This Row],[Mes 7]]+Registro[[#This Row],[Mes 8]]+Registro[[#This Row],[Mes 9]]</f>
        <v>0</v>
      </c>
      <c r="W1187" s="20">
        <f>Registro[[#This Row],[Mes 10]]+Registro[[#This Row],[Mes 11]]+Registro[[#This Row],[Mes 12]]</f>
        <v>0</v>
      </c>
      <c r="X1187" s="20">
        <f>SUM(Registro[[#This Row],[Trim I]],Registro[[#This Row],[Trim II]],Registro[[#This Row],[Trim III]],Registro[[#This Row],[Trim IV]])</f>
        <v>5</v>
      </c>
      <c r="Y1187" s="22">
        <f>IFERROR((Registro[[#This Row],[Avance Total]]/Registro[[#This Row],[Meta]]),0)</f>
        <v>0.29411764705882354</v>
      </c>
      <c r="Z1187" s="22">
        <f>IFERROR((Registro[[#This Row],[Avance Total]]-Registro[[#This Row],[Línea Base 2025]])/Registro[[#This Row],[Línea Base 2025]],0)</f>
        <v>-0.2857142857142857</v>
      </c>
      <c r="AA1187" s="20">
        <v>2026</v>
      </c>
    </row>
    <row r="1188" spans="1:27" hidden="1">
      <c r="A1188" s="14">
        <v>1092</v>
      </c>
      <c r="B1188" s="15" t="s">
        <v>116</v>
      </c>
      <c r="C1188" s="16">
        <v>114</v>
      </c>
      <c r="D1188" s="16" t="s">
        <v>181</v>
      </c>
      <c r="E1188" s="17" t="s">
        <v>180</v>
      </c>
      <c r="F1188" s="24">
        <v>0</v>
      </c>
      <c r="G1188" s="19">
        <v>1</v>
      </c>
      <c r="H1188" s="19">
        <v>0</v>
      </c>
      <c r="I1188" s="19">
        <v>0</v>
      </c>
      <c r="T1188" s="19">
        <f>Registro[[#This Row],[Mes 1]]+Registro[[#This Row],[Mes 2]]+Registro[[#This Row],[Mes 3]]</f>
        <v>0</v>
      </c>
      <c r="U1188" s="19">
        <f>Registro[[#This Row],[Mes 4]]+Registro[[#This Row],[Mes 5]]+Registro[[#This Row],[Mes 6]]</f>
        <v>0</v>
      </c>
      <c r="V1188" s="19">
        <f>Registro[[#This Row],[Mes 7]]+Registro[[#This Row],[Mes 8]]+Registro[[#This Row],[Mes 9]]</f>
        <v>0</v>
      </c>
      <c r="W1188" s="20">
        <f>Registro[[#This Row],[Mes 10]]+Registro[[#This Row],[Mes 11]]+Registro[[#This Row],[Mes 12]]</f>
        <v>0</v>
      </c>
      <c r="X1188" s="20">
        <f>SUM(Registro[[#This Row],[Trim I]],Registro[[#This Row],[Trim II]],Registro[[#This Row],[Trim III]],Registro[[#This Row],[Trim IV]])</f>
        <v>0</v>
      </c>
      <c r="Y1188" s="22">
        <f>IFERROR((Registro[[#This Row],[Avance Total]]/Registro[[#This Row],[Meta]]),0)</f>
        <v>0</v>
      </c>
      <c r="Z1188" s="22">
        <f>IFERROR((Registro[[#This Row],[Avance Total]]-Registro[[#This Row],[Línea Base 2025]])/Registro[[#This Row],[Línea Base 2025]],0)</f>
        <v>0</v>
      </c>
      <c r="AA1188" s="20">
        <v>2026</v>
      </c>
    </row>
    <row r="1189" spans="1:27" hidden="1">
      <c r="A1189" s="14">
        <v>1092</v>
      </c>
      <c r="B1189" s="15" t="s">
        <v>116</v>
      </c>
      <c r="C1189" s="16">
        <v>115</v>
      </c>
      <c r="D1189" s="16" t="s">
        <v>183</v>
      </c>
      <c r="E1189" s="17" t="s">
        <v>182</v>
      </c>
      <c r="F1189" s="24">
        <v>0</v>
      </c>
      <c r="G1189" s="19">
        <v>1</v>
      </c>
      <c r="H1189" s="19">
        <v>0</v>
      </c>
      <c r="I1189" s="19">
        <v>0</v>
      </c>
      <c r="T1189" s="19">
        <f>Registro[[#This Row],[Mes 1]]+Registro[[#This Row],[Mes 2]]+Registro[[#This Row],[Mes 3]]</f>
        <v>0</v>
      </c>
      <c r="U1189" s="19">
        <f>Registro[[#This Row],[Mes 4]]+Registro[[#This Row],[Mes 5]]+Registro[[#This Row],[Mes 6]]</f>
        <v>0</v>
      </c>
      <c r="V1189" s="19">
        <f>Registro[[#This Row],[Mes 7]]+Registro[[#This Row],[Mes 8]]+Registro[[#This Row],[Mes 9]]</f>
        <v>0</v>
      </c>
      <c r="W1189" s="20">
        <f>Registro[[#This Row],[Mes 10]]+Registro[[#This Row],[Mes 11]]+Registro[[#This Row],[Mes 12]]</f>
        <v>0</v>
      </c>
      <c r="X1189" s="20">
        <f>SUM(Registro[[#This Row],[Trim I]],Registro[[#This Row],[Trim II]],Registro[[#This Row],[Trim III]],Registro[[#This Row],[Trim IV]])</f>
        <v>0</v>
      </c>
      <c r="Y1189" s="22">
        <f>IFERROR((Registro[[#This Row],[Avance Total]]/Registro[[#This Row],[Meta]]),0)</f>
        <v>0</v>
      </c>
      <c r="Z1189" s="22">
        <f>IFERROR((Registro[[#This Row],[Avance Total]]-Registro[[#This Row],[Línea Base 2025]])/Registro[[#This Row],[Línea Base 2025]],0)</f>
        <v>0</v>
      </c>
      <c r="AA1189" s="20">
        <v>2026</v>
      </c>
    </row>
    <row r="1190" spans="1:27">
      <c r="A1190" s="14">
        <v>1092</v>
      </c>
      <c r="B1190" s="15" t="s">
        <v>116</v>
      </c>
      <c r="C1190" s="16">
        <v>116</v>
      </c>
      <c r="D1190" s="16" t="s">
        <v>185</v>
      </c>
      <c r="E1190" s="17" t="s">
        <v>184</v>
      </c>
      <c r="F1190" s="24">
        <v>1</v>
      </c>
      <c r="G1190" s="19">
        <v>1</v>
      </c>
      <c r="H1190" s="19">
        <v>0</v>
      </c>
      <c r="I1190" s="19">
        <v>0</v>
      </c>
      <c r="T1190" s="19">
        <f>Registro[[#This Row],[Mes 1]]+Registro[[#This Row],[Mes 2]]+Registro[[#This Row],[Mes 3]]</f>
        <v>0</v>
      </c>
      <c r="U1190" s="19">
        <f>Registro[[#This Row],[Mes 4]]+Registro[[#This Row],[Mes 5]]+Registro[[#This Row],[Mes 6]]</f>
        <v>0</v>
      </c>
      <c r="V1190" s="19">
        <f>Registro[[#This Row],[Mes 7]]+Registro[[#This Row],[Mes 8]]+Registro[[#This Row],[Mes 9]]</f>
        <v>0</v>
      </c>
      <c r="W1190" s="20">
        <f>Registro[[#This Row],[Mes 10]]+Registro[[#This Row],[Mes 11]]+Registro[[#This Row],[Mes 12]]</f>
        <v>0</v>
      </c>
      <c r="X1190" s="20">
        <f>SUM(Registro[[#This Row],[Trim I]],Registro[[#This Row],[Trim II]],Registro[[#This Row],[Trim III]],Registro[[#This Row],[Trim IV]])</f>
        <v>0</v>
      </c>
      <c r="Y1190" s="22">
        <f>IFERROR((Registro[[#This Row],[Avance Total]]/Registro[[#This Row],[Meta]]),0)</f>
        <v>0</v>
      </c>
      <c r="Z1190" s="22">
        <f>IFERROR((Registro[[#This Row],[Avance Total]]-Registro[[#This Row],[Línea Base 2025]])/Registro[[#This Row],[Línea Base 2025]],0)</f>
        <v>-1</v>
      </c>
      <c r="AA1190" s="20">
        <v>2026</v>
      </c>
    </row>
    <row r="1191" spans="1:27" hidden="1">
      <c r="A1191" s="14">
        <v>1092</v>
      </c>
      <c r="B1191" s="15" t="s">
        <v>116</v>
      </c>
      <c r="C1191" s="16">
        <v>117</v>
      </c>
      <c r="D1191" s="16" t="s">
        <v>187</v>
      </c>
      <c r="E1191" s="17" t="s">
        <v>186</v>
      </c>
      <c r="F1191" s="24">
        <v>0</v>
      </c>
      <c r="G1191" s="19">
        <v>4</v>
      </c>
      <c r="H1191" s="19">
        <v>0</v>
      </c>
      <c r="I1191" s="19">
        <v>0</v>
      </c>
      <c r="T1191" s="19">
        <f>Registro[[#This Row],[Mes 1]]+Registro[[#This Row],[Mes 2]]+Registro[[#This Row],[Mes 3]]</f>
        <v>0</v>
      </c>
      <c r="U1191" s="19">
        <f>Registro[[#This Row],[Mes 4]]+Registro[[#This Row],[Mes 5]]+Registro[[#This Row],[Mes 6]]</f>
        <v>0</v>
      </c>
      <c r="V1191" s="19">
        <f>Registro[[#This Row],[Mes 7]]+Registro[[#This Row],[Mes 8]]+Registro[[#This Row],[Mes 9]]</f>
        <v>0</v>
      </c>
      <c r="W1191" s="20">
        <f>Registro[[#This Row],[Mes 10]]+Registro[[#This Row],[Mes 11]]+Registro[[#This Row],[Mes 12]]</f>
        <v>0</v>
      </c>
      <c r="X1191" s="20">
        <f>SUM(Registro[[#This Row],[Trim I]],Registro[[#This Row],[Trim II]],Registro[[#This Row],[Trim III]],Registro[[#This Row],[Trim IV]])</f>
        <v>0</v>
      </c>
      <c r="Y1191" s="22">
        <f>IFERROR((Registro[[#This Row],[Avance Total]]/Registro[[#This Row],[Meta]]),0)</f>
        <v>0</v>
      </c>
      <c r="Z1191" s="22">
        <f>IFERROR((Registro[[#This Row],[Avance Total]]-Registro[[#This Row],[Línea Base 2025]])/Registro[[#This Row],[Línea Base 2025]],0)</f>
        <v>0</v>
      </c>
      <c r="AA1191" s="20">
        <v>2026</v>
      </c>
    </row>
    <row r="1192" spans="1:27" hidden="1">
      <c r="A1192" s="14">
        <v>1092</v>
      </c>
      <c r="B1192" s="15" t="s">
        <v>116</v>
      </c>
      <c r="C1192" s="16">
        <v>118</v>
      </c>
      <c r="D1192" s="16" t="s">
        <v>188</v>
      </c>
      <c r="E1192" s="17" t="s">
        <v>9</v>
      </c>
      <c r="F1192" s="24">
        <v>0</v>
      </c>
      <c r="G1192" s="19">
        <v>0</v>
      </c>
      <c r="H1192" s="19">
        <v>0</v>
      </c>
      <c r="I1192" s="19">
        <v>0</v>
      </c>
      <c r="T1192" s="19">
        <f>Registro[[#This Row],[Mes 1]]+Registro[[#This Row],[Mes 2]]+Registro[[#This Row],[Mes 3]]</f>
        <v>0</v>
      </c>
      <c r="U1192" s="19">
        <f>Registro[[#This Row],[Mes 4]]+Registro[[#This Row],[Mes 5]]+Registro[[#This Row],[Mes 6]]</f>
        <v>0</v>
      </c>
      <c r="V1192" s="19">
        <f>Registro[[#This Row],[Mes 7]]+Registro[[#This Row],[Mes 8]]+Registro[[#This Row],[Mes 9]]</f>
        <v>0</v>
      </c>
      <c r="W1192" s="20">
        <f>Registro[[#This Row],[Mes 10]]+Registro[[#This Row],[Mes 11]]+Registro[[#This Row],[Mes 12]]</f>
        <v>0</v>
      </c>
      <c r="X1192" s="20">
        <f>SUM(Registro[[#This Row],[Trim I]],Registro[[#This Row],[Trim II]],Registro[[#This Row],[Trim III]],Registro[[#This Row],[Trim IV]])</f>
        <v>0</v>
      </c>
      <c r="Y1192" s="22">
        <f>IFERROR((Registro[[#This Row],[Avance Total]]/Registro[[#This Row],[Meta]]),0)</f>
        <v>0</v>
      </c>
      <c r="Z1192" s="22">
        <f>IFERROR((Registro[[#This Row],[Avance Total]]-Registro[[#This Row],[Línea Base 2025]])/Registro[[#This Row],[Línea Base 2025]],0)</f>
        <v>0</v>
      </c>
      <c r="AA1192" s="20">
        <v>2026</v>
      </c>
    </row>
    <row r="1193" spans="1:27" hidden="1">
      <c r="A1193" s="14">
        <v>1092</v>
      </c>
      <c r="B1193" s="15" t="s">
        <v>116</v>
      </c>
      <c r="C1193" s="16">
        <v>119</v>
      </c>
      <c r="D1193" s="16" t="s">
        <v>190</v>
      </c>
      <c r="E1193" s="17" t="s">
        <v>189</v>
      </c>
      <c r="F1193" s="24">
        <v>0</v>
      </c>
      <c r="G1193" s="19">
        <v>1</v>
      </c>
      <c r="H1193" s="19">
        <v>0</v>
      </c>
      <c r="I1193" s="19">
        <v>0</v>
      </c>
      <c r="T1193" s="19">
        <f>Registro[[#This Row],[Mes 1]]+Registro[[#This Row],[Mes 2]]+Registro[[#This Row],[Mes 3]]</f>
        <v>0</v>
      </c>
      <c r="U1193" s="19">
        <f>Registro[[#This Row],[Mes 4]]+Registro[[#This Row],[Mes 5]]+Registro[[#This Row],[Mes 6]]</f>
        <v>0</v>
      </c>
      <c r="V1193" s="19">
        <f>Registro[[#This Row],[Mes 7]]+Registro[[#This Row],[Mes 8]]+Registro[[#This Row],[Mes 9]]</f>
        <v>0</v>
      </c>
      <c r="W1193" s="20">
        <f>Registro[[#This Row],[Mes 10]]+Registro[[#This Row],[Mes 11]]+Registro[[#This Row],[Mes 12]]</f>
        <v>0</v>
      </c>
      <c r="X1193" s="20">
        <f>SUM(Registro[[#This Row],[Trim I]],Registro[[#This Row],[Trim II]],Registro[[#This Row],[Trim III]],Registro[[#This Row],[Trim IV]])</f>
        <v>0</v>
      </c>
      <c r="Y1193" s="22">
        <f>IFERROR((Registro[[#This Row],[Avance Total]]/Registro[[#This Row],[Meta]]),0)</f>
        <v>0</v>
      </c>
      <c r="Z1193" s="22">
        <f>IFERROR((Registro[[#This Row],[Avance Total]]-Registro[[#This Row],[Línea Base 2025]])/Registro[[#This Row],[Línea Base 2025]],0)</f>
        <v>0</v>
      </c>
      <c r="AA1193" s="20">
        <v>2026</v>
      </c>
    </row>
    <row r="1194" spans="1:27" hidden="1">
      <c r="A1194" s="14">
        <v>1092</v>
      </c>
      <c r="B1194" s="15" t="s">
        <v>116</v>
      </c>
      <c r="C1194" s="16">
        <v>120</v>
      </c>
      <c r="D1194" s="16" t="s">
        <v>192</v>
      </c>
      <c r="E1194" s="17" t="s">
        <v>191</v>
      </c>
      <c r="F1194" s="24">
        <v>0</v>
      </c>
      <c r="G1194" s="19">
        <v>28</v>
      </c>
      <c r="H1194" s="19">
        <v>0</v>
      </c>
      <c r="I1194" s="19">
        <v>0</v>
      </c>
      <c r="T1194" s="19">
        <f>Registro[[#This Row],[Mes 1]]+Registro[[#This Row],[Mes 2]]+Registro[[#This Row],[Mes 3]]</f>
        <v>0</v>
      </c>
      <c r="U1194" s="19">
        <f>Registro[[#This Row],[Mes 4]]+Registro[[#This Row],[Mes 5]]+Registro[[#This Row],[Mes 6]]</f>
        <v>0</v>
      </c>
      <c r="V1194" s="19">
        <f>Registro[[#This Row],[Mes 7]]+Registro[[#This Row],[Mes 8]]+Registro[[#This Row],[Mes 9]]</f>
        <v>0</v>
      </c>
      <c r="W1194" s="20">
        <f>Registro[[#This Row],[Mes 10]]+Registro[[#This Row],[Mes 11]]+Registro[[#This Row],[Mes 12]]</f>
        <v>0</v>
      </c>
      <c r="X1194" s="20">
        <f>SUM(Registro[[#This Row],[Trim I]],Registro[[#This Row],[Trim II]],Registro[[#This Row],[Trim III]],Registro[[#This Row],[Trim IV]])</f>
        <v>0</v>
      </c>
      <c r="Y1194" s="22">
        <f>IFERROR((Registro[[#This Row],[Avance Total]]/Registro[[#This Row],[Meta]]),0)</f>
        <v>0</v>
      </c>
      <c r="Z1194" s="22">
        <f>IFERROR((Registro[[#This Row],[Avance Total]]-Registro[[#This Row],[Línea Base 2025]])/Registro[[#This Row],[Línea Base 2025]],0)</f>
        <v>0</v>
      </c>
      <c r="AA1194" s="20">
        <v>2026</v>
      </c>
    </row>
    <row r="1195" spans="1:27" hidden="1">
      <c r="A1195" s="14">
        <v>1092</v>
      </c>
      <c r="B1195" s="15" t="s">
        <v>116</v>
      </c>
      <c r="C1195" s="16">
        <v>121</v>
      </c>
      <c r="D1195" s="16" t="s">
        <v>194</v>
      </c>
      <c r="E1195" s="17" t="s">
        <v>193</v>
      </c>
      <c r="F1195" s="24">
        <v>3</v>
      </c>
      <c r="G1195" s="19">
        <v>3</v>
      </c>
      <c r="H1195" s="19">
        <v>0</v>
      </c>
      <c r="I1195" s="19">
        <v>0</v>
      </c>
      <c r="T1195" s="19">
        <f>Registro[[#This Row],[Mes 1]]+Registro[[#This Row],[Mes 2]]+Registro[[#This Row],[Mes 3]]</f>
        <v>0</v>
      </c>
      <c r="U1195" s="19">
        <f>Registro[[#This Row],[Mes 4]]+Registro[[#This Row],[Mes 5]]+Registro[[#This Row],[Mes 6]]</f>
        <v>0</v>
      </c>
      <c r="V1195" s="19">
        <f>Registro[[#This Row],[Mes 7]]+Registro[[#This Row],[Mes 8]]+Registro[[#This Row],[Mes 9]]</f>
        <v>0</v>
      </c>
      <c r="W1195" s="20">
        <f>Registro[[#This Row],[Mes 10]]+Registro[[#This Row],[Mes 11]]+Registro[[#This Row],[Mes 12]]</f>
        <v>0</v>
      </c>
      <c r="X1195" s="20">
        <f>SUM(Registro[[#This Row],[Trim I]],Registro[[#This Row],[Trim II]],Registro[[#This Row],[Trim III]],Registro[[#This Row],[Trim IV]])</f>
        <v>0</v>
      </c>
      <c r="Y1195" s="22">
        <f>IFERROR((Registro[[#This Row],[Avance Total]]/Registro[[#This Row],[Meta]]),0)</f>
        <v>0</v>
      </c>
      <c r="Z1195" s="22">
        <f>IFERROR((Registro[[#This Row],[Avance Total]]-Registro[[#This Row],[Línea Base 2025]])/Registro[[#This Row],[Línea Base 2025]],0)</f>
        <v>-1</v>
      </c>
      <c r="AA1195" s="20">
        <v>2026</v>
      </c>
    </row>
    <row r="1196" spans="1:27" hidden="1">
      <c r="A1196" s="14">
        <v>1092</v>
      </c>
      <c r="B1196" s="15" t="s">
        <v>116</v>
      </c>
      <c r="C1196" s="16">
        <v>122</v>
      </c>
      <c r="D1196" s="16" t="s">
        <v>196</v>
      </c>
      <c r="E1196" s="17" t="s">
        <v>195</v>
      </c>
      <c r="F1196" s="24">
        <v>3</v>
      </c>
      <c r="G1196" s="19">
        <v>10</v>
      </c>
      <c r="H1196" s="19">
        <v>0</v>
      </c>
      <c r="I1196" s="19">
        <v>0</v>
      </c>
      <c r="T1196" s="19">
        <f>Registro[[#This Row],[Mes 1]]+Registro[[#This Row],[Mes 2]]+Registro[[#This Row],[Mes 3]]</f>
        <v>0</v>
      </c>
      <c r="U1196" s="19">
        <f>Registro[[#This Row],[Mes 4]]+Registro[[#This Row],[Mes 5]]+Registro[[#This Row],[Mes 6]]</f>
        <v>0</v>
      </c>
      <c r="V1196" s="19">
        <f>Registro[[#This Row],[Mes 7]]+Registro[[#This Row],[Mes 8]]+Registro[[#This Row],[Mes 9]]</f>
        <v>0</v>
      </c>
      <c r="W1196" s="20">
        <f>Registro[[#This Row],[Mes 10]]+Registro[[#This Row],[Mes 11]]+Registro[[#This Row],[Mes 12]]</f>
        <v>0</v>
      </c>
      <c r="X1196" s="20">
        <f>SUM(Registro[[#This Row],[Trim I]],Registro[[#This Row],[Trim II]],Registro[[#This Row],[Trim III]],Registro[[#This Row],[Trim IV]])</f>
        <v>0</v>
      </c>
      <c r="Y1196" s="22">
        <f>IFERROR((Registro[[#This Row],[Avance Total]]/Registro[[#This Row],[Meta]]),0)</f>
        <v>0</v>
      </c>
      <c r="Z1196" s="22">
        <f>IFERROR((Registro[[#This Row],[Avance Total]]-Registro[[#This Row],[Línea Base 2025]])/Registro[[#This Row],[Línea Base 2025]],0)</f>
        <v>-1</v>
      </c>
      <c r="AA1196" s="20">
        <v>2026</v>
      </c>
    </row>
    <row r="1197" spans="1:27" hidden="1">
      <c r="A1197" s="14">
        <v>1092</v>
      </c>
      <c r="B1197" s="15" t="s">
        <v>116</v>
      </c>
      <c r="C1197" s="16">
        <v>123</v>
      </c>
      <c r="D1197" s="16" t="s">
        <v>198</v>
      </c>
      <c r="E1197" s="17" t="s">
        <v>197</v>
      </c>
      <c r="F1197" s="24">
        <v>0</v>
      </c>
      <c r="G1197" s="19">
        <v>1</v>
      </c>
      <c r="H1197" s="19">
        <v>0</v>
      </c>
      <c r="I1197" s="19">
        <v>0</v>
      </c>
      <c r="T1197" s="19">
        <f>Registro[[#This Row],[Mes 1]]+Registro[[#This Row],[Mes 2]]+Registro[[#This Row],[Mes 3]]</f>
        <v>0</v>
      </c>
      <c r="U1197" s="19">
        <f>Registro[[#This Row],[Mes 4]]+Registro[[#This Row],[Mes 5]]+Registro[[#This Row],[Mes 6]]</f>
        <v>0</v>
      </c>
      <c r="V1197" s="19">
        <f>Registro[[#This Row],[Mes 7]]+Registro[[#This Row],[Mes 8]]+Registro[[#This Row],[Mes 9]]</f>
        <v>0</v>
      </c>
      <c r="W1197" s="20">
        <f>Registro[[#This Row],[Mes 10]]+Registro[[#This Row],[Mes 11]]+Registro[[#This Row],[Mes 12]]</f>
        <v>0</v>
      </c>
      <c r="X1197" s="20">
        <f>SUM(Registro[[#This Row],[Trim I]],Registro[[#This Row],[Trim II]],Registro[[#This Row],[Trim III]],Registro[[#This Row],[Trim IV]])</f>
        <v>0</v>
      </c>
      <c r="Y1197" s="22">
        <f>IFERROR((Registro[[#This Row],[Avance Total]]/Registro[[#This Row],[Meta]]),0)</f>
        <v>0</v>
      </c>
      <c r="Z1197" s="22">
        <f>IFERROR((Registro[[#This Row],[Avance Total]]-Registro[[#This Row],[Línea Base 2025]])/Registro[[#This Row],[Línea Base 2025]],0)</f>
        <v>0</v>
      </c>
      <c r="AA1197" s="20">
        <v>2026</v>
      </c>
    </row>
    <row r="1198" spans="1:27" hidden="1">
      <c r="A1198" s="14">
        <v>1093</v>
      </c>
      <c r="B1198" s="15" t="s">
        <v>117</v>
      </c>
      <c r="C1198" s="16">
        <v>111</v>
      </c>
      <c r="D1198" s="16" t="s">
        <v>171</v>
      </c>
      <c r="E1198" s="17" t="s">
        <v>172</v>
      </c>
      <c r="F1198" s="24">
        <v>34</v>
      </c>
      <c r="G1198" s="19">
        <v>60</v>
      </c>
      <c r="H1198" s="19">
        <v>0</v>
      </c>
      <c r="I1198" s="19">
        <v>0</v>
      </c>
      <c r="T1198" s="19">
        <f>Registro[[#This Row],[Mes 1]]+Registro[[#This Row],[Mes 2]]+Registro[[#This Row],[Mes 3]]</f>
        <v>0</v>
      </c>
      <c r="U1198" s="19">
        <f>Registro[[#This Row],[Mes 4]]+Registro[[#This Row],[Mes 5]]+Registro[[#This Row],[Mes 6]]</f>
        <v>0</v>
      </c>
      <c r="V1198" s="19">
        <f>Registro[[#This Row],[Mes 7]]+Registro[[#This Row],[Mes 8]]+Registro[[#This Row],[Mes 9]]</f>
        <v>0</v>
      </c>
      <c r="W1198" s="20">
        <f>Registro[[#This Row],[Mes 10]]+Registro[[#This Row],[Mes 11]]+Registro[[#This Row],[Mes 12]]</f>
        <v>0</v>
      </c>
      <c r="X1198" s="20">
        <f>SUM(Registro[[#This Row],[Trim I]],Registro[[#This Row],[Trim II]],Registro[[#This Row],[Trim III]],Registro[[#This Row],[Trim IV]])</f>
        <v>0</v>
      </c>
      <c r="Y1198" s="22">
        <f>IFERROR((Registro[[#This Row],[Avance Total]]/Registro[[#This Row],[Meta]]),0)</f>
        <v>0</v>
      </c>
      <c r="Z1198" s="22">
        <f>IFERROR((Registro[[#This Row],[Avance Total]]-Registro[[#This Row],[Línea Base 2025]])/Registro[[#This Row],[Línea Base 2025]],0)</f>
        <v>-1</v>
      </c>
      <c r="AA1198" s="20">
        <v>2026</v>
      </c>
    </row>
    <row r="1199" spans="1:27" hidden="1">
      <c r="A1199" s="14">
        <v>1093</v>
      </c>
      <c r="B1199" s="15" t="s">
        <v>117</v>
      </c>
      <c r="C1199" s="16">
        <v>112</v>
      </c>
      <c r="D1199" s="16" t="s">
        <v>173</v>
      </c>
      <c r="E1199" s="17" t="s">
        <v>7</v>
      </c>
      <c r="F1199" s="24">
        <v>11</v>
      </c>
      <c r="G1199" s="19">
        <v>66</v>
      </c>
      <c r="H1199" s="19">
        <v>0</v>
      </c>
      <c r="I1199" s="19">
        <v>0</v>
      </c>
      <c r="T1199" s="19">
        <f>Registro[[#This Row],[Mes 1]]+Registro[[#This Row],[Mes 2]]+Registro[[#This Row],[Mes 3]]</f>
        <v>0</v>
      </c>
      <c r="U1199" s="19">
        <f>Registro[[#This Row],[Mes 4]]+Registro[[#This Row],[Mes 5]]+Registro[[#This Row],[Mes 6]]</f>
        <v>0</v>
      </c>
      <c r="V1199" s="19">
        <f>Registro[[#This Row],[Mes 7]]+Registro[[#This Row],[Mes 8]]+Registro[[#This Row],[Mes 9]]</f>
        <v>0</v>
      </c>
      <c r="W1199" s="20">
        <f>Registro[[#This Row],[Mes 10]]+Registro[[#This Row],[Mes 11]]+Registro[[#This Row],[Mes 12]]</f>
        <v>0</v>
      </c>
      <c r="X1199" s="20">
        <f>SUM(Registro[[#This Row],[Trim I]],Registro[[#This Row],[Trim II]],Registro[[#This Row],[Trim III]],Registro[[#This Row],[Trim IV]])</f>
        <v>0</v>
      </c>
      <c r="Y1199" s="22">
        <f>IFERROR((Registro[[#This Row],[Avance Total]]/Registro[[#This Row],[Meta]]),0)</f>
        <v>0</v>
      </c>
      <c r="Z1199" s="22">
        <f>IFERROR((Registro[[#This Row],[Avance Total]]-Registro[[#This Row],[Línea Base 2025]])/Registro[[#This Row],[Línea Base 2025]],0)</f>
        <v>-1</v>
      </c>
      <c r="AA1199" s="20">
        <v>2026</v>
      </c>
    </row>
    <row r="1200" spans="1:27" hidden="1">
      <c r="A1200" s="14">
        <v>1093</v>
      </c>
      <c r="B1200" s="15" t="s">
        <v>117</v>
      </c>
      <c r="C1200" s="16">
        <v>113</v>
      </c>
      <c r="D1200" s="16" t="s">
        <v>179</v>
      </c>
      <c r="E1200" s="17" t="s">
        <v>178</v>
      </c>
      <c r="F1200" s="24">
        <v>22</v>
      </c>
      <c r="G1200" s="19">
        <v>122</v>
      </c>
      <c r="H1200" s="19">
        <v>0</v>
      </c>
      <c r="I1200" s="19">
        <v>0</v>
      </c>
      <c r="T1200" s="19">
        <f>Registro[[#This Row],[Mes 1]]+Registro[[#This Row],[Mes 2]]+Registro[[#This Row],[Mes 3]]</f>
        <v>0</v>
      </c>
      <c r="U1200" s="19">
        <f>Registro[[#This Row],[Mes 4]]+Registro[[#This Row],[Mes 5]]+Registro[[#This Row],[Mes 6]]</f>
        <v>0</v>
      </c>
      <c r="V1200" s="19">
        <f>Registro[[#This Row],[Mes 7]]+Registro[[#This Row],[Mes 8]]+Registro[[#This Row],[Mes 9]]</f>
        <v>0</v>
      </c>
      <c r="W1200" s="20">
        <f>Registro[[#This Row],[Mes 10]]+Registro[[#This Row],[Mes 11]]+Registro[[#This Row],[Mes 12]]</f>
        <v>0</v>
      </c>
      <c r="X1200" s="20">
        <f>SUM(Registro[[#This Row],[Trim I]],Registro[[#This Row],[Trim II]],Registro[[#This Row],[Trim III]],Registro[[#This Row],[Trim IV]])</f>
        <v>0</v>
      </c>
      <c r="Y1200" s="22">
        <f>IFERROR((Registro[[#This Row],[Avance Total]]/Registro[[#This Row],[Meta]]),0)</f>
        <v>0</v>
      </c>
      <c r="Z1200" s="22">
        <f>IFERROR((Registro[[#This Row],[Avance Total]]-Registro[[#This Row],[Línea Base 2025]])/Registro[[#This Row],[Línea Base 2025]],0)</f>
        <v>-1</v>
      </c>
      <c r="AA1200" s="20">
        <v>2026</v>
      </c>
    </row>
    <row r="1201" spans="1:27" hidden="1">
      <c r="A1201" s="14">
        <v>1093</v>
      </c>
      <c r="B1201" s="15" t="s">
        <v>117</v>
      </c>
      <c r="C1201" s="16">
        <v>114</v>
      </c>
      <c r="D1201" s="16" t="s">
        <v>181</v>
      </c>
      <c r="E1201" s="17" t="s">
        <v>180</v>
      </c>
      <c r="F1201" s="24">
        <v>2</v>
      </c>
      <c r="G1201" s="19">
        <v>9</v>
      </c>
      <c r="H1201" s="19">
        <v>0</v>
      </c>
      <c r="I1201" s="19">
        <v>0</v>
      </c>
      <c r="T1201" s="19">
        <f>Registro[[#This Row],[Mes 1]]+Registro[[#This Row],[Mes 2]]+Registro[[#This Row],[Mes 3]]</f>
        <v>0</v>
      </c>
      <c r="U1201" s="19">
        <f>Registro[[#This Row],[Mes 4]]+Registro[[#This Row],[Mes 5]]+Registro[[#This Row],[Mes 6]]</f>
        <v>0</v>
      </c>
      <c r="V1201" s="19">
        <f>Registro[[#This Row],[Mes 7]]+Registro[[#This Row],[Mes 8]]+Registro[[#This Row],[Mes 9]]</f>
        <v>0</v>
      </c>
      <c r="W1201" s="20">
        <f>Registro[[#This Row],[Mes 10]]+Registro[[#This Row],[Mes 11]]+Registro[[#This Row],[Mes 12]]</f>
        <v>0</v>
      </c>
      <c r="X1201" s="20">
        <f>SUM(Registro[[#This Row],[Trim I]],Registro[[#This Row],[Trim II]],Registro[[#This Row],[Trim III]],Registro[[#This Row],[Trim IV]])</f>
        <v>0</v>
      </c>
      <c r="Y1201" s="22">
        <f>IFERROR((Registro[[#This Row],[Avance Total]]/Registro[[#This Row],[Meta]]),0)</f>
        <v>0</v>
      </c>
      <c r="Z1201" s="22">
        <f>IFERROR((Registro[[#This Row],[Avance Total]]-Registro[[#This Row],[Línea Base 2025]])/Registro[[#This Row],[Línea Base 2025]],0)</f>
        <v>-1</v>
      </c>
      <c r="AA1201" s="20">
        <v>2026</v>
      </c>
    </row>
    <row r="1202" spans="1:27" hidden="1">
      <c r="A1202" s="14">
        <v>1093</v>
      </c>
      <c r="B1202" s="15" t="s">
        <v>117</v>
      </c>
      <c r="C1202" s="16">
        <v>115</v>
      </c>
      <c r="D1202" s="16" t="s">
        <v>183</v>
      </c>
      <c r="E1202" s="17" t="s">
        <v>182</v>
      </c>
      <c r="F1202" s="24">
        <v>1</v>
      </c>
      <c r="G1202" s="19">
        <v>9</v>
      </c>
      <c r="H1202" s="19">
        <v>0</v>
      </c>
      <c r="I1202" s="19">
        <v>0</v>
      </c>
      <c r="T1202" s="19">
        <f>Registro[[#This Row],[Mes 1]]+Registro[[#This Row],[Mes 2]]+Registro[[#This Row],[Mes 3]]</f>
        <v>0</v>
      </c>
      <c r="U1202" s="19">
        <f>Registro[[#This Row],[Mes 4]]+Registro[[#This Row],[Mes 5]]+Registro[[#This Row],[Mes 6]]</f>
        <v>0</v>
      </c>
      <c r="V1202" s="19">
        <f>Registro[[#This Row],[Mes 7]]+Registro[[#This Row],[Mes 8]]+Registro[[#This Row],[Mes 9]]</f>
        <v>0</v>
      </c>
      <c r="W1202" s="20">
        <f>Registro[[#This Row],[Mes 10]]+Registro[[#This Row],[Mes 11]]+Registro[[#This Row],[Mes 12]]</f>
        <v>0</v>
      </c>
      <c r="X1202" s="20">
        <f>SUM(Registro[[#This Row],[Trim I]],Registro[[#This Row],[Trim II]],Registro[[#This Row],[Trim III]],Registro[[#This Row],[Trim IV]])</f>
        <v>0</v>
      </c>
      <c r="Y1202" s="22">
        <f>IFERROR((Registro[[#This Row],[Avance Total]]/Registro[[#This Row],[Meta]]),0)</f>
        <v>0</v>
      </c>
      <c r="Z1202" s="22">
        <f>IFERROR((Registro[[#This Row],[Avance Total]]-Registro[[#This Row],[Línea Base 2025]])/Registro[[#This Row],[Línea Base 2025]],0)</f>
        <v>-1</v>
      </c>
      <c r="AA1202" s="20">
        <v>2026</v>
      </c>
    </row>
    <row r="1203" spans="1:27">
      <c r="A1203" s="14">
        <v>1093</v>
      </c>
      <c r="B1203" s="15" t="s">
        <v>117</v>
      </c>
      <c r="C1203" s="16">
        <v>116</v>
      </c>
      <c r="D1203" s="16" t="s">
        <v>185</v>
      </c>
      <c r="E1203" s="17" t="s">
        <v>184</v>
      </c>
      <c r="F1203" s="24">
        <v>4</v>
      </c>
      <c r="G1203" s="19">
        <v>2</v>
      </c>
      <c r="H1203" s="19">
        <v>0</v>
      </c>
      <c r="I1203" s="19">
        <v>0</v>
      </c>
      <c r="T1203" s="19">
        <f>Registro[[#This Row],[Mes 1]]+Registro[[#This Row],[Mes 2]]+Registro[[#This Row],[Mes 3]]</f>
        <v>0</v>
      </c>
      <c r="U1203" s="19">
        <f>Registro[[#This Row],[Mes 4]]+Registro[[#This Row],[Mes 5]]+Registro[[#This Row],[Mes 6]]</f>
        <v>0</v>
      </c>
      <c r="V1203" s="19">
        <f>Registro[[#This Row],[Mes 7]]+Registro[[#This Row],[Mes 8]]+Registro[[#This Row],[Mes 9]]</f>
        <v>0</v>
      </c>
      <c r="W1203" s="20">
        <f>Registro[[#This Row],[Mes 10]]+Registro[[#This Row],[Mes 11]]+Registro[[#This Row],[Mes 12]]</f>
        <v>0</v>
      </c>
      <c r="X1203" s="20">
        <f>SUM(Registro[[#This Row],[Trim I]],Registro[[#This Row],[Trim II]],Registro[[#This Row],[Trim III]],Registro[[#This Row],[Trim IV]])</f>
        <v>0</v>
      </c>
      <c r="Y1203" s="22">
        <f>IFERROR((Registro[[#This Row],[Avance Total]]/Registro[[#This Row],[Meta]]),0)</f>
        <v>0</v>
      </c>
      <c r="Z1203" s="22">
        <f>IFERROR((Registro[[#This Row],[Avance Total]]-Registro[[#This Row],[Línea Base 2025]])/Registro[[#This Row],[Línea Base 2025]],0)</f>
        <v>-1</v>
      </c>
      <c r="AA1203" s="20">
        <v>2026</v>
      </c>
    </row>
    <row r="1204" spans="1:27" hidden="1">
      <c r="A1204" s="14">
        <v>1093</v>
      </c>
      <c r="B1204" s="15" t="s">
        <v>117</v>
      </c>
      <c r="C1204" s="16">
        <v>117</v>
      </c>
      <c r="D1204" s="16" t="s">
        <v>187</v>
      </c>
      <c r="E1204" s="17" t="s">
        <v>186</v>
      </c>
      <c r="F1204" s="24">
        <v>0</v>
      </c>
      <c r="G1204" s="19">
        <v>4</v>
      </c>
      <c r="H1204" s="19">
        <v>0</v>
      </c>
      <c r="I1204" s="19">
        <v>0</v>
      </c>
      <c r="T1204" s="19">
        <f>Registro[[#This Row],[Mes 1]]+Registro[[#This Row],[Mes 2]]+Registro[[#This Row],[Mes 3]]</f>
        <v>0</v>
      </c>
      <c r="U1204" s="19">
        <f>Registro[[#This Row],[Mes 4]]+Registro[[#This Row],[Mes 5]]+Registro[[#This Row],[Mes 6]]</f>
        <v>0</v>
      </c>
      <c r="V1204" s="19">
        <f>Registro[[#This Row],[Mes 7]]+Registro[[#This Row],[Mes 8]]+Registro[[#This Row],[Mes 9]]</f>
        <v>0</v>
      </c>
      <c r="W1204" s="20">
        <f>Registro[[#This Row],[Mes 10]]+Registro[[#This Row],[Mes 11]]+Registro[[#This Row],[Mes 12]]</f>
        <v>0</v>
      </c>
      <c r="X1204" s="20">
        <f>SUM(Registro[[#This Row],[Trim I]],Registro[[#This Row],[Trim II]],Registro[[#This Row],[Trim III]],Registro[[#This Row],[Trim IV]])</f>
        <v>0</v>
      </c>
      <c r="Y1204" s="22">
        <f>IFERROR((Registro[[#This Row],[Avance Total]]/Registro[[#This Row],[Meta]]),0)</f>
        <v>0</v>
      </c>
      <c r="Z1204" s="22">
        <f>IFERROR((Registro[[#This Row],[Avance Total]]-Registro[[#This Row],[Línea Base 2025]])/Registro[[#This Row],[Línea Base 2025]],0)</f>
        <v>0</v>
      </c>
      <c r="AA1204" s="20">
        <v>2026</v>
      </c>
    </row>
    <row r="1205" spans="1:27" hidden="1">
      <c r="A1205" s="14">
        <v>1093</v>
      </c>
      <c r="B1205" s="15" t="s">
        <v>117</v>
      </c>
      <c r="C1205" s="16">
        <v>118</v>
      </c>
      <c r="D1205" s="16" t="s">
        <v>188</v>
      </c>
      <c r="E1205" s="17" t="s">
        <v>9</v>
      </c>
      <c r="F1205" s="24">
        <v>0</v>
      </c>
      <c r="G1205" s="19">
        <v>10</v>
      </c>
      <c r="H1205" s="19">
        <v>0</v>
      </c>
      <c r="I1205" s="19">
        <v>0</v>
      </c>
      <c r="T1205" s="19">
        <f>Registro[[#This Row],[Mes 1]]+Registro[[#This Row],[Mes 2]]+Registro[[#This Row],[Mes 3]]</f>
        <v>0</v>
      </c>
      <c r="U1205" s="19">
        <f>Registro[[#This Row],[Mes 4]]+Registro[[#This Row],[Mes 5]]+Registro[[#This Row],[Mes 6]]</f>
        <v>0</v>
      </c>
      <c r="V1205" s="19">
        <f>Registro[[#This Row],[Mes 7]]+Registro[[#This Row],[Mes 8]]+Registro[[#This Row],[Mes 9]]</f>
        <v>0</v>
      </c>
      <c r="W1205" s="20">
        <f>Registro[[#This Row],[Mes 10]]+Registro[[#This Row],[Mes 11]]+Registro[[#This Row],[Mes 12]]</f>
        <v>0</v>
      </c>
      <c r="X1205" s="20">
        <f>SUM(Registro[[#This Row],[Trim I]],Registro[[#This Row],[Trim II]],Registro[[#This Row],[Trim III]],Registro[[#This Row],[Trim IV]])</f>
        <v>0</v>
      </c>
      <c r="Y1205" s="22">
        <f>IFERROR((Registro[[#This Row],[Avance Total]]/Registro[[#This Row],[Meta]]),0)</f>
        <v>0</v>
      </c>
      <c r="Z1205" s="22">
        <f>IFERROR((Registro[[#This Row],[Avance Total]]-Registro[[#This Row],[Línea Base 2025]])/Registro[[#This Row],[Línea Base 2025]],0)</f>
        <v>0</v>
      </c>
      <c r="AA1205" s="20">
        <v>2026</v>
      </c>
    </row>
    <row r="1206" spans="1:27" hidden="1">
      <c r="A1206" s="14">
        <v>1093</v>
      </c>
      <c r="B1206" s="15" t="s">
        <v>117</v>
      </c>
      <c r="C1206" s="16">
        <v>119</v>
      </c>
      <c r="D1206" s="16" t="s">
        <v>190</v>
      </c>
      <c r="E1206" s="17" t="s">
        <v>189</v>
      </c>
      <c r="F1206" s="24">
        <v>0</v>
      </c>
      <c r="G1206" s="19">
        <v>2</v>
      </c>
      <c r="H1206" s="19">
        <v>0</v>
      </c>
      <c r="I1206" s="19">
        <v>0</v>
      </c>
      <c r="T1206" s="19">
        <f>Registro[[#This Row],[Mes 1]]+Registro[[#This Row],[Mes 2]]+Registro[[#This Row],[Mes 3]]</f>
        <v>0</v>
      </c>
      <c r="U1206" s="19">
        <f>Registro[[#This Row],[Mes 4]]+Registro[[#This Row],[Mes 5]]+Registro[[#This Row],[Mes 6]]</f>
        <v>0</v>
      </c>
      <c r="V1206" s="19">
        <f>Registro[[#This Row],[Mes 7]]+Registro[[#This Row],[Mes 8]]+Registro[[#This Row],[Mes 9]]</f>
        <v>0</v>
      </c>
      <c r="W1206" s="20">
        <f>Registro[[#This Row],[Mes 10]]+Registro[[#This Row],[Mes 11]]+Registro[[#This Row],[Mes 12]]</f>
        <v>0</v>
      </c>
      <c r="X1206" s="20">
        <f>SUM(Registro[[#This Row],[Trim I]],Registro[[#This Row],[Trim II]],Registro[[#This Row],[Trim III]],Registro[[#This Row],[Trim IV]])</f>
        <v>0</v>
      </c>
      <c r="Y1206" s="22">
        <f>IFERROR((Registro[[#This Row],[Avance Total]]/Registro[[#This Row],[Meta]]),0)</f>
        <v>0</v>
      </c>
      <c r="Z1206" s="22">
        <f>IFERROR((Registro[[#This Row],[Avance Total]]-Registro[[#This Row],[Línea Base 2025]])/Registro[[#This Row],[Línea Base 2025]],0)</f>
        <v>0</v>
      </c>
      <c r="AA1206" s="20">
        <v>2026</v>
      </c>
    </row>
    <row r="1207" spans="1:27" hidden="1">
      <c r="A1207" s="14">
        <v>1093</v>
      </c>
      <c r="B1207" s="15" t="s">
        <v>117</v>
      </c>
      <c r="C1207" s="16">
        <v>120</v>
      </c>
      <c r="D1207" s="16" t="s">
        <v>192</v>
      </c>
      <c r="E1207" s="17" t="s">
        <v>191</v>
      </c>
      <c r="F1207" s="24">
        <v>13</v>
      </c>
      <c r="G1207" s="19">
        <v>32</v>
      </c>
      <c r="H1207" s="19">
        <v>0</v>
      </c>
      <c r="I1207" s="19">
        <v>0</v>
      </c>
      <c r="T1207" s="19">
        <f>Registro[[#This Row],[Mes 1]]+Registro[[#This Row],[Mes 2]]+Registro[[#This Row],[Mes 3]]</f>
        <v>0</v>
      </c>
      <c r="U1207" s="19">
        <f>Registro[[#This Row],[Mes 4]]+Registro[[#This Row],[Mes 5]]+Registro[[#This Row],[Mes 6]]</f>
        <v>0</v>
      </c>
      <c r="V1207" s="19">
        <f>Registro[[#This Row],[Mes 7]]+Registro[[#This Row],[Mes 8]]+Registro[[#This Row],[Mes 9]]</f>
        <v>0</v>
      </c>
      <c r="W1207" s="20">
        <f>Registro[[#This Row],[Mes 10]]+Registro[[#This Row],[Mes 11]]+Registro[[#This Row],[Mes 12]]</f>
        <v>0</v>
      </c>
      <c r="X1207" s="20">
        <f>SUM(Registro[[#This Row],[Trim I]],Registro[[#This Row],[Trim II]],Registro[[#This Row],[Trim III]],Registro[[#This Row],[Trim IV]])</f>
        <v>0</v>
      </c>
      <c r="Y1207" s="22">
        <f>IFERROR((Registro[[#This Row],[Avance Total]]/Registro[[#This Row],[Meta]]),0)</f>
        <v>0</v>
      </c>
      <c r="Z1207" s="22">
        <f>IFERROR((Registro[[#This Row],[Avance Total]]-Registro[[#This Row],[Línea Base 2025]])/Registro[[#This Row],[Línea Base 2025]],0)</f>
        <v>-1</v>
      </c>
      <c r="AA1207" s="20">
        <v>2026</v>
      </c>
    </row>
    <row r="1208" spans="1:27" hidden="1">
      <c r="A1208" s="14">
        <v>1093</v>
      </c>
      <c r="B1208" s="15" t="s">
        <v>117</v>
      </c>
      <c r="C1208" s="16">
        <v>121</v>
      </c>
      <c r="D1208" s="16" t="s">
        <v>194</v>
      </c>
      <c r="E1208" s="17" t="s">
        <v>193</v>
      </c>
      <c r="F1208" s="24">
        <v>6</v>
      </c>
      <c r="G1208" s="19">
        <v>6</v>
      </c>
      <c r="H1208" s="19">
        <v>0</v>
      </c>
      <c r="I1208" s="19">
        <v>0</v>
      </c>
      <c r="T1208" s="19">
        <f>Registro[[#This Row],[Mes 1]]+Registro[[#This Row],[Mes 2]]+Registro[[#This Row],[Mes 3]]</f>
        <v>0</v>
      </c>
      <c r="U1208" s="19">
        <f>Registro[[#This Row],[Mes 4]]+Registro[[#This Row],[Mes 5]]+Registro[[#This Row],[Mes 6]]</f>
        <v>0</v>
      </c>
      <c r="V1208" s="19">
        <f>Registro[[#This Row],[Mes 7]]+Registro[[#This Row],[Mes 8]]+Registro[[#This Row],[Mes 9]]</f>
        <v>0</v>
      </c>
      <c r="W1208" s="20">
        <f>Registro[[#This Row],[Mes 10]]+Registro[[#This Row],[Mes 11]]+Registro[[#This Row],[Mes 12]]</f>
        <v>0</v>
      </c>
      <c r="X1208" s="20">
        <f>SUM(Registro[[#This Row],[Trim I]],Registro[[#This Row],[Trim II]],Registro[[#This Row],[Trim III]],Registro[[#This Row],[Trim IV]])</f>
        <v>0</v>
      </c>
      <c r="Y1208" s="22">
        <f>IFERROR((Registro[[#This Row],[Avance Total]]/Registro[[#This Row],[Meta]]),0)</f>
        <v>0</v>
      </c>
      <c r="Z1208" s="22">
        <f>IFERROR((Registro[[#This Row],[Avance Total]]-Registro[[#This Row],[Línea Base 2025]])/Registro[[#This Row],[Línea Base 2025]],0)</f>
        <v>-1</v>
      </c>
      <c r="AA1208" s="20">
        <v>2026</v>
      </c>
    </row>
    <row r="1209" spans="1:27" hidden="1">
      <c r="A1209" s="14">
        <v>1093</v>
      </c>
      <c r="B1209" s="15" t="s">
        <v>117</v>
      </c>
      <c r="C1209" s="16">
        <v>122</v>
      </c>
      <c r="D1209" s="16" t="s">
        <v>196</v>
      </c>
      <c r="E1209" s="17" t="s">
        <v>195</v>
      </c>
      <c r="F1209" s="24">
        <v>0</v>
      </c>
      <c r="G1209" s="19">
        <v>10</v>
      </c>
      <c r="H1209" s="19">
        <v>0</v>
      </c>
      <c r="I1209" s="19">
        <v>0</v>
      </c>
      <c r="T1209" s="19">
        <f>Registro[[#This Row],[Mes 1]]+Registro[[#This Row],[Mes 2]]+Registro[[#This Row],[Mes 3]]</f>
        <v>0</v>
      </c>
      <c r="U1209" s="19">
        <f>Registro[[#This Row],[Mes 4]]+Registro[[#This Row],[Mes 5]]+Registro[[#This Row],[Mes 6]]</f>
        <v>0</v>
      </c>
      <c r="V1209" s="19">
        <f>Registro[[#This Row],[Mes 7]]+Registro[[#This Row],[Mes 8]]+Registro[[#This Row],[Mes 9]]</f>
        <v>0</v>
      </c>
      <c r="W1209" s="20">
        <f>Registro[[#This Row],[Mes 10]]+Registro[[#This Row],[Mes 11]]+Registro[[#This Row],[Mes 12]]</f>
        <v>0</v>
      </c>
      <c r="X1209" s="20">
        <f>SUM(Registro[[#This Row],[Trim I]],Registro[[#This Row],[Trim II]],Registro[[#This Row],[Trim III]],Registro[[#This Row],[Trim IV]])</f>
        <v>0</v>
      </c>
      <c r="Y1209" s="22">
        <f>IFERROR((Registro[[#This Row],[Avance Total]]/Registro[[#This Row],[Meta]]),0)</f>
        <v>0</v>
      </c>
      <c r="Z1209" s="22">
        <f>IFERROR((Registro[[#This Row],[Avance Total]]-Registro[[#This Row],[Línea Base 2025]])/Registro[[#This Row],[Línea Base 2025]],0)</f>
        <v>0</v>
      </c>
      <c r="AA1209" s="20">
        <v>2026</v>
      </c>
    </row>
    <row r="1210" spans="1:27" hidden="1">
      <c r="A1210" s="14">
        <v>1093</v>
      </c>
      <c r="B1210" s="15" t="s">
        <v>117</v>
      </c>
      <c r="C1210" s="16">
        <v>123</v>
      </c>
      <c r="D1210" s="16" t="s">
        <v>198</v>
      </c>
      <c r="E1210" s="17" t="s">
        <v>197</v>
      </c>
      <c r="F1210" s="24">
        <v>0</v>
      </c>
      <c r="G1210" s="19">
        <v>3</v>
      </c>
      <c r="H1210" s="19">
        <v>0</v>
      </c>
      <c r="I1210" s="19">
        <v>0</v>
      </c>
      <c r="T1210" s="19">
        <f>Registro[[#This Row],[Mes 1]]+Registro[[#This Row],[Mes 2]]+Registro[[#This Row],[Mes 3]]</f>
        <v>0</v>
      </c>
      <c r="U1210" s="19">
        <f>Registro[[#This Row],[Mes 4]]+Registro[[#This Row],[Mes 5]]+Registro[[#This Row],[Mes 6]]</f>
        <v>0</v>
      </c>
      <c r="V1210" s="19">
        <f>Registro[[#This Row],[Mes 7]]+Registro[[#This Row],[Mes 8]]+Registro[[#This Row],[Mes 9]]</f>
        <v>0</v>
      </c>
      <c r="W1210" s="20">
        <f>Registro[[#This Row],[Mes 10]]+Registro[[#This Row],[Mes 11]]+Registro[[#This Row],[Mes 12]]</f>
        <v>0</v>
      </c>
      <c r="X1210" s="20">
        <f>SUM(Registro[[#This Row],[Trim I]],Registro[[#This Row],[Trim II]],Registro[[#This Row],[Trim III]],Registro[[#This Row],[Trim IV]])</f>
        <v>0</v>
      </c>
      <c r="Y1210" s="22">
        <f>IFERROR((Registro[[#This Row],[Avance Total]]/Registro[[#This Row],[Meta]]),0)</f>
        <v>0</v>
      </c>
      <c r="Z1210" s="22">
        <f>IFERROR((Registro[[#This Row],[Avance Total]]-Registro[[#This Row],[Línea Base 2025]])/Registro[[#This Row],[Línea Base 2025]],0)</f>
        <v>0</v>
      </c>
      <c r="AA1210" s="20">
        <v>2026</v>
      </c>
    </row>
    <row r="1211" spans="1:27" hidden="1">
      <c r="A1211" s="14">
        <v>1094</v>
      </c>
      <c r="B1211" s="15" t="s">
        <v>118</v>
      </c>
      <c r="C1211" s="16">
        <v>111</v>
      </c>
      <c r="D1211" s="16" t="s">
        <v>171</v>
      </c>
      <c r="E1211" s="17" t="s">
        <v>172</v>
      </c>
      <c r="F1211" s="24">
        <v>55</v>
      </c>
      <c r="G1211" s="19">
        <v>240</v>
      </c>
      <c r="H1211" s="19">
        <v>6</v>
      </c>
      <c r="I1211" s="19">
        <v>2</v>
      </c>
      <c r="T1211" s="19">
        <f>Registro[[#This Row],[Mes 1]]+Registro[[#This Row],[Mes 2]]+Registro[[#This Row],[Mes 3]]</f>
        <v>8</v>
      </c>
      <c r="U1211" s="19">
        <f>Registro[[#This Row],[Mes 4]]+Registro[[#This Row],[Mes 5]]+Registro[[#This Row],[Mes 6]]</f>
        <v>0</v>
      </c>
      <c r="V1211" s="19">
        <f>Registro[[#This Row],[Mes 7]]+Registro[[#This Row],[Mes 8]]+Registro[[#This Row],[Mes 9]]</f>
        <v>0</v>
      </c>
      <c r="W1211" s="20">
        <f>Registro[[#This Row],[Mes 10]]+Registro[[#This Row],[Mes 11]]+Registro[[#This Row],[Mes 12]]</f>
        <v>0</v>
      </c>
      <c r="X1211" s="20">
        <f>SUM(Registro[[#This Row],[Trim I]],Registro[[#This Row],[Trim II]],Registro[[#This Row],[Trim III]],Registro[[#This Row],[Trim IV]])</f>
        <v>8</v>
      </c>
      <c r="Y1211" s="22">
        <f>IFERROR((Registro[[#This Row],[Avance Total]]/Registro[[#This Row],[Meta]]),0)</f>
        <v>3.3333333333333333E-2</v>
      </c>
      <c r="Z1211" s="22">
        <f>IFERROR((Registro[[#This Row],[Avance Total]]-Registro[[#This Row],[Línea Base 2025]])/Registro[[#This Row],[Línea Base 2025]],0)</f>
        <v>-0.8545454545454545</v>
      </c>
      <c r="AA1211" s="20">
        <v>2026</v>
      </c>
    </row>
    <row r="1212" spans="1:27" hidden="1">
      <c r="A1212" s="14">
        <v>1094</v>
      </c>
      <c r="B1212" s="15" t="s">
        <v>118</v>
      </c>
      <c r="C1212" s="16">
        <v>112</v>
      </c>
      <c r="D1212" s="16" t="s">
        <v>173</v>
      </c>
      <c r="E1212" s="17" t="s">
        <v>7</v>
      </c>
      <c r="F1212" s="24">
        <v>28</v>
      </c>
      <c r="G1212" s="19">
        <v>109</v>
      </c>
      <c r="H1212" s="19">
        <v>0</v>
      </c>
      <c r="I1212" s="19">
        <v>0</v>
      </c>
      <c r="T1212" s="19">
        <f>Registro[[#This Row],[Mes 1]]+Registro[[#This Row],[Mes 2]]+Registro[[#This Row],[Mes 3]]</f>
        <v>0</v>
      </c>
      <c r="U1212" s="19">
        <f>Registro[[#This Row],[Mes 4]]+Registro[[#This Row],[Mes 5]]+Registro[[#This Row],[Mes 6]]</f>
        <v>0</v>
      </c>
      <c r="V1212" s="19">
        <f>Registro[[#This Row],[Mes 7]]+Registro[[#This Row],[Mes 8]]+Registro[[#This Row],[Mes 9]]</f>
        <v>0</v>
      </c>
      <c r="W1212" s="20">
        <f>Registro[[#This Row],[Mes 10]]+Registro[[#This Row],[Mes 11]]+Registro[[#This Row],[Mes 12]]</f>
        <v>0</v>
      </c>
      <c r="X1212" s="20">
        <f>SUM(Registro[[#This Row],[Trim I]],Registro[[#This Row],[Trim II]],Registro[[#This Row],[Trim III]],Registro[[#This Row],[Trim IV]])</f>
        <v>0</v>
      </c>
      <c r="Y1212" s="22">
        <f>IFERROR((Registro[[#This Row],[Avance Total]]/Registro[[#This Row],[Meta]]),0)</f>
        <v>0</v>
      </c>
      <c r="Z1212" s="22">
        <f>IFERROR((Registro[[#This Row],[Avance Total]]-Registro[[#This Row],[Línea Base 2025]])/Registro[[#This Row],[Línea Base 2025]],0)</f>
        <v>-1</v>
      </c>
      <c r="AA1212" s="20">
        <v>2026</v>
      </c>
    </row>
    <row r="1213" spans="1:27" hidden="1">
      <c r="A1213" s="14">
        <v>1094</v>
      </c>
      <c r="B1213" s="15" t="s">
        <v>118</v>
      </c>
      <c r="C1213" s="16">
        <v>113</v>
      </c>
      <c r="D1213" s="16" t="s">
        <v>179</v>
      </c>
      <c r="E1213" s="17" t="s">
        <v>178</v>
      </c>
      <c r="F1213" s="24">
        <v>30</v>
      </c>
      <c r="G1213" s="19">
        <v>340</v>
      </c>
      <c r="H1213" s="19">
        <v>1</v>
      </c>
      <c r="I1213" s="19">
        <v>0</v>
      </c>
      <c r="T1213" s="19">
        <f>Registro[[#This Row],[Mes 1]]+Registro[[#This Row],[Mes 2]]+Registro[[#This Row],[Mes 3]]</f>
        <v>1</v>
      </c>
      <c r="U1213" s="19">
        <f>Registro[[#This Row],[Mes 4]]+Registro[[#This Row],[Mes 5]]+Registro[[#This Row],[Mes 6]]</f>
        <v>0</v>
      </c>
      <c r="V1213" s="19">
        <f>Registro[[#This Row],[Mes 7]]+Registro[[#This Row],[Mes 8]]+Registro[[#This Row],[Mes 9]]</f>
        <v>0</v>
      </c>
      <c r="W1213" s="20">
        <f>Registro[[#This Row],[Mes 10]]+Registro[[#This Row],[Mes 11]]+Registro[[#This Row],[Mes 12]]</f>
        <v>0</v>
      </c>
      <c r="X1213" s="20">
        <f>SUM(Registro[[#This Row],[Trim I]],Registro[[#This Row],[Trim II]],Registro[[#This Row],[Trim III]],Registro[[#This Row],[Trim IV]])</f>
        <v>1</v>
      </c>
      <c r="Y1213" s="22">
        <f>IFERROR((Registro[[#This Row],[Avance Total]]/Registro[[#This Row],[Meta]]),0)</f>
        <v>2.9411764705882353E-3</v>
      </c>
      <c r="Z1213" s="22">
        <f>IFERROR((Registro[[#This Row],[Avance Total]]-Registro[[#This Row],[Línea Base 2025]])/Registro[[#This Row],[Línea Base 2025]],0)</f>
        <v>-0.96666666666666667</v>
      </c>
      <c r="AA1213" s="20">
        <v>2026</v>
      </c>
    </row>
    <row r="1214" spans="1:27" hidden="1">
      <c r="A1214" s="14">
        <v>1094</v>
      </c>
      <c r="B1214" s="15" t="s">
        <v>118</v>
      </c>
      <c r="C1214" s="16">
        <v>114</v>
      </c>
      <c r="D1214" s="16" t="s">
        <v>181</v>
      </c>
      <c r="E1214" s="17" t="s">
        <v>180</v>
      </c>
      <c r="F1214" s="24">
        <v>12</v>
      </c>
      <c r="G1214" s="19">
        <v>15</v>
      </c>
      <c r="H1214" s="19">
        <v>7</v>
      </c>
      <c r="I1214" s="19">
        <v>0</v>
      </c>
      <c r="T1214" s="19">
        <f>Registro[[#This Row],[Mes 1]]+Registro[[#This Row],[Mes 2]]+Registro[[#This Row],[Mes 3]]</f>
        <v>7</v>
      </c>
      <c r="U1214" s="19">
        <f>Registro[[#This Row],[Mes 4]]+Registro[[#This Row],[Mes 5]]+Registro[[#This Row],[Mes 6]]</f>
        <v>0</v>
      </c>
      <c r="V1214" s="19">
        <f>Registro[[#This Row],[Mes 7]]+Registro[[#This Row],[Mes 8]]+Registro[[#This Row],[Mes 9]]</f>
        <v>0</v>
      </c>
      <c r="W1214" s="20">
        <f>Registro[[#This Row],[Mes 10]]+Registro[[#This Row],[Mes 11]]+Registro[[#This Row],[Mes 12]]</f>
        <v>0</v>
      </c>
      <c r="X1214" s="20">
        <f>SUM(Registro[[#This Row],[Trim I]],Registro[[#This Row],[Trim II]],Registro[[#This Row],[Trim III]],Registro[[#This Row],[Trim IV]])</f>
        <v>7</v>
      </c>
      <c r="Y1214" s="22">
        <f>IFERROR((Registro[[#This Row],[Avance Total]]/Registro[[#This Row],[Meta]]),0)</f>
        <v>0.46666666666666667</v>
      </c>
      <c r="Z1214" s="22">
        <f>IFERROR((Registro[[#This Row],[Avance Total]]-Registro[[#This Row],[Línea Base 2025]])/Registro[[#This Row],[Línea Base 2025]],0)</f>
        <v>-0.41666666666666669</v>
      </c>
      <c r="AA1214" s="20">
        <v>2026</v>
      </c>
    </row>
    <row r="1215" spans="1:27" hidden="1">
      <c r="A1215" s="14">
        <v>1094</v>
      </c>
      <c r="B1215" s="15" t="s">
        <v>118</v>
      </c>
      <c r="C1215" s="16">
        <v>115</v>
      </c>
      <c r="D1215" s="16" t="s">
        <v>183</v>
      </c>
      <c r="E1215" s="17" t="s">
        <v>182</v>
      </c>
      <c r="F1215" s="24">
        <v>0</v>
      </c>
      <c r="G1215" s="19">
        <v>8</v>
      </c>
      <c r="H1215" s="19">
        <v>0</v>
      </c>
      <c r="I1215" s="19">
        <v>0</v>
      </c>
      <c r="T1215" s="19">
        <f>Registro[[#This Row],[Mes 1]]+Registro[[#This Row],[Mes 2]]+Registro[[#This Row],[Mes 3]]</f>
        <v>0</v>
      </c>
      <c r="U1215" s="19">
        <f>Registro[[#This Row],[Mes 4]]+Registro[[#This Row],[Mes 5]]+Registro[[#This Row],[Mes 6]]</f>
        <v>0</v>
      </c>
      <c r="V1215" s="19">
        <f>Registro[[#This Row],[Mes 7]]+Registro[[#This Row],[Mes 8]]+Registro[[#This Row],[Mes 9]]</f>
        <v>0</v>
      </c>
      <c r="W1215" s="20">
        <f>Registro[[#This Row],[Mes 10]]+Registro[[#This Row],[Mes 11]]+Registro[[#This Row],[Mes 12]]</f>
        <v>0</v>
      </c>
      <c r="X1215" s="20">
        <f>SUM(Registro[[#This Row],[Trim I]],Registro[[#This Row],[Trim II]],Registro[[#This Row],[Trim III]],Registro[[#This Row],[Trim IV]])</f>
        <v>0</v>
      </c>
      <c r="Y1215" s="22">
        <f>IFERROR((Registro[[#This Row],[Avance Total]]/Registro[[#This Row],[Meta]]),0)</f>
        <v>0</v>
      </c>
      <c r="Z1215" s="22">
        <f>IFERROR((Registro[[#This Row],[Avance Total]]-Registro[[#This Row],[Línea Base 2025]])/Registro[[#This Row],[Línea Base 2025]],0)</f>
        <v>0</v>
      </c>
      <c r="AA1215" s="20">
        <v>2026</v>
      </c>
    </row>
    <row r="1216" spans="1:27">
      <c r="A1216" s="14">
        <v>1094</v>
      </c>
      <c r="B1216" s="15" t="s">
        <v>118</v>
      </c>
      <c r="C1216" s="16">
        <v>116</v>
      </c>
      <c r="D1216" s="16" t="s">
        <v>185</v>
      </c>
      <c r="E1216" s="17" t="s">
        <v>184</v>
      </c>
      <c r="F1216" s="24">
        <v>7</v>
      </c>
      <c r="G1216" s="19">
        <v>6</v>
      </c>
      <c r="H1216" s="19">
        <v>0</v>
      </c>
      <c r="I1216" s="19">
        <v>0</v>
      </c>
      <c r="T1216" s="19">
        <f>Registro[[#This Row],[Mes 1]]+Registro[[#This Row],[Mes 2]]+Registro[[#This Row],[Mes 3]]</f>
        <v>0</v>
      </c>
      <c r="U1216" s="19">
        <f>Registro[[#This Row],[Mes 4]]+Registro[[#This Row],[Mes 5]]+Registro[[#This Row],[Mes 6]]</f>
        <v>0</v>
      </c>
      <c r="V1216" s="19">
        <f>Registro[[#This Row],[Mes 7]]+Registro[[#This Row],[Mes 8]]+Registro[[#This Row],[Mes 9]]</f>
        <v>0</v>
      </c>
      <c r="W1216" s="20">
        <f>Registro[[#This Row],[Mes 10]]+Registro[[#This Row],[Mes 11]]+Registro[[#This Row],[Mes 12]]</f>
        <v>0</v>
      </c>
      <c r="X1216" s="20">
        <f>SUM(Registro[[#This Row],[Trim I]],Registro[[#This Row],[Trim II]],Registro[[#This Row],[Trim III]],Registro[[#This Row],[Trim IV]])</f>
        <v>0</v>
      </c>
      <c r="Y1216" s="22">
        <f>IFERROR((Registro[[#This Row],[Avance Total]]/Registro[[#This Row],[Meta]]),0)</f>
        <v>0</v>
      </c>
      <c r="Z1216" s="22">
        <f>IFERROR((Registro[[#This Row],[Avance Total]]-Registro[[#This Row],[Línea Base 2025]])/Registro[[#This Row],[Línea Base 2025]],0)</f>
        <v>-1</v>
      </c>
      <c r="AA1216" s="20">
        <v>2026</v>
      </c>
    </row>
    <row r="1217" spans="1:27" hidden="1">
      <c r="A1217" s="14">
        <v>1094</v>
      </c>
      <c r="B1217" s="15" t="s">
        <v>118</v>
      </c>
      <c r="C1217" s="16">
        <v>117</v>
      </c>
      <c r="D1217" s="16" t="s">
        <v>187</v>
      </c>
      <c r="E1217" s="17" t="s">
        <v>186</v>
      </c>
      <c r="F1217" s="24">
        <v>2</v>
      </c>
      <c r="G1217" s="19">
        <v>5</v>
      </c>
      <c r="H1217" s="19">
        <v>0</v>
      </c>
      <c r="I1217" s="19">
        <v>0</v>
      </c>
      <c r="T1217" s="19">
        <f>Registro[[#This Row],[Mes 1]]+Registro[[#This Row],[Mes 2]]+Registro[[#This Row],[Mes 3]]</f>
        <v>0</v>
      </c>
      <c r="U1217" s="19">
        <f>Registro[[#This Row],[Mes 4]]+Registro[[#This Row],[Mes 5]]+Registro[[#This Row],[Mes 6]]</f>
        <v>0</v>
      </c>
      <c r="V1217" s="19">
        <f>Registro[[#This Row],[Mes 7]]+Registro[[#This Row],[Mes 8]]+Registro[[#This Row],[Mes 9]]</f>
        <v>0</v>
      </c>
      <c r="W1217" s="20">
        <f>Registro[[#This Row],[Mes 10]]+Registro[[#This Row],[Mes 11]]+Registro[[#This Row],[Mes 12]]</f>
        <v>0</v>
      </c>
      <c r="X1217" s="20">
        <f>SUM(Registro[[#This Row],[Trim I]],Registro[[#This Row],[Trim II]],Registro[[#This Row],[Trim III]],Registro[[#This Row],[Trim IV]])</f>
        <v>0</v>
      </c>
      <c r="Y1217" s="22">
        <f>IFERROR((Registro[[#This Row],[Avance Total]]/Registro[[#This Row],[Meta]]),0)</f>
        <v>0</v>
      </c>
      <c r="Z1217" s="22">
        <f>IFERROR((Registro[[#This Row],[Avance Total]]-Registro[[#This Row],[Línea Base 2025]])/Registro[[#This Row],[Línea Base 2025]],0)</f>
        <v>-1</v>
      </c>
      <c r="AA1217" s="20">
        <v>2026</v>
      </c>
    </row>
    <row r="1218" spans="1:27" hidden="1">
      <c r="A1218" s="14">
        <v>1094</v>
      </c>
      <c r="B1218" s="15" t="s">
        <v>118</v>
      </c>
      <c r="C1218" s="16">
        <v>118</v>
      </c>
      <c r="D1218" s="16" t="s">
        <v>188</v>
      </c>
      <c r="E1218" s="17" t="s">
        <v>9</v>
      </c>
      <c r="F1218" s="24">
        <v>0</v>
      </c>
      <c r="G1218" s="19">
        <v>86</v>
      </c>
      <c r="H1218" s="19">
        <v>0</v>
      </c>
      <c r="I1218" s="19">
        <v>0</v>
      </c>
      <c r="T1218" s="19">
        <f>Registro[[#This Row],[Mes 1]]+Registro[[#This Row],[Mes 2]]+Registro[[#This Row],[Mes 3]]</f>
        <v>0</v>
      </c>
      <c r="U1218" s="19">
        <f>Registro[[#This Row],[Mes 4]]+Registro[[#This Row],[Mes 5]]+Registro[[#This Row],[Mes 6]]</f>
        <v>0</v>
      </c>
      <c r="V1218" s="19">
        <f>Registro[[#This Row],[Mes 7]]+Registro[[#This Row],[Mes 8]]+Registro[[#This Row],[Mes 9]]</f>
        <v>0</v>
      </c>
      <c r="W1218" s="20">
        <f>Registro[[#This Row],[Mes 10]]+Registro[[#This Row],[Mes 11]]+Registro[[#This Row],[Mes 12]]</f>
        <v>0</v>
      </c>
      <c r="X1218" s="20">
        <f>SUM(Registro[[#This Row],[Trim I]],Registro[[#This Row],[Trim II]],Registro[[#This Row],[Trim III]],Registro[[#This Row],[Trim IV]])</f>
        <v>0</v>
      </c>
      <c r="Y1218" s="22">
        <f>IFERROR((Registro[[#This Row],[Avance Total]]/Registro[[#This Row],[Meta]]),0)</f>
        <v>0</v>
      </c>
      <c r="Z1218" s="22">
        <f>IFERROR((Registro[[#This Row],[Avance Total]]-Registro[[#This Row],[Línea Base 2025]])/Registro[[#This Row],[Línea Base 2025]],0)</f>
        <v>0</v>
      </c>
      <c r="AA1218" s="20">
        <v>2026</v>
      </c>
    </row>
    <row r="1219" spans="1:27" hidden="1">
      <c r="A1219" s="14">
        <v>1094</v>
      </c>
      <c r="B1219" s="15" t="s">
        <v>118</v>
      </c>
      <c r="C1219" s="16">
        <v>119</v>
      </c>
      <c r="D1219" s="16" t="s">
        <v>190</v>
      </c>
      <c r="E1219" s="17" t="s">
        <v>189</v>
      </c>
      <c r="F1219" s="24">
        <v>0</v>
      </c>
      <c r="G1219" s="19">
        <v>4</v>
      </c>
      <c r="H1219" s="19">
        <v>0</v>
      </c>
      <c r="I1219" s="19">
        <v>0</v>
      </c>
      <c r="T1219" s="19">
        <f>Registro[[#This Row],[Mes 1]]+Registro[[#This Row],[Mes 2]]+Registro[[#This Row],[Mes 3]]</f>
        <v>0</v>
      </c>
      <c r="U1219" s="19">
        <f>Registro[[#This Row],[Mes 4]]+Registro[[#This Row],[Mes 5]]+Registro[[#This Row],[Mes 6]]</f>
        <v>0</v>
      </c>
      <c r="V1219" s="19">
        <f>Registro[[#This Row],[Mes 7]]+Registro[[#This Row],[Mes 8]]+Registro[[#This Row],[Mes 9]]</f>
        <v>0</v>
      </c>
      <c r="W1219" s="20">
        <f>Registro[[#This Row],[Mes 10]]+Registro[[#This Row],[Mes 11]]+Registro[[#This Row],[Mes 12]]</f>
        <v>0</v>
      </c>
      <c r="X1219" s="20">
        <f>SUM(Registro[[#This Row],[Trim I]],Registro[[#This Row],[Trim II]],Registro[[#This Row],[Trim III]],Registro[[#This Row],[Trim IV]])</f>
        <v>0</v>
      </c>
      <c r="Y1219" s="22">
        <f>IFERROR((Registro[[#This Row],[Avance Total]]/Registro[[#This Row],[Meta]]),0)</f>
        <v>0</v>
      </c>
      <c r="Z1219" s="22">
        <f>IFERROR((Registro[[#This Row],[Avance Total]]-Registro[[#This Row],[Línea Base 2025]])/Registro[[#This Row],[Línea Base 2025]],0)</f>
        <v>0</v>
      </c>
      <c r="AA1219" s="20">
        <v>2026</v>
      </c>
    </row>
    <row r="1220" spans="1:27" hidden="1">
      <c r="A1220" s="14">
        <v>1094</v>
      </c>
      <c r="B1220" s="15" t="s">
        <v>118</v>
      </c>
      <c r="C1220" s="16">
        <v>120</v>
      </c>
      <c r="D1220" s="16" t="s">
        <v>192</v>
      </c>
      <c r="E1220" s="17" t="s">
        <v>191</v>
      </c>
      <c r="F1220" s="24">
        <v>12</v>
      </c>
      <c r="G1220" s="19">
        <v>21</v>
      </c>
      <c r="H1220" s="19">
        <v>0</v>
      </c>
      <c r="I1220" s="19">
        <v>0</v>
      </c>
      <c r="T1220" s="19">
        <f>Registro[[#This Row],[Mes 1]]+Registro[[#This Row],[Mes 2]]+Registro[[#This Row],[Mes 3]]</f>
        <v>0</v>
      </c>
      <c r="U1220" s="19">
        <f>Registro[[#This Row],[Mes 4]]+Registro[[#This Row],[Mes 5]]+Registro[[#This Row],[Mes 6]]</f>
        <v>0</v>
      </c>
      <c r="V1220" s="19">
        <f>Registro[[#This Row],[Mes 7]]+Registro[[#This Row],[Mes 8]]+Registro[[#This Row],[Mes 9]]</f>
        <v>0</v>
      </c>
      <c r="W1220" s="20">
        <f>Registro[[#This Row],[Mes 10]]+Registro[[#This Row],[Mes 11]]+Registro[[#This Row],[Mes 12]]</f>
        <v>0</v>
      </c>
      <c r="X1220" s="20">
        <f>SUM(Registro[[#This Row],[Trim I]],Registro[[#This Row],[Trim II]],Registro[[#This Row],[Trim III]],Registro[[#This Row],[Trim IV]])</f>
        <v>0</v>
      </c>
      <c r="Y1220" s="22">
        <f>IFERROR((Registro[[#This Row],[Avance Total]]/Registro[[#This Row],[Meta]]),0)</f>
        <v>0</v>
      </c>
      <c r="Z1220" s="22">
        <f>IFERROR((Registro[[#This Row],[Avance Total]]-Registro[[#This Row],[Línea Base 2025]])/Registro[[#This Row],[Línea Base 2025]],0)</f>
        <v>-1</v>
      </c>
      <c r="AA1220" s="20">
        <v>2026</v>
      </c>
    </row>
    <row r="1221" spans="1:27" hidden="1">
      <c r="A1221" s="14">
        <v>1094</v>
      </c>
      <c r="B1221" s="15" t="s">
        <v>118</v>
      </c>
      <c r="C1221" s="16">
        <v>121</v>
      </c>
      <c r="D1221" s="16" t="s">
        <v>194</v>
      </c>
      <c r="E1221" s="17" t="s">
        <v>193</v>
      </c>
      <c r="F1221" s="24">
        <v>1</v>
      </c>
      <c r="G1221" s="19">
        <v>8</v>
      </c>
      <c r="H1221" s="19">
        <v>0</v>
      </c>
      <c r="I1221" s="19">
        <v>0</v>
      </c>
      <c r="T1221" s="19">
        <f>Registro[[#This Row],[Mes 1]]+Registro[[#This Row],[Mes 2]]+Registro[[#This Row],[Mes 3]]</f>
        <v>0</v>
      </c>
      <c r="U1221" s="19">
        <f>Registro[[#This Row],[Mes 4]]+Registro[[#This Row],[Mes 5]]+Registro[[#This Row],[Mes 6]]</f>
        <v>0</v>
      </c>
      <c r="V1221" s="19">
        <f>Registro[[#This Row],[Mes 7]]+Registro[[#This Row],[Mes 8]]+Registro[[#This Row],[Mes 9]]</f>
        <v>0</v>
      </c>
      <c r="W1221" s="20">
        <f>Registro[[#This Row],[Mes 10]]+Registro[[#This Row],[Mes 11]]+Registro[[#This Row],[Mes 12]]</f>
        <v>0</v>
      </c>
      <c r="X1221" s="20">
        <f>SUM(Registro[[#This Row],[Trim I]],Registro[[#This Row],[Trim II]],Registro[[#This Row],[Trim III]],Registro[[#This Row],[Trim IV]])</f>
        <v>0</v>
      </c>
      <c r="Y1221" s="22">
        <f>IFERROR((Registro[[#This Row],[Avance Total]]/Registro[[#This Row],[Meta]]),0)</f>
        <v>0</v>
      </c>
      <c r="Z1221" s="22">
        <f>IFERROR((Registro[[#This Row],[Avance Total]]-Registro[[#This Row],[Línea Base 2025]])/Registro[[#This Row],[Línea Base 2025]],0)</f>
        <v>-1</v>
      </c>
      <c r="AA1221" s="20">
        <v>2026</v>
      </c>
    </row>
    <row r="1222" spans="1:27" hidden="1">
      <c r="A1222" s="14">
        <v>1094</v>
      </c>
      <c r="B1222" s="15" t="s">
        <v>118</v>
      </c>
      <c r="C1222" s="16">
        <v>122</v>
      </c>
      <c r="D1222" s="16" t="s">
        <v>196</v>
      </c>
      <c r="E1222" s="17" t="s">
        <v>195</v>
      </c>
      <c r="F1222" s="24">
        <v>1</v>
      </c>
      <c r="G1222" s="19">
        <v>10</v>
      </c>
      <c r="H1222" s="19">
        <v>0</v>
      </c>
      <c r="I1222" s="19">
        <v>0</v>
      </c>
      <c r="T1222" s="19">
        <f>Registro[[#This Row],[Mes 1]]+Registro[[#This Row],[Mes 2]]+Registro[[#This Row],[Mes 3]]</f>
        <v>0</v>
      </c>
      <c r="U1222" s="19">
        <f>Registro[[#This Row],[Mes 4]]+Registro[[#This Row],[Mes 5]]+Registro[[#This Row],[Mes 6]]</f>
        <v>0</v>
      </c>
      <c r="V1222" s="19">
        <f>Registro[[#This Row],[Mes 7]]+Registro[[#This Row],[Mes 8]]+Registro[[#This Row],[Mes 9]]</f>
        <v>0</v>
      </c>
      <c r="W1222" s="20">
        <f>Registro[[#This Row],[Mes 10]]+Registro[[#This Row],[Mes 11]]+Registro[[#This Row],[Mes 12]]</f>
        <v>0</v>
      </c>
      <c r="X1222" s="20">
        <f>SUM(Registro[[#This Row],[Trim I]],Registro[[#This Row],[Trim II]],Registro[[#This Row],[Trim III]],Registro[[#This Row],[Trim IV]])</f>
        <v>0</v>
      </c>
      <c r="Y1222" s="22">
        <f>IFERROR((Registro[[#This Row],[Avance Total]]/Registro[[#This Row],[Meta]]),0)</f>
        <v>0</v>
      </c>
      <c r="Z1222" s="22">
        <f>IFERROR((Registro[[#This Row],[Avance Total]]-Registro[[#This Row],[Línea Base 2025]])/Registro[[#This Row],[Línea Base 2025]],0)</f>
        <v>-1</v>
      </c>
      <c r="AA1222" s="20">
        <v>2026</v>
      </c>
    </row>
    <row r="1223" spans="1:27" hidden="1">
      <c r="A1223" s="14">
        <v>1094</v>
      </c>
      <c r="B1223" s="15" t="s">
        <v>118</v>
      </c>
      <c r="C1223" s="16">
        <v>123</v>
      </c>
      <c r="D1223" s="16" t="s">
        <v>198</v>
      </c>
      <c r="E1223" s="17" t="s">
        <v>197</v>
      </c>
      <c r="F1223" s="24">
        <v>0</v>
      </c>
      <c r="G1223" s="19">
        <v>4</v>
      </c>
      <c r="H1223" s="19">
        <v>0</v>
      </c>
      <c r="I1223" s="19">
        <v>0</v>
      </c>
      <c r="T1223" s="19">
        <f>Registro[[#This Row],[Mes 1]]+Registro[[#This Row],[Mes 2]]+Registro[[#This Row],[Mes 3]]</f>
        <v>0</v>
      </c>
      <c r="U1223" s="19">
        <f>Registro[[#This Row],[Mes 4]]+Registro[[#This Row],[Mes 5]]+Registro[[#This Row],[Mes 6]]</f>
        <v>0</v>
      </c>
      <c r="V1223" s="19">
        <f>Registro[[#This Row],[Mes 7]]+Registro[[#This Row],[Mes 8]]+Registro[[#This Row],[Mes 9]]</f>
        <v>0</v>
      </c>
      <c r="W1223" s="20">
        <f>Registro[[#This Row],[Mes 10]]+Registro[[#This Row],[Mes 11]]+Registro[[#This Row],[Mes 12]]</f>
        <v>0</v>
      </c>
      <c r="X1223" s="20">
        <f>SUM(Registro[[#This Row],[Trim I]],Registro[[#This Row],[Trim II]],Registro[[#This Row],[Trim III]],Registro[[#This Row],[Trim IV]])</f>
        <v>0</v>
      </c>
      <c r="Y1223" s="22">
        <f>IFERROR((Registro[[#This Row],[Avance Total]]/Registro[[#This Row],[Meta]]),0)</f>
        <v>0</v>
      </c>
      <c r="Z1223" s="22">
        <f>IFERROR((Registro[[#This Row],[Avance Total]]-Registro[[#This Row],[Línea Base 2025]])/Registro[[#This Row],[Línea Base 2025]],0)</f>
        <v>0</v>
      </c>
      <c r="AA1223" s="20">
        <v>2026</v>
      </c>
    </row>
    <row r="1224" spans="1:27" hidden="1">
      <c r="A1224" s="14">
        <v>1095</v>
      </c>
      <c r="B1224" s="15" t="s">
        <v>13</v>
      </c>
      <c r="C1224" s="16">
        <v>111</v>
      </c>
      <c r="D1224" s="16" t="s">
        <v>171</v>
      </c>
      <c r="E1224" s="17" t="s">
        <v>172</v>
      </c>
      <c r="F1224" s="24">
        <v>6</v>
      </c>
      <c r="G1224" s="19">
        <v>690</v>
      </c>
      <c r="H1224" s="19">
        <v>1</v>
      </c>
      <c r="I1224" s="19">
        <v>5</v>
      </c>
      <c r="T1224" s="19">
        <f>Registro[[#This Row],[Mes 1]]+Registro[[#This Row],[Mes 2]]+Registro[[#This Row],[Mes 3]]</f>
        <v>6</v>
      </c>
      <c r="U1224" s="19">
        <f>Registro[[#This Row],[Mes 4]]+Registro[[#This Row],[Mes 5]]+Registro[[#This Row],[Mes 6]]</f>
        <v>0</v>
      </c>
      <c r="V1224" s="19">
        <f>Registro[[#This Row],[Mes 7]]+Registro[[#This Row],[Mes 8]]+Registro[[#This Row],[Mes 9]]</f>
        <v>0</v>
      </c>
      <c r="W1224" s="20">
        <f>Registro[[#This Row],[Mes 10]]+Registro[[#This Row],[Mes 11]]+Registro[[#This Row],[Mes 12]]</f>
        <v>0</v>
      </c>
      <c r="X1224" s="20">
        <f>SUM(Registro[[#This Row],[Trim I]],Registro[[#This Row],[Trim II]],Registro[[#This Row],[Trim III]],Registro[[#This Row],[Trim IV]])</f>
        <v>6</v>
      </c>
      <c r="Y1224" s="22">
        <f>IFERROR((Registro[[#This Row],[Avance Total]]/Registro[[#This Row],[Meta]]),0)</f>
        <v>8.6956521739130436E-3</v>
      </c>
      <c r="Z1224" s="22">
        <f>IFERROR((Registro[[#This Row],[Avance Total]]-Registro[[#This Row],[Línea Base 2025]])/Registro[[#This Row],[Línea Base 2025]],0)</f>
        <v>0</v>
      </c>
      <c r="AA1224" s="20">
        <v>2026</v>
      </c>
    </row>
    <row r="1225" spans="1:27" hidden="1">
      <c r="A1225" s="14">
        <v>1095</v>
      </c>
      <c r="B1225" s="15" t="s">
        <v>13</v>
      </c>
      <c r="C1225" s="16">
        <v>112</v>
      </c>
      <c r="D1225" s="16" t="s">
        <v>173</v>
      </c>
      <c r="E1225" s="17" t="s">
        <v>7</v>
      </c>
      <c r="F1225" s="24">
        <v>1</v>
      </c>
      <c r="G1225" s="19">
        <v>9</v>
      </c>
      <c r="H1225" s="19">
        <v>0</v>
      </c>
      <c r="I1225" s="19">
        <v>0</v>
      </c>
      <c r="T1225" s="19">
        <f>Registro[[#This Row],[Mes 1]]+Registro[[#This Row],[Mes 2]]+Registro[[#This Row],[Mes 3]]</f>
        <v>0</v>
      </c>
      <c r="U1225" s="19">
        <f>Registro[[#This Row],[Mes 4]]+Registro[[#This Row],[Mes 5]]+Registro[[#This Row],[Mes 6]]</f>
        <v>0</v>
      </c>
      <c r="V1225" s="19">
        <f>Registro[[#This Row],[Mes 7]]+Registro[[#This Row],[Mes 8]]+Registro[[#This Row],[Mes 9]]</f>
        <v>0</v>
      </c>
      <c r="W1225" s="20">
        <f>Registro[[#This Row],[Mes 10]]+Registro[[#This Row],[Mes 11]]+Registro[[#This Row],[Mes 12]]</f>
        <v>0</v>
      </c>
      <c r="X1225" s="20">
        <f>SUM(Registro[[#This Row],[Trim I]],Registro[[#This Row],[Trim II]],Registro[[#This Row],[Trim III]],Registro[[#This Row],[Trim IV]])</f>
        <v>0</v>
      </c>
      <c r="Y1225" s="22">
        <f>IFERROR((Registro[[#This Row],[Avance Total]]/Registro[[#This Row],[Meta]]),0)</f>
        <v>0</v>
      </c>
      <c r="Z1225" s="22">
        <f>IFERROR((Registro[[#This Row],[Avance Total]]-Registro[[#This Row],[Línea Base 2025]])/Registro[[#This Row],[Línea Base 2025]],0)</f>
        <v>-1</v>
      </c>
      <c r="AA1225" s="20">
        <v>2026</v>
      </c>
    </row>
    <row r="1226" spans="1:27" hidden="1">
      <c r="A1226" s="14">
        <v>1095</v>
      </c>
      <c r="B1226" s="15" t="s">
        <v>13</v>
      </c>
      <c r="C1226" s="16">
        <v>113</v>
      </c>
      <c r="D1226" s="16" t="s">
        <v>179</v>
      </c>
      <c r="E1226" s="17" t="s">
        <v>178</v>
      </c>
      <c r="F1226" s="24">
        <v>49</v>
      </c>
      <c r="G1226" s="19">
        <v>363</v>
      </c>
      <c r="H1226" s="19">
        <v>1</v>
      </c>
      <c r="I1226" s="19">
        <v>0</v>
      </c>
      <c r="T1226" s="19">
        <f>Registro[[#This Row],[Mes 1]]+Registro[[#This Row],[Mes 2]]+Registro[[#This Row],[Mes 3]]</f>
        <v>1</v>
      </c>
      <c r="U1226" s="19">
        <f>Registro[[#This Row],[Mes 4]]+Registro[[#This Row],[Mes 5]]+Registro[[#This Row],[Mes 6]]</f>
        <v>0</v>
      </c>
      <c r="V1226" s="19">
        <f>Registro[[#This Row],[Mes 7]]+Registro[[#This Row],[Mes 8]]+Registro[[#This Row],[Mes 9]]</f>
        <v>0</v>
      </c>
      <c r="W1226" s="20">
        <f>Registro[[#This Row],[Mes 10]]+Registro[[#This Row],[Mes 11]]+Registro[[#This Row],[Mes 12]]</f>
        <v>0</v>
      </c>
      <c r="X1226" s="20">
        <f>SUM(Registro[[#This Row],[Trim I]],Registro[[#This Row],[Trim II]],Registro[[#This Row],[Trim III]],Registro[[#This Row],[Trim IV]])</f>
        <v>1</v>
      </c>
      <c r="Y1226" s="22">
        <f>IFERROR((Registro[[#This Row],[Avance Total]]/Registro[[#This Row],[Meta]]),0)</f>
        <v>2.7548209366391185E-3</v>
      </c>
      <c r="Z1226" s="22">
        <f>IFERROR((Registro[[#This Row],[Avance Total]]-Registro[[#This Row],[Línea Base 2025]])/Registro[[#This Row],[Línea Base 2025]],0)</f>
        <v>-0.97959183673469385</v>
      </c>
      <c r="AA1226" s="20">
        <v>2026</v>
      </c>
    </row>
    <row r="1227" spans="1:27" hidden="1">
      <c r="A1227" s="14">
        <v>1095</v>
      </c>
      <c r="B1227" s="15" t="s">
        <v>13</v>
      </c>
      <c r="C1227" s="16">
        <v>114</v>
      </c>
      <c r="D1227" s="16" t="s">
        <v>181</v>
      </c>
      <c r="E1227" s="17" t="s">
        <v>180</v>
      </c>
      <c r="F1227" s="24">
        <v>0</v>
      </c>
      <c r="G1227" s="19">
        <v>0</v>
      </c>
      <c r="H1227" s="19">
        <v>1</v>
      </c>
      <c r="I1227" s="19">
        <v>0</v>
      </c>
      <c r="T1227" s="19">
        <f>Registro[[#This Row],[Mes 1]]+Registro[[#This Row],[Mes 2]]+Registro[[#This Row],[Mes 3]]</f>
        <v>1</v>
      </c>
      <c r="U1227" s="19">
        <f>Registro[[#This Row],[Mes 4]]+Registro[[#This Row],[Mes 5]]+Registro[[#This Row],[Mes 6]]</f>
        <v>0</v>
      </c>
      <c r="V1227" s="19">
        <f>Registro[[#This Row],[Mes 7]]+Registro[[#This Row],[Mes 8]]+Registro[[#This Row],[Mes 9]]</f>
        <v>0</v>
      </c>
      <c r="W1227" s="20">
        <f>Registro[[#This Row],[Mes 10]]+Registro[[#This Row],[Mes 11]]+Registro[[#This Row],[Mes 12]]</f>
        <v>0</v>
      </c>
      <c r="X1227" s="20">
        <f>SUM(Registro[[#This Row],[Trim I]],Registro[[#This Row],[Trim II]],Registro[[#This Row],[Trim III]],Registro[[#This Row],[Trim IV]])</f>
        <v>1</v>
      </c>
      <c r="Y1227" s="22">
        <f>IFERROR((Registro[[#This Row],[Avance Total]]/Registro[[#This Row],[Meta]]),0)</f>
        <v>0</v>
      </c>
      <c r="Z1227" s="22">
        <f>IFERROR((Registro[[#This Row],[Avance Total]]-Registro[[#This Row],[Línea Base 2025]])/Registro[[#This Row],[Línea Base 2025]],0)</f>
        <v>0</v>
      </c>
      <c r="AA1227" s="20">
        <v>2026</v>
      </c>
    </row>
    <row r="1228" spans="1:27" hidden="1">
      <c r="A1228" s="14">
        <v>1095</v>
      </c>
      <c r="B1228" s="15" t="s">
        <v>13</v>
      </c>
      <c r="C1228" s="16">
        <v>115</v>
      </c>
      <c r="D1228" s="16" t="s">
        <v>183</v>
      </c>
      <c r="E1228" s="17" t="s">
        <v>182</v>
      </c>
      <c r="F1228" s="24">
        <v>0</v>
      </c>
      <c r="G1228" s="19">
        <v>0</v>
      </c>
      <c r="H1228" s="19">
        <v>0</v>
      </c>
      <c r="I1228" s="19">
        <v>0</v>
      </c>
      <c r="T1228" s="19">
        <f>Registro[[#This Row],[Mes 1]]+Registro[[#This Row],[Mes 2]]+Registro[[#This Row],[Mes 3]]</f>
        <v>0</v>
      </c>
      <c r="U1228" s="19">
        <f>Registro[[#This Row],[Mes 4]]+Registro[[#This Row],[Mes 5]]+Registro[[#This Row],[Mes 6]]</f>
        <v>0</v>
      </c>
      <c r="V1228" s="19">
        <f>Registro[[#This Row],[Mes 7]]+Registro[[#This Row],[Mes 8]]+Registro[[#This Row],[Mes 9]]</f>
        <v>0</v>
      </c>
      <c r="W1228" s="20">
        <f>Registro[[#This Row],[Mes 10]]+Registro[[#This Row],[Mes 11]]+Registro[[#This Row],[Mes 12]]</f>
        <v>0</v>
      </c>
      <c r="X1228" s="20">
        <f>SUM(Registro[[#This Row],[Trim I]],Registro[[#This Row],[Trim II]],Registro[[#This Row],[Trim III]],Registro[[#This Row],[Trim IV]])</f>
        <v>0</v>
      </c>
      <c r="Y1228" s="22">
        <f>IFERROR((Registro[[#This Row],[Avance Total]]/Registro[[#This Row],[Meta]]),0)</f>
        <v>0</v>
      </c>
      <c r="Z1228" s="22">
        <f>IFERROR((Registro[[#This Row],[Avance Total]]-Registro[[#This Row],[Línea Base 2025]])/Registro[[#This Row],[Línea Base 2025]],0)</f>
        <v>0</v>
      </c>
      <c r="AA1228" s="20">
        <v>2026</v>
      </c>
    </row>
    <row r="1229" spans="1:27">
      <c r="A1229" s="14">
        <v>1095</v>
      </c>
      <c r="B1229" s="15" t="s">
        <v>13</v>
      </c>
      <c r="C1229" s="16">
        <v>116</v>
      </c>
      <c r="D1229" s="16" t="s">
        <v>185</v>
      </c>
      <c r="E1229" s="17" t="s">
        <v>184</v>
      </c>
      <c r="F1229" s="24">
        <v>3</v>
      </c>
      <c r="G1229" s="19">
        <v>2</v>
      </c>
      <c r="H1229" s="19">
        <v>0</v>
      </c>
      <c r="I1229" s="19">
        <v>0</v>
      </c>
      <c r="T1229" s="19">
        <f>Registro[[#This Row],[Mes 1]]+Registro[[#This Row],[Mes 2]]+Registro[[#This Row],[Mes 3]]</f>
        <v>0</v>
      </c>
      <c r="U1229" s="19">
        <f>Registro[[#This Row],[Mes 4]]+Registro[[#This Row],[Mes 5]]+Registro[[#This Row],[Mes 6]]</f>
        <v>0</v>
      </c>
      <c r="V1229" s="19">
        <f>Registro[[#This Row],[Mes 7]]+Registro[[#This Row],[Mes 8]]+Registro[[#This Row],[Mes 9]]</f>
        <v>0</v>
      </c>
      <c r="W1229" s="20">
        <f>Registro[[#This Row],[Mes 10]]+Registro[[#This Row],[Mes 11]]+Registro[[#This Row],[Mes 12]]</f>
        <v>0</v>
      </c>
      <c r="X1229" s="20">
        <f>SUM(Registro[[#This Row],[Trim I]],Registro[[#This Row],[Trim II]],Registro[[#This Row],[Trim III]],Registro[[#This Row],[Trim IV]])</f>
        <v>0</v>
      </c>
      <c r="Y1229" s="22">
        <f>IFERROR((Registro[[#This Row],[Avance Total]]/Registro[[#This Row],[Meta]]),0)</f>
        <v>0</v>
      </c>
      <c r="Z1229" s="22">
        <f>IFERROR((Registro[[#This Row],[Avance Total]]-Registro[[#This Row],[Línea Base 2025]])/Registro[[#This Row],[Línea Base 2025]],0)</f>
        <v>-1</v>
      </c>
      <c r="AA1229" s="20">
        <v>2026</v>
      </c>
    </row>
    <row r="1230" spans="1:27" hidden="1">
      <c r="A1230" s="14">
        <v>1095</v>
      </c>
      <c r="B1230" s="15" t="s">
        <v>13</v>
      </c>
      <c r="C1230" s="16">
        <v>117</v>
      </c>
      <c r="D1230" s="16" t="s">
        <v>187</v>
      </c>
      <c r="E1230" s="17" t="s">
        <v>186</v>
      </c>
      <c r="F1230" s="24">
        <v>0</v>
      </c>
      <c r="G1230" s="19">
        <v>0</v>
      </c>
      <c r="H1230" s="19">
        <v>0</v>
      </c>
      <c r="I1230" s="19">
        <v>0</v>
      </c>
      <c r="T1230" s="19">
        <f>Registro[[#This Row],[Mes 1]]+Registro[[#This Row],[Mes 2]]+Registro[[#This Row],[Mes 3]]</f>
        <v>0</v>
      </c>
      <c r="U1230" s="19">
        <f>Registro[[#This Row],[Mes 4]]+Registro[[#This Row],[Mes 5]]+Registro[[#This Row],[Mes 6]]</f>
        <v>0</v>
      </c>
      <c r="V1230" s="19">
        <f>Registro[[#This Row],[Mes 7]]+Registro[[#This Row],[Mes 8]]+Registro[[#This Row],[Mes 9]]</f>
        <v>0</v>
      </c>
      <c r="W1230" s="20">
        <f>Registro[[#This Row],[Mes 10]]+Registro[[#This Row],[Mes 11]]+Registro[[#This Row],[Mes 12]]</f>
        <v>0</v>
      </c>
      <c r="X1230" s="20">
        <f>SUM(Registro[[#This Row],[Trim I]],Registro[[#This Row],[Trim II]],Registro[[#This Row],[Trim III]],Registro[[#This Row],[Trim IV]])</f>
        <v>0</v>
      </c>
      <c r="Y1230" s="22">
        <f>IFERROR((Registro[[#This Row],[Avance Total]]/Registro[[#This Row],[Meta]]),0)</f>
        <v>0</v>
      </c>
      <c r="Z1230" s="22">
        <f>IFERROR((Registro[[#This Row],[Avance Total]]-Registro[[#This Row],[Línea Base 2025]])/Registro[[#This Row],[Línea Base 2025]],0)</f>
        <v>0</v>
      </c>
      <c r="AA1230" s="20">
        <v>2026</v>
      </c>
    </row>
    <row r="1231" spans="1:27" hidden="1">
      <c r="A1231" s="14">
        <v>1095</v>
      </c>
      <c r="B1231" s="15" t="s">
        <v>13</v>
      </c>
      <c r="C1231" s="16">
        <v>118</v>
      </c>
      <c r="D1231" s="16" t="s">
        <v>188</v>
      </c>
      <c r="E1231" s="17" t="s">
        <v>9</v>
      </c>
      <c r="F1231" s="24">
        <v>0</v>
      </c>
      <c r="G1231" s="19">
        <v>0</v>
      </c>
      <c r="H1231" s="19">
        <v>0</v>
      </c>
      <c r="I1231" s="19">
        <v>0</v>
      </c>
      <c r="T1231" s="19">
        <f>Registro[[#This Row],[Mes 1]]+Registro[[#This Row],[Mes 2]]+Registro[[#This Row],[Mes 3]]</f>
        <v>0</v>
      </c>
      <c r="U1231" s="19">
        <f>Registro[[#This Row],[Mes 4]]+Registro[[#This Row],[Mes 5]]+Registro[[#This Row],[Mes 6]]</f>
        <v>0</v>
      </c>
      <c r="V1231" s="19">
        <f>Registro[[#This Row],[Mes 7]]+Registro[[#This Row],[Mes 8]]+Registro[[#This Row],[Mes 9]]</f>
        <v>0</v>
      </c>
      <c r="W1231" s="20">
        <f>Registro[[#This Row],[Mes 10]]+Registro[[#This Row],[Mes 11]]+Registro[[#This Row],[Mes 12]]</f>
        <v>0</v>
      </c>
      <c r="X1231" s="20">
        <f>SUM(Registro[[#This Row],[Trim I]],Registro[[#This Row],[Trim II]],Registro[[#This Row],[Trim III]],Registro[[#This Row],[Trim IV]])</f>
        <v>0</v>
      </c>
      <c r="Y1231" s="22">
        <f>IFERROR((Registro[[#This Row],[Avance Total]]/Registro[[#This Row],[Meta]]),0)</f>
        <v>0</v>
      </c>
      <c r="Z1231" s="22">
        <f>IFERROR((Registro[[#This Row],[Avance Total]]-Registro[[#This Row],[Línea Base 2025]])/Registro[[#This Row],[Línea Base 2025]],0)</f>
        <v>0</v>
      </c>
      <c r="AA1231" s="20">
        <v>2026</v>
      </c>
    </row>
    <row r="1232" spans="1:27" hidden="1">
      <c r="A1232" s="14">
        <v>1095</v>
      </c>
      <c r="B1232" s="15" t="s">
        <v>13</v>
      </c>
      <c r="C1232" s="16">
        <v>119</v>
      </c>
      <c r="D1232" s="16" t="s">
        <v>190</v>
      </c>
      <c r="E1232" s="17" t="s">
        <v>189</v>
      </c>
      <c r="F1232" s="24">
        <v>0</v>
      </c>
      <c r="G1232" s="19">
        <v>2</v>
      </c>
      <c r="H1232" s="19">
        <v>0</v>
      </c>
      <c r="I1232" s="19">
        <v>0</v>
      </c>
      <c r="T1232" s="19">
        <f>Registro[[#This Row],[Mes 1]]+Registro[[#This Row],[Mes 2]]+Registro[[#This Row],[Mes 3]]</f>
        <v>0</v>
      </c>
      <c r="U1232" s="19">
        <f>Registro[[#This Row],[Mes 4]]+Registro[[#This Row],[Mes 5]]+Registro[[#This Row],[Mes 6]]</f>
        <v>0</v>
      </c>
      <c r="V1232" s="19">
        <f>Registro[[#This Row],[Mes 7]]+Registro[[#This Row],[Mes 8]]+Registro[[#This Row],[Mes 9]]</f>
        <v>0</v>
      </c>
      <c r="W1232" s="20">
        <f>Registro[[#This Row],[Mes 10]]+Registro[[#This Row],[Mes 11]]+Registro[[#This Row],[Mes 12]]</f>
        <v>0</v>
      </c>
      <c r="X1232" s="20">
        <f>SUM(Registro[[#This Row],[Trim I]],Registro[[#This Row],[Trim II]],Registro[[#This Row],[Trim III]],Registro[[#This Row],[Trim IV]])</f>
        <v>0</v>
      </c>
      <c r="Y1232" s="22">
        <f>IFERROR((Registro[[#This Row],[Avance Total]]/Registro[[#This Row],[Meta]]),0)</f>
        <v>0</v>
      </c>
      <c r="Z1232" s="22">
        <f>IFERROR((Registro[[#This Row],[Avance Total]]-Registro[[#This Row],[Línea Base 2025]])/Registro[[#This Row],[Línea Base 2025]],0)</f>
        <v>0</v>
      </c>
      <c r="AA1232" s="20">
        <v>2026</v>
      </c>
    </row>
    <row r="1233" spans="1:27" hidden="1">
      <c r="A1233" s="14">
        <v>1095</v>
      </c>
      <c r="B1233" s="15" t="s">
        <v>13</v>
      </c>
      <c r="C1233" s="16">
        <v>120</v>
      </c>
      <c r="D1233" s="16" t="s">
        <v>192</v>
      </c>
      <c r="E1233" s="17" t="s">
        <v>191</v>
      </c>
      <c r="F1233" s="24">
        <v>0</v>
      </c>
      <c r="G1233" s="19">
        <v>0</v>
      </c>
      <c r="H1233" s="19">
        <v>0</v>
      </c>
      <c r="I1233" s="19">
        <v>0</v>
      </c>
      <c r="T1233" s="19">
        <f>Registro[[#This Row],[Mes 1]]+Registro[[#This Row],[Mes 2]]+Registro[[#This Row],[Mes 3]]</f>
        <v>0</v>
      </c>
      <c r="U1233" s="19">
        <f>Registro[[#This Row],[Mes 4]]+Registro[[#This Row],[Mes 5]]+Registro[[#This Row],[Mes 6]]</f>
        <v>0</v>
      </c>
      <c r="V1233" s="19">
        <f>Registro[[#This Row],[Mes 7]]+Registro[[#This Row],[Mes 8]]+Registro[[#This Row],[Mes 9]]</f>
        <v>0</v>
      </c>
      <c r="W1233" s="20">
        <f>Registro[[#This Row],[Mes 10]]+Registro[[#This Row],[Mes 11]]+Registro[[#This Row],[Mes 12]]</f>
        <v>0</v>
      </c>
      <c r="X1233" s="20">
        <f>SUM(Registro[[#This Row],[Trim I]],Registro[[#This Row],[Trim II]],Registro[[#This Row],[Trim III]],Registro[[#This Row],[Trim IV]])</f>
        <v>0</v>
      </c>
      <c r="Y1233" s="22">
        <f>IFERROR((Registro[[#This Row],[Avance Total]]/Registro[[#This Row],[Meta]]),0)</f>
        <v>0</v>
      </c>
      <c r="Z1233" s="22">
        <f>IFERROR((Registro[[#This Row],[Avance Total]]-Registro[[#This Row],[Línea Base 2025]])/Registro[[#This Row],[Línea Base 2025]],0)</f>
        <v>0</v>
      </c>
      <c r="AA1233" s="20">
        <v>2026</v>
      </c>
    </row>
    <row r="1234" spans="1:27" hidden="1">
      <c r="A1234" s="14">
        <v>1095</v>
      </c>
      <c r="B1234" s="15" t="s">
        <v>13</v>
      </c>
      <c r="C1234" s="16">
        <v>121</v>
      </c>
      <c r="D1234" s="16" t="s">
        <v>194</v>
      </c>
      <c r="E1234" s="17" t="s">
        <v>193</v>
      </c>
      <c r="F1234" s="24">
        <v>0</v>
      </c>
      <c r="G1234" s="19">
        <v>0</v>
      </c>
      <c r="H1234" s="19">
        <v>0</v>
      </c>
      <c r="I1234" s="19">
        <v>0</v>
      </c>
      <c r="T1234" s="19">
        <f>Registro[[#This Row],[Mes 1]]+Registro[[#This Row],[Mes 2]]+Registro[[#This Row],[Mes 3]]</f>
        <v>0</v>
      </c>
      <c r="U1234" s="19">
        <f>Registro[[#This Row],[Mes 4]]+Registro[[#This Row],[Mes 5]]+Registro[[#This Row],[Mes 6]]</f>
        <v>0</v>
      </c>
      <c r="V1234" s="19">
        <f>Registro[[#This Row],[Mes 7]]+Registro[[#This Row],[Mes 8]]+Registro[[#This Row],[Mes 9]]</f>
        <v>0</v>
      </c>
      <c r="W1234" s="20">
        <f>Registro[[#This Row],[Mes 10]]+Registro[[#This Row],[Mes 11]]+Registro[[#This Row],[Mes 12]]</f>
        <v>0</v>
      </c>
      <c r="X1234" s="20">
        <f>SUM(Registro[[#This Row],[Trim I]],Registro[[#This Row],[Trim II]],Registro[[#This Row],[Trim III]],Registro[[#This Row],[Trim IV]])</f>
        <v>0</v>
      </c>
      <c r="Y1234" s="22">
        <f>IFERROR((Registro[[#This Row],[Avance Total]]/Registro[[#This Row],[Meta]]),0)</f>
        <v>0</v>
      </c>
      <c r="Z1234" s="22">
        <f>IFERROR((Registro[[#This Row],[Avance Total]]-Registro[[#This Row],[Línea Base 2025]])/Registro[[#This Row],[Línea Base 2025]],0)</f>
        <v>0</v>
      </c>
      <c r="AA1234" s="20">
        <v>2026</v>
      </c>
    </row>
    <row r="1235" spans="1:27" hidden="1">
      <c r="A1235" s="14">
        <v>1095</v>
      </c>
      <c r="B1235" s="15" t="s">
        <v>13</v>
      </c>
      <c r="C1235" s="16">
        <v>122</v>
      </c>
      <c r="D1235" s="16" t="s">
        <v>196</v>
      </c>
      <c r="E1235" s="17" t="s">
        <v>195</v>
      </c>
      <c r="F1235" s="24">
        <v>0</v>
      </c>
      <c r="G1235" s="19">
        <v>0</v>
      </c>
      <c r="H1235" s="19">
        <v>0</v>
      </c>
      <c r="I1235" s="19">
        <v>0</v>
      </c>
      <c r="T1235" s="19">
        <f>Registro[[#This Row],[Mes 1]]+Registro[[#This Row],[Mes 2]]+Registro[[#This Row],[Mes 3]]</f>
        <v>0</v>
      </c>
      <c r="U1235" s="19">
        <f>Registro[[#This Row],[Mes 4]]+Registro[[#This Row],[Mes 5]]+Registro[[#This Row],[Mes 6]]</f>
        <v>0</v>
      </c>
      <c r="V1235" s="19">
        <f>Registro[[#This Row],[Mes 7]]+Registro[[#This Row],[Mes 8]]+Registro[[#This Row],[Mes 9]]</f>
        <v>0</v>
      </c>
      <c r="W1235" s="20">
        <f>Registro[[#This Row],[Mes 10]]+Registro[[#This Row],[Mes 11]]+Registro[[#This Row],[Mes 12]]</f>
        <v>0</v>
      </c>
      <c r="X1235" s="20">
        <f>SUM(Registro[[#This Row],[Trim I]],Registro[[#This Row],[Trim II]],Registro[[#This Row],[Trim III]],Registro[[#This Row],[Trim IV]])</f>
        <v>0</v>
      </c>
      <c r="Y1235" s="22">
        <f>IFERROR((Registro[[#This Row],[Avance Total]]/Registro[[#This Row],[Meta]]),0)</f>
        <v>0</v>
      </c>
      <c r="Z1235" s="22">
        <f>IFERROR((Registro[[#This Row],[Avance Total]]-Registro[[#This Row],[Línea Base 2025]])/Registro[[#This Row],[Línea Base 2025]],0)</f>
        <v>0</v>
      </c>
      <c r="AA1235" s="20">
        <v>2026</v>
      </c>
    </row>
    <row r="1236" spans="1:27" hidden="1">
      <c r="A1236" s="14">
        <v>1095</v>
      </c>
      <c r="B1236" s="15" t="s">
        <v>13</v>
      </c>
      <c r="C1236" s="16">
        <v>123</v>
      </c>
      <c r="D1236" s="16" t="s">
        <v>198</v>
      </c>
      <c r="E1236" s="17" t="s">
        <v>197</v>
      </c>
      <c r="F1236" s="24">
        <v>0</v>
      </c>
      <c r="G1236" s="19">
        <v>0</v>
      </c>
      <c r="H1236" s="19">
        <v>0</v>
      </c>
      <c r="I1236" s="19">
        <v>0</v>
      </c>
      <c r="T1236" s="19">
        <f>Registro[[#This Row],[Mes 1]]+Registro[[#This Row],[Mes 2]]+Registro[[#This Row],[Mes 3]]</f>
        <v>0</v>
      </c>
      <c r="U1236" s="19">
        <f>Registro[[#This Row],[Mes 4]]+Registro[[#This Row],[Mes 5]]+Registro[[#This Row],[Mes 6]]</f>
        <v>0</v>
      </c>
      <c r="V1236" s="19">
        <f>Registro[[#This Row],[Mes 7]]+Registro[[#This Row],[Mes 8]]+Registro[[#This Row],[Mes 9]]</f>
        <v>0</v>
      </c>
      <c r="W1236" s="20">
        <f>Registro[[#This Row],[Mes 10]]+Registro[[#This Row],[Mes 11]]+Registro[[#This Row],[Mes 12]]</f>
        <v>0</v>
      </c>
      <c r="X1236" s="20">
        <f>SUM(Registro[[#This Row],[Trim I]],Registro[[#This Row],[Trim II]],Registro[[#This Row],[Trim III]],Registro[[#This Row],[Trim IV]])</f>
        <v>0</v>
      </c>
      <c r="Y1236" s="22">
        <f>IFERROR((Registro[[#This Row],[Avance Total]]/Registro[[#This Row],[Meta]]),0)</f>
        <v>0</v>
      </c>
      <c r="Z1236" s="22">
        <f>IFERROR((Registro[[#This Row],[Avance Total]]-Registro[[#This Row],[Línea Base 2025]])/Registro[[#This Row],[Línea Base 2025]],0)</f>
        <v>0</v>
      </c>
      <c r="AA1236" s="20">
        <v>2026</v>
      </c>
    </row>
    <row r="1237" spans="1:27" hidden="1">
      <c r="A1237" s="14">
        <v>1096</v>
      </c>
      <c r="B1237" s="15" t="s">
        <v>13</v>
      </c>
      <c r="C1237" s="16">
        <v>111</v>
      </c>
      <c r="D1237" s="16" t="s">
        <v>171</v>
      </c>
      <c r="E1237" s="17" t="s">
        <v>172</v>
      </c>
      <c r="F1237" s="24">
        <v>50</v>
      </c>
      <c r="G1237" s="19">
        <v>726</v>
      </c>
      <c r="H1237" s="19">
        <v>0</v>
      </c>
      <c r="I1237" s="19">
        <v>0</v>
      </c>
      <c r="T1237" s="19">
        <f>Registro[[#This Row],[Mes 1]]+Registro[[#This Row],[Mes 2]]+Registro[[#This Row],[Mes 3]]</f>
        <v>0</v>
      </c>
      <c r="U1237" s="19">
        <f>Registro[[#This Row],[Mes 4]]+Registro[[#This Row],[Mes 5]]+Registro[[#This Row],[Mes 6]]</f>
        <v>0</v>
      </c>
      <c r="V1237" s="19">
        <f>Registro[[#This Row],[Mes 7]]+Registro[[#This Row],[Mes 8]]+Registro[[#This Row],[Mes 9]]</f>
        <v>0</v>
      </c>
      <c r="W1237" s="20">
        <f>Registro[[#This Row],[Mes 10]]+Registro[[#This Row],[Mes 11]]+Registro[[#This Row],[Mes 12]]</f>
        <v>0</v>
      </c>
      <c r="X1237" s="20">
        <f>SUM(Registro[[#This Row],[Trim I]],Registro[[#This Row],[Trim II]],Registro[[#This Row],[Trim III]],Registro[[#This Row],[Trim IV]])</f>
        <v>0</v>
      </c>
      <c r="Y1237" s="22">
        <f>IFERROR((Registro[[#This Row],[Avance Total]]/Registro[[#This Row],[Meta]]),0)</f>
        <v>0</v>
      </c>
      <c r="Z1237" s="22">
        <f>IFERROR((Registro[[#This Row],[Avance Total]]-Registro[[#This Row],[Línea Base 2025]])/Registro[[#This Row],[Línea Base 2025]],0)</f>
        <v>-1</v>
      </c>
      <c r="AA1237" s="20">
        <v>2026</v>
      </c>
    </row>
    <row r="1238" spans="1:27" hidden="1">
      <c r="A1238" s="14">
        <v>1096</v>
      </c>
      <c r="B1238" s="15" t="s">
        <v>13</v>
      </c>
      <c r="C1238" s="16">
        <v>112</v>
      </c>
      <c r="D1238" s="16" t="s">
        <v>173</v>
      </c>
      <c r="E1238" s="17" t="s">
        <v>7</v>
      </c>
      <c r="F1238" s="24">
        <v>2</v>
      </c>
      <c r="G1238" s="19">
        <v>31</v>
      </c>
      <c r="H1238" s="19">
        <v>0</v>
      </c>
      <c r="I1238" s="19">
        <v>0</v>
      </c>
      <c r="T1238" s="19">
        <f>Registro[[#This Row],[Mes 1]]+Registro[[#This Row],[Mes 2]]+Registro[[#This Row],[Mes 3]]</f>
        <v>0</v>
      </c>
      <c r="U1238" s="19">
        <f>Registro[[#This Row],[Mes 4]]+Registro[[#This Row],[Mes 5]]+Registro[[#This Row],[Mes 6]]</f>
        <v>0</v>
      </c>
      <c r="V1238" s="19">
        <f>Registro[[#This Row],[Mes 7]]+Registro[[#This Row],[Mes 8]]+Registro[[#This Row],[Mes 9]]</f>
        <v>0</v>
      </c>
      <c r="W1238" s="20">
        <f>Registro[[#This Row],[Mes 10]]+Registro[[#This Row],[Mes 11]]+Registro[[#This Row],[Mes 12]]</f>
        <v>0</v>
      </c>
      <c r="X1238" s="20">
        <f>SUM(Registro[[#This Row],[Trim I]],Registro[[#This Row],[Trim II]],Registro[[#This Row],[Trim III]],Registro[[#This Row],[Trim IV]])</f>
        <v>0</v>
      </c>
      <c r="Y1238" s="22">
        <f>IFERROR((Registro[[#This Row],[Avance Total]]/Registro[[#This Row],[Meta]]),0)</f>
        <v>0</v>
      </c>
      <c r="Z1238" s="22">
        <f>IFERROR((Registro[[#This Row],[Avance Total]]-Registro[[#This Row],[Línea Base 2025]])/Registro[[#This Row],[Línea Base 2025]],0)</f>
        <v>-1</v>
      </c>
      <c r="AA1238" s="20">
        <v>2026</v>
      </c>
    </row>
    <row r="1239" spans="1:27" hidden="1">
      <c r="A1239" s="14">
        <v>1096</v>
      </c>
      <c r="B1239" s="15" t="s">
        <v>13</v>
      </c>
      <c r="C1239" s="16">
        <v>113</v>
      </c>
      <c r="D1239" s="16" t="s">
        <v>179</v>
      </c>
      <c r="E1239" s="17" t="s">
        <v>178</v>
      </c>
      <c r="F1239" s="24">
        <v>67</v>
      </c>
      <c r="G1239" s="19">
        <v>355</v>
      </c>
      <c r="H1239" s="19">
        <v>0</v>
      </c>
      <c r="I1239" s="19">
        <v>0</v>
      </c>
      <c r="T1239" s="19">
        <f>Registro[[#This Row],[Mes 1]]+Registro[[#This Row],[Mes 2]]+Registro[[#This Row],[Mes 3]]</f>
        <v>0</v>
      </c>
      <c r="U1239" s="19">
        <f>Registro[[#This Row],[Mes 4]]+Registro[[#This Row],[Mes 5]]+Registro[[#This Row],[Mes 6]]</f>
        <v>0</v>
      </c>
      <c r="V1239" s="19">
        <f>Registro[[#This Row],[Mes 7]]+Registro[[#This Row],[Mes 8]]+Registro[[#This Row],[Mes 9]]</f>
        <v>0</v>
      </c>
      <c r="W1239" s="20">
        <f>Registro[[#This Row],[Mes 10]]+Registro[[#This Row],[Mes 11]]+Registro[[#This Row],[Mes 12]]</f>
        <v>0</v>
      </c>
      <c r="X1239" s="20">
        <f>SUM(Registro[[#This Row],[Trim I]],Registro[[#This Row],[Trim II]],Registro[[#This Row],[Trim III]],Registro[[#This Row],[Trim IV]])</f>
        <v>0</v>
      </c>
      <c r="Y1239" s="22">
        <f>IFERROR((Registro[[#This Row],[Avance Total]]/Registro[[#This Row],[Meta]]),0)</f>
        <v>0</v>
      </c>
      <c r="Z1239" s="22">
        <f>IFERROR((Registro[[#This Row],[Avance Total]]-Registro[[#This Row],[Línea Base 2025]])/Registro[[#This Row],[Línea Base 2025]],0)</f>
        <v>-1</v>
      </c>
      <c r="AA1239" s="20">
        <v>2026</v>
      </c>
    </row>
    <row r="1240" spans="1:27" hidden="1">
      <c r="A1240" s="14">
        <v>1096</v>
      </c>
      <c r="B1240" s="15" t="s">
        <v>13</v>
      </c>
      <c r="C1240" s="16">
        <v>114</v>
      </c>
      <c r="D1240" s="16" t="s">
        <v>181</v>
      </c>
      <c r="E1240" s="17" t="s">
        <v>180</v>
      </c>
      <c r="F1240" s="24">
        <v>0</v>
      </c>
      <c r="G1240" s="19">
        <v>0</v>
      </c>
      <c r="H1240" s="19">
        <v>0</v>
      </c>
      <c r="I1240" s="19">
        <v>0</v>
      </c>
      <c r="T1240" s="19">
        <f>Registro[[#This Row],[Mes 1]]+Registro[[#This Row],[Mes 2]]+Registro[[#This Row],[Mes 3]]</f>
        <v>0</v>
      </c>
      <c r="U1240" s="19">
        <f>Registro[[#This Row],[Mes 4]]+Registro[[#This Row],[Mes 5]]+Registro[[#This Row],[Mes 6]]</f>
        <v>0</v>
      </c>
      <c r="V1240" s="19">
        <f>Registro[[#This Row],[Mes 7]]+Registro[[#This Row],[Mes 8]]+Registro[[#This Row],[Mes 9]]</f>
        <v>0</v>
      </c>
      <c r="W1240" s="20">
        <f>Registro[[#This Row],[Mes 10]]+Registro[[#This Row],[Mes 11]]+Registro[[#This Row],[Mes 12]]</f>
        <v>0</v>
      </c>
      <c r="X1240" s="20">
        <f>SUM(Registro[[#This Row],[Trim I]],Registro[[#This Row],[Trim II]],Registro[[#This Row],[Trim III]],Registro[[#This Row],[Trim IV]])</f>
        <v>0</v>
      </c>
      <c r="Y1240" s="22">
        <f>IFERROR((Registro[[#This Row],[Avance Total]]/Registro[[#This Row],[Meta]]),0)</f>
        <v>0</v>
      </c>
      <c r="Z1240" s="22">
        <f>IFERROR((Registro[[#This Row],[Avance Total]]-Registro[[#This Row],[Línea Base 2025]])/Registro[[#This Row],[Línea Base 2025]],0)</f>
        <v>0</v>
      </c>
      <c r="AA1240" s="20">
        <v>2026</v>
      </c>
    </row>
    <row r="1241" spans="1:27" hidden="1">
      <c r="A1241" s="14">
        <v>1096</v>
      </c>
      <c r="B1241" s="15" t="s">
        <v>13</v>
      </c>
      <c r="C1241" s="16">
        <v>115</v>
      </c>
      <c r="D1241" s="16" t="s">
        <v>183</v>
      </c>
      <c r="E1241" s="17" t="s">
        <v>182</v>
      </c>
      <c r="F1241" s="24">
        <v>0</v>
      </c>
      <c r="G1241" s="19">
        <v>0</v>
      </c>
      <c r="H1241" s="19">
        <v>0</v>
      </c>
      <c r="I1241" s="19">
        <v>0</v>
      </c>
      <c r="T1241" s="19">
        <f>Registro[[#This Row],[Mes 1]]+Registro[[#This Row],[Mes 2]]+Registro[[#This Row],[Mes 3]]</f>
        <v>0</v>
      </c>
      <c r="U1241" s="19">
        <f>Registro[[#This Row],[Mes 4]]+Registro[[#This Row],[Mes 5]]+Registro[[#This Row],[Mes 6]]</f>
        <v>0</v>
      </c>
      <c r="V1241" s="19">
        <f>Registro[[#This Row],[Mes 7]]+Registro[[#This Row],[Mes 8]]+Registro[[#This Row],[Mes 9]]</f>
        <v>0</v>
      </c>
      <c r="W1241" s="20">
        <f>Registro[[#This Row],[Mes 10]]+Registro[[#This Row],[Mes 11]]+Registro[[#This Row],[Mes 12]]</f>
        <v>0</v>
      </c>
      <c r="X1241" s="20">
        <f>SUM(Registro[[#This Row],[Trim I]],Registro[[#This Row],[Trim II]],Registro[[#This Row],[Trim III]],Registro[[#This Row],[Trim IV]])</f>
        <v>0</v>
      </c>
      <c r="Y1241" s="22">
        <f>IFERROR((Registro[[#This Row],[Avance Total]]/Registro[[#This Row],[Meta]]),0)</f>
        <v>0</v>
      </c>
      <c r="Z1241" s="22">
        <f>IFERROR((Registro[[#This Row],[Avance Total]]-Registro[[#This Row],[Línea Base 2025]])/Registro[[#This Row],[Línea Base 2025]],0)</f>
        <v>0</v>
      </c>
      <c r="AA1241" s="20">
        <v>2026</v>
      </c>
    </row>
    <row r="1242" spans="1:27">
      <c r="A1242" s="14">
        <v>1096</v>
      </c>
      <c r="B1242" s="15" t="s">
        <v>13</v>
      </c>
      <c r="C1242" s="16">
        <v>116</v>
      </c>
      <c r="D1242" s="16" t="s">
        <v>185</v>
      </c>
      <c r="E1242" s="17" t="s">
        <v>184</v>
      </c>
      <c r="F1242" s="24">
        <v>1</v>
      </c>
      <c r="G1242" s="19">
        <v>6</v>
      </c>
      <c r="H1242" s="19">
        <v>1</v>
      </c>
      <c r="I1242" s="19">
        <v>0</v>
      </c>
      <c r="T1242" s="19">
        <f>Registro[[#This Row],[Mes 1]]+Registro[[#This Row],[Mes 2]]+Registro[[#This Row],[Mes 3]]</f>
        <v>1</v>
      </c>
      <c r="U1242" s="19">
        <f>Registro[[#This Row],[Mes 4]]+Registro[[#This Row],[Mes 5]]+Registro[[#This Row],[Mes 6]]</f>
        <v>0</v>
      </c>
      <c r="V1242" s="19">
        <f>Registro[[#This Row],[Mes 7]]+Registro[[#This Row],[Mes 8]]+Registro[[#This Row],[Mes 9]]</f>
        <v>0</v>
      </c>
      <c r="W1242" s="20">
        <f>Registro[[#This Row],[Mes 10]]+Registro[[#This Row],[Mes 11]]+Registro[[#This Row],[Mes 12]]</f>
        <v>0</v>
      </c>
      <c r="X1242" s="20">
        <f>SUM(Registro[[#This Row],[Trim I]],Registro[[#This Row],[Trim II]],Registro[[#This Row],[Trim III]],Registro[[#This Row],[Trim IV]])</f>
        <v>1</v>
      </c>
      <c r="Y1242" s="22">
        <f>IFERROR((Registro[[#This Row],[Avance Total]]/Registro[[#This Row],[Meta]]),0)</f>
        <v>0.16666666666666666</v>
      </c>
      <c r="Z1242" s="22">
        <f>IFERROR((Registro[[#This Row],[Avance Total]]-Registro[[#This Row],[Línea Base 2025]])/Registro[[#This Row],[Línea Base 2025]],0)</f>
        <v>0</v>
      </c>
      <c r="AA1242" s="20">
        <v>2026</v>
      </c>
    </row>
    <row r="1243" spans="1:27" hidden="1">
      <c r="A1243" s="14">
        <v>1096</v>
      </c>
      <c r="B1243" s="15" t="s">
        <v>13</v>
      </c>
      <c r="C1243" s="16">
        <v>117</v>
      </c>
      <c r="D1243" s="16" t="s">
        <v>187</v>
      </c>
      <c r="E1243" s="17" t="s">
        <v>186</v>
      </c>
      <c r="F1243" s="24">
        <v>1</v>
      </c>
      <c r="G1243" s="19">
        <v>0</v>
      </c>
      <c r="H1243" s="19">
        <v>0</v>
      </c>
      <c r="I1243" s="19">
        <v>0</v>
      </c>
      <c r="T1243" s="19">
        <f>Registro[[#This Row],[Mes 1]]+Registro[[#This Row],[Mes 2]]+Registro[[#This Row],[Mes 3]]</f>
        <v>0</v>
      </c>
      <c r="U1243" s="19">
        <f>Registro[[#This Row],[Mes 4]]+Registro[[#This Row],[Mes 5]]+Registro[[#This Row],[Mes 6]]</f>
        <v>0</v>
      </c>
      <c r="V1243" s="19">
        <f>Registro[[#This Row],[Mes 7]]+Registro[[#This Row],[Mes 8]]+Registro[[#This Row],[Mes 9]]</f>
        <v>0</v>
      </c>
      <c r="W1243" s="20">
        <f>Registro[[#This Row],[Mes 10]]+Registro[[#This Row],[Mes 11]]+Registro[[#This Row],[Mes 12]]</f>
        <v>0</v>
      </c>
      <c r="X1243" s="20">
        <f>SUM(Registro[[#This Row],[Trim I]],Registro[[#This Row],[Trim II]],Registro[[#This Row],[Trim III]],Registro[[#This Row],[Trim IV]])</f>
        <v>0</v>
      </c>
      <c r="Y1243" s="22">
        <f>IFERROR((Registro[[#This Row],[Avance Total]]/Registro[[#This Row],[Meta]]),0)</f>
        <v>0</v>
      </c>
      <c r="Z1243" s="22">
        <f>IFERROR((Registro[[#This Row],[Avance Total]]-Registro[[#This Row],[Línea Base 2025]])/Registro[[#This Row],[Línea Base 2025]],0)</f>
        <v>-1</v>
      </c>
      <c r="AA1243" s="20">
        <v>2026</v>
      </c>
    </row>
    <row r="1244" spans="1:27" hidden="1">
      <c r="A1244" s="14">
        <v>1096</v>
      </c>
      <c r="B1244" s="15" t="s">
        <v>13</v>
      </c>
      <c r="C1244" s="16">
        <v>118</v>
      </c>
      <c r="D1244" s="16" t="s">
        <v>188</v>
      </c>
      <c r="E1244" s="17" t="s">
        <v>9</v>
      </c>
      <c r="F1244" s="24">
        <v>0</v>
      </c>
      <c r="G1244" s="19">
        <v>0</v>
      </c>
      <c r="H1244" s="19">
        <v>0</v>
      </c>
      <c r="I1244" s="19">
        <v>0</v>
      </c>
      <c r="T1244" s="19">
        <f>Registro[[#This Row],[Mes 1]]+Registro[[#This Row],[Mes 2]]+Registro[[#This Row],[Mes 3]]</f>
        <v>0</v>
      </c>
      <c r="U1244" s="19">
        <f>Registro[[#This Row],[Mes 4]]+Registro[[#This Row],[Mes 5]]+Registro[[#This Row],[Mes 6]]</f>
        <v>0</v>
      </c>
      <c r="V1244" s="19">
        <f>Registro[[#This Row],[Mes 7]]+Registro[[#This Row],[Mes 8]]+Registro[[#This Row],[Mes 9]]</f>
        <v>0</v>
      </c>
      <c r="W1244" s="20">
        <f>Registro[[#This Row],[Mes 10]]+Registro[[#This Row],[Mes 11]]+Registro[[#This Row],[Mes 12]]</f>
        <v>0</v>
      </c>
      <c r="X1244" s="20">
        <f>SUM(Registro[[#This Row],[Trim I]],Registro[[#This Row],[Trim II]],Registro[[#This Row],[Trim III]],Registro[[#This Row],[Trim IV]])</f>
        <v>0</v>
      </c>
      <c r="Y1244" s="22">
        <f>IFERROR((Registro[[#This Row],[Avance Total]]/Registro[[#This Row],[Meta]]),0)</f>
        <v>0</v>
      </c>
      <c r="Z1244" s="22">
        <f>IFERROR((Registro[[#This Row],[Avance Total]]-Registro[[#This Row],[Línea Base 2025]])/Registro[[#This Row],[Línea Base 2025]],0)</f>
        <v>0</v>
      </c>
      <c r="AA1244" s="20">
        <v>2026</v>
      </c>
    </row>
    <row r="1245" spans="1:27" hidden="1">
      <c r="A1245" s="14">
        <v>1096</v>
      </c>
      <c r="B1245" s="15" t="s">
        <v>13</v>
      </c>
      <c r="C1245" s="16">
        <v>119</v>
      </c>
      <c r="D1245" s="16" t="s">
        <v>190</v>
      </c>
      <c r="E1245" s="17" t="s">
        <v>189</v>
      </c>
      <c r="F1245" s="24">
        <v>0</v>
      </c>
      <c r="G1245" s="19">
        <v>5</v>
      </c>
      <c r="H1245" s="19">
        <v>0</v>
      </c>
      <c r="I1245" s="19">
        <v>0</v>
      </c>
      <c r="T1245" s="19">
        <f>Registro[[#This Row],[Mes 1]]+Registro[[#This Row],[Mes 2]]+Registro[[#This Row],[Mes 3]]</f>
        <v>0</v>
      </c>
      <c r="U1245" s="19">
        <f>Registro[[#This Row],[Mes 4]]+Registro[[#This Row],[Mes 5]]+Registro[[#This Row],[Mes 6]]</f>
        <v>0</v>
      </c>
      <c r="V1245" s="19">
        <f>Registro[[#This Row],[Mes 7]]+Registro[[#This Row],[Mes 8]]+Registro[[#This Row],[Mes 9]]</f>
        <v>0</v>
      </c>
      <c r="W1245" s="20">
        <f>Registro[[#This Row],[Mes 10]]+Registro[[#This Row],[Mes 11]]+Registro[[#This Row],[Mes 12]]</f>
        <v>0</v>
      </c>
      <c r="X1245" s="20">
        <f>SUM(Registro[[#This Row],[Trim I]],Registro[[#This Row],[Trim II]],Registro[[#This Row],[Trim III]],Registro[[#This Row],[Trim IV]])</f>
        <v>0</v>
      </c>
      <c r="Y1245" s="22">
        <f>IFERROR((Registro[[#This Row],[Avance Total]]/Registro[[#This Row],[Meta]]),0)</f>
        <v>0</v>
      </c>
      <c r="Z1245" s="22">
        <f>IFERROR((Registro[[#This Row],[Avance Total]]-Registro[[#This Row],[Línea Base 2025]])/Registro[[#This Row],[Línea Base 2025]],0)</f>
        <v>0</v>
      </c>
      <c r="AA1245" s="20">
        <v>2026</v>
      </c>
    </row>
    <row r="1246" spans="1:27" hidden="1">
      <c r="A1246" s="14">
        <v>1096</v>
      </c>
      <c r="B1246" s="15" t="s">
        <v>13</v>
      </c>
      <c r="C1246" s="16">
        <v>120</v>
      </c>
      <c r="D1246" s="16" t="s">
        <v>192</v>
      </c>
      <c r="E1246" s="17" t="s">
        <v>191</v>
      </c>
      <c r="F1246" s="24">
        <v>0</v>
      </c>
      <c r="G1246" s="19">
        <v>0</v>
      </c>
      <c r="H1246" s="19">
        <v>0</v>
      </c>
      <c r="I1246" s="19">
        <v>0</v>
      </c>
      <c r="T1246" s="19">
        <f>Registro[[#This Row],[Mes 1]]+Registro[[#This Row],[Mes 2]]+Registro[[#This Row],[Mes 3]]</f>
        <v>0</v>
      </c>
      <c r="U1246" s="19">
        <f>Registro[[#This Row],[Mes 4]]+Registro[[#This Row],[Mes 5]]+Registro[[#This Row],[Mes 6]]</f>
        <v>0</v>
      </c>
      <c r="V1246" s="19">
        <f>Registro[[#This Row],[Mes 7]]+Registro[[#This Row],[Mes 8]]+Registro[[#This Row],[Mes 9]]</f>
        <v>0</v>
      </c>
      <c r="W1246" s="20">
        <f>Registro[[#This Row],[Mes 10]]+Registro[[#This Row],[Mes 11]]+Registro[[#This Row],[Mes 12]]</f>
        <v>0</v>
      </c>
      <c r="X1246" s="20">
        <f>SUM(Registro[[#This Row],[Trim I]],Registro[[#This Row],[Trim II]],Registro[[#This Row],[Trim III]],Registro[[#This Row],[Trim IV]])</f>
        <v>0</v>
      </c>
      <c r="Y1246" s="22">
        <f>IFERROR((Registro[[#This Row],[Avance Total]]/Registro[[#This Row],[Meta]]),0)</f>
        <v>0</v>
      </c>
      <c r="Z1246" s="22">
        <f>IFERROR((Registro[[#This Row],[Avance Total]]-Registro[[#This Row],[Línea Base 2025]])/Registro[[#This Row],[Línea Base 2025]],0)</f>
        <v>0</v>
      </c>
      <c r="AA1246" s="20">
        <v>2026</v>
      </c>
    </row>
    <row r="1247" spans="1:27" hidden="1">
      <c r="A1247" s="14">
        <v>1096</v>
      </c>
      <c r="B1247" s="15" t="s">
        <v>13</v>
      </c>
      <c r="C1247" s="16">
        <v>121</v>
      </c>
      <c r="D1247" s="16" t="s">
        <v>194</v>
      </c>
      <c r="E1247" s="17" t="s">
        <v>193</v>
      </c>
      <c r="F1247" s="24">
        <v>0</v>
      </c>
      <c r="G1247" s="19">
        <v>0</v>
      </c>
      <c r="H1247" s="19">
        <v>0</v>
      </c>
      <c r="I1247" s="19">
        <v>0</v>
      </c>
      <c r="T1247" s="19">
        <f>Registro[[#This Row],[Mes 1]]+Registro[[#This Row],[Mes 2]]+Registro[[#This Row],[Mes 3]]</f>
        <v>0</v>
      </c>
      <c r="U1247" s="19">
        <f>Registro[[#This Row],[Mes 4]]+Registro[[#This Row],[Mes 5]]+Registro[[#This Row],[Mes 6]]</f>
        <v>0</v>
      </c>
      <c r="V1247" s="19">
        <f>Registro[[#This Row],[Mes 7]]+Registro[[#This Row],[Mes 8]]+Registro[[#This Row],[Mes 9]]</f>
        <v>0</v>
      </c>
      <c r="W1247" s="20">
        <f>Registro[[#This Row],[Mes 10]]+Registro[[#This Row],[Mes 11]]+Registro[[#This Row],[Mes 12]]</f>
        <v>0</v>
      </c>
      <c r="X1247" s="20">
        <f>SUM(Registro[[#This Row],[Trim I]],Registro[[#This Row],[Trim II]],Registro[[#This Row],[Trim III]],Registro[[#This Row],[Trim IV]])</f>
        <v>0</v>
      </c>
      <c r="Y1247" s="22">
        <f>IFERROR((Registro[[#This Row],[Avance Total]]/Registro[[#This Row],[Meta]]),0)</f>
        <v>0</v>
      </c>
      <c r="Z1247" s="22">
        <f>IFERROR((Registro[[#This Row],[Avance Total]]-Registro[[#This Row],[Línea Base 2025]])/Registro[[#This Row],[Línea Base 2025]],0)</f>
        <v>0</v>
      </c>
      <c r="AA1247" s="20">
        <v>2026</v>
      </c>
    </row>
    <row r="1248" spans="1:27" hidden="1">
      <c r="A1248" s="14">
        <v>1096</v>
      </c>
      <c r="B1248" s="15" t="s">
        <v>13</v>
      </c>
      <c r="C1248" s="16">
        <v>122</v>
      </c>
      <c r="D1248" s="16" t="s">
        <v>196</v>
      </c>
      <c r="E1248" s="17" t="s">
        <v>195</v>
      </c>
      <c r="F1248" s="24">
        <v>0</v>
      </c>
      <c r="G1248" s="19">
        <v>0</v>
      </c>
      <c r="H1248" s="19">
        <v>0</v>
      </c>
      <c r="I1248" s="19">
        <v>0</v>
      </c>
      <c r="T1248" s="19">
        <f>Registro[[#This Row],[Mes 1]]+Registro[[#This Row],[Mes 2]]+Registro[[#This Row],[Mes 3]]</f>
        <v>0</v>
      </c>
      <c r="U1248" s="19">
        <f>Registro[[#This Row],[Mes 4]]+Registro[[#This Row],[Mes 5]]+Registro[[#This Row],[Mes 6]]</f>
        <v>0</v>
      </c>
      <c r="V1248" s="19">
        <f>Registro[[#This Row],[Mes 7]]+Registro[[#This Row],[Mes 8]]+Registro[[#This Row],[Mes 9]]</f>
        <v>0</v>
      </c>
      <c r="W1248" s="20">
        <f>Registro[[#This Row],[Mes 10]]+Registro[[#This Row],[Mes 11]]+Registro[[#This Row],[Mes 12]]</f>
        <v>0</v>
      </c>
      <c r="X1248" s="20">
        <f>SUM(Registro[[#This Row],[Trim I]],Registro[[#This Row],[Trim II]],Registro[[#This Row],[Trim III]],Registro[[#This Row],[Trim IV]])</f>
        <v>0</v>
      </c>
      <c r="Y1248" s="22">
        <f>IFERROR((Registro[[#This Row],[Avance Total]]/Registro[[#This Row],[Meta]]),0)</f>
        <v>0</v>
      </c>
      <c r="Z1248" s="22">
        <f>IFERROR((Registro[[#This Row],[Avance Total]]-Registro[[#This Row],[Línea Base 2025]])/Registro[[#This Row],[Línea Base 2025]],0)</f>
        <v>0</v>
      </c>
      <c r="AA1248" s="20">
        <v>2026</v>
      </c>
    </row>
    <row r="1249" spans="1:27" hidden="1">
      <c r="A1249" s="14">
        <v>1096</v>
      </c>
      <c r="B1249" s="15" t="s">
        <v>13</v>
      </c>
      <c r="C1249" s="16">
        <v>123</v>
      </c>
      <c r="D1249" s="16" t="s">
        <v>198</v>
      </c>
      <c r="E1249" s="17" t="s">
        <v>197</v>
      </c>
      <c r="F1249" s="24">
        <v>0</v>
      </c>
      <c r="G1249" s="19">
        <v>0</v>
      </c>
      <c r="H1249" s="19">
        <v>0</v>
      </c>
      <c r="I1249" s="19">
        <v>0</v>
      </c>
      <c r="T1249" s="19">
        <f>Registro[[#This Row],[Mes 1]]+Registro[[#This Row],[Mes 2]]+Registro[[#This Row],[Mes 3]]</f>
        <v>0</v>
      </c>
      <c r="U1249" s="19">
        <f>Registro[[#This Row],[Mes 4]]+Registro[[#This Row],[Mes 5]]+Registro[[#This Row],[Mes 6]]</f>
        <v>0</v>
      </c>
      <c r="V1249" s="19">
        <f>Registro[[#This Row],[Mes 7]]+Registro[[#This Row],[Mes 8]]+Registro[[#This Row],[Mes 9]]</f>
        <v>0</v>
      </c>
      <c r="W1249" s="20">
        <f>Registro[[#This Row],[Mes 10]]+Registro[[#This Row],[Mes 11]]+Registro[[#This Row],[Mes 12]]</f>
        <v>0</v>
      </c>
      <c r="X1249" s="20">
        <f>SUM(Registro[[#This Row],[Trim I]],Registro[[#This Row],[Trim II]],Registro[[#This Row],[Trim III]],Registro[[#This Row],[Trim IV]])</f>
        <v>0</v>
      </c>
      <c r="Y1249" s="22">
        <f>IFERROR((Registro[[#This Row],[Avance Total]]/Registro[[#This Row],[Meta]]),0)</f>
        <v>0</v>
      </c>
      <c r="Z1249" s="22">
        <f>IFERROR((Registro[[#This Row],[Avance Total]]-Registro[[#This Row],[Línea Base 2025]])/Registro[[#This Row],[Línea Base 2025]],0)</f>
        <v>0</v>
      </c>
      <c r="AA1249" s="20">
        <v>2026</v>
      </c>
    </row>
    <row r="1250" spans="1:27" hidden="1">
      <c r="A1250" s="14">
        <v>1097</v>
      </c>
      <c r="B1250" s="15" t="s">
        <v>119</v>
      </c>
      <c r="C1250" s="16">
        <v>111</v>
      </c>
      <c r="D1250" s="16" t="s">
        <v>171</v>
      </c>
      <c r="E1250" s="17" t="s">
        <v>172</v>
      </c>
      <c r="F1250" s="24">
        <v>43</v>
      </c>
      <c r="G1250" s="19">
        <v>357</v>
      </c>
      <c r="H1250" s="19">
        <v>9</v>
      </c>
      <c r="I1250" s="19">
        <v>18</v>
      </c>
      <c r="T1250" s="19">
        <f>Registro[[#This Row],[Mes 1]]+Registro[[#This Row],[Mes 2]]+Registro[[#This Row],[Mes 3]]</f>
        <v>27</v>
      </c>
      <c r="U1250" s="19">
        <f>Registro[[#This Row],[Mes 4]]+Registro[[#This Row],[Mes 5]]+Registro[[#This Row],[Mes 6]]</f>
        <v>0</v>
      </c>
      <c r="V1250" s="19">
        <f>Registro[[#This Row],[Mes 7]]+Registro[[#This Row],[Mes 8]]+Registro[[#This Row],[Mes 9]]</f>
        <v>0</v>
      </c>
      <c r="W1250" s="20">
        <f>Registro[[#This Row],[Mes 10]]+Registro[[#This Row],[Mes 11]]+Registro[[#This Row],[Mes 12]]</f>
        <v>0</v>
      </c>
      <c r="X1250" s="20">
        <f>SUM(Registro[[#This Row],[Trim I]],Registro[[#This Row],[Trim II]],Registro[[#This Row],[Trim III]],Registro[[#This Row],[Trim IV]])</f>
        <v>27</v>
      </c>
      <c r="Y1250" s="22">
        <f>IFERROR((Registro[[#This Row],[Avance Total]]/Registro[[#This Row],[Meta]]),0)</f>
        <v>7.5630252100840331E-2</v>
      </c>
      <c r="Z1250" s="22">
        <f>IFERROR((Registro[[#This Row],[Avance Total]]-Registro[[#This Row],[Línea Base 2025]])/Registro[[#This Row],[Línea Base 2025]],0)</f>
        <v>-0.37209302325581395</v>
      </c>
      <c r="AA1250" s="20">
        <v>2026</v>
      </c>
    </row>
    <row r="1251" spans="1:27" hidden="1">
      <c r="A1251" s="14">
        <v>1097</v>
      </c>
      <c r="B1251" s="15" t="s">
        <v>119</v>
      </c>
      <c r="C1251" s="16">
        <v>112</v>
      </c>
      <c r="D1251" s="16" t="s">
        <v>173</v>
      </c>
      <c r="E1251" s="17" t="s">
        <v>7</v>
      </c>
      <c r="F1251" s="24">
        <v>25</v>
      </c>
      <c r="G1251" s="19">
        <v>121</v>
      </c>
      <c r="H1251" s="19">
        <v>0</v>
      </c>
      <c r="I1251" s="19">
        <v>0</v>
      </c>
      <c r="T1251" s="19">
        <f>Registro[[#This Row],[Mes 1]]+Registro[[#This Row],[Mes 2]]+Registro[[#This Row],[Mes 3]]</f>
        <v>0</v>
      </c>
      <c r="U1251" s="19">
        <f>Registro[[#This Row],[Mes 4]]+Registro[[#This Row],[Mes 5]]+Registro[[#This Row],[Mes 6]]</f>
        <v>0</v>
      </c>
      <c r="V1251" s="19">
        <f>Registro[[#This Row],[Mes 7]]+Registro[[#This Row],[Mes 8]]+Registro[[#This Row],[Mes 9]]</f>
        <v>0</v>
      </c>
      <c r="W1251" s="20">
        <f>Registro[[#This Row],[Mes 10]]+Registro[[#This Row],[Mes 11]]+Registro[[#This Row],[Mes 12]]</f>
        <v>0</v>
      </c>
      <c r="X1251" s="20">
        <f>SUM(Registro[[#This Row],[Trim I]],Registro[[#This Row],[Trim II]],Registro[[#This Row],[Trim III]],Registro[[#This Row],[Trim IV]])</f>
        <v>0</v>
      </c>
      <c r="Y1251" s="22">
        <f>IFERROR((Registro[[#This Row],[Avance Total]]/Registro[[#This Row],[Meta]]),0)</f>
        <v>0</v>
      </c>
      <c r="Z1251" s="22">
        <f>IFERROR((Registro[[#This Row],[Avance Total]]-Registro[[#This Row],[Línea Base 2025]])/Registro[[#This Row],[Línea Base 2025]],0)</f>
        <v>-1</v>
      </c>
      <c r="AA1251" s="20">
        <v>2026</v>
      </c>
    </row>
    <row r="1252" spans="1:27" hidden="1">
      <c r="A1252" s="14">
        <v>1097</v>
      </c>
      <c r="B1252" s="15" t="s">
        <v>119</v>
      </c>
      <c r="C1252" s="16">
        <v>113</v>
      </c>
      <c r="D1252" s="16" t="s">
        <v>179</v>
      </c>
      <c r="E1252" s="17" t="s">
        <v>178</v>
      </c>
      <c r="F1252" s="24">
        <v>45</v>
      </c>
      <c r="G1252" s="19">
        <v>456</v>
      </c>
      <c r="H1252" s="19">
        <v>2</v>
      </c>
      <c r="I1252" s="19">
        <v>1</v>
      </c>
      <c r="T1252" s="19">
        <f>Registro[[#This Row],[Mes 1]]+Registro[[#This Row],[Mes 2]]+Registro[[#This Row],[Mes 3]]</f>
        <v>3</v>
      </c>
      <c r="U1252" s="19">
        <f>Registro[[#This Row],[Mes 4]]+Registro[[#This Row],[Mes 5]]+Registro[[#This Row],[Mes 6]]</f>
        <v>0</v>
      </c>
      <c r="V1252" s="19">
        <f>Registro[[#This Row],[Mes 7]]+Registro[[#This Row],[Mes 8]]+Registro[[#This Row],[Mes 9]]</f>
        <v>0</v>
      </c>
      <c r="W1252" s="20">
        <f>Registro[[#This Row],[Mes 10]]+Registro[[#This Row],[Mes 11]]+Registro[[#This Row],[Mes 12]]</f>
        <v>0</v>
      </c>
      <c r="X1252" s="20">
        <f>SUM(Registro[[#This Row],[Trim I]],Registro[[#This Row],[Trim II]],Registro[[#This Row],[Trim III]],Registro[[#This Row],[Trim IV]])</f>
        <v>3</v>
      </c>
      <c r="Y1252" s="22">
        <f>IFERROR((Registro[[#This Row],[Avance Total]]/Registro[[#This Row],[Meta]]),0)</f>
        <v>6.5789473684210523E-3</v>
      </c>
      <c r="Z1252" s="22">
        <f>IFERROR((Registro[[#This Row],[Avance Total]]-Registro[[#This Row],[Línea Base 2025]])/Registro[[#This Row],[Línea Base 2025]],0)</f>
        <v>-0.93333333333333335</v>
      </c>
      <c r="AA1252" s="20">
        <v>2026</v>
      </c>
    </row>
    <row r="1253" spans="1:27" hidden="1">
      <c r="A1253" s="14">
        <v>1097</v>
      </c>
      <c r="B1253" s="15" t="s">
        <v>119</v>
      </c>
      <c r="C1253" s="16">
        <v>114</v>
      </c>
      <c r="D1253" s="16" t="s">
        <v>181</v>
      </c>
      <c r="E1253" s="17" t="s">
        <v>180</v>
      </c>
      <c r="F1253" s="24">
        <v>1</v>
      </c>
      <c r="G1253" s="19">
        <v>8</v>
      </c>
      <c r="H1253" s="19">
        <v>3</v>
      </c>
      <c r="I1253" s="19">
        <v>0</v>
      </c>
      <c r="T1253" s="19">
        <f>Registro[[#This Row],[Mes 1]]+Registro[[#This Row],[Mes 2]]+Registro[[#This Row],[Mes 3]]</f>
        <v>3</v>
      </c>
      <c r="U1253" s="19">
        <f>Registro[[#This Row],[Mes 4]]+Registro[[#This Row],[Mes 5]]+Registro[[#This Row],[Mes 6]]</f>
        <v>0</v>
      </c>
      <c r="V1253" s="19">
        <f>Registro[[#This Row],[Mes 7]]+Registro[[#This Row],[Mes 8]]+Registro[[#This Row],[Mes 9]]</f>
        <v>0</v>
      </c>
      <c r="W1253" s="20">
        <f>Registro[[#This Row],[Mes 10]]+Registro[[#This Row],[Mes 11]]+Registro[[#This Row],[Mes 12]]</f>
        <v>0</v>
      </c>
      <c r="X1253" s="20">
        <f>SUM(Registro[[#This Row],[Trim I]],Registro[[#This Row],[Trim II]],Registro[[#This Row],[Trim III]],Registro[[#This Row],[Trim IV]])</f>
        <v>3</v>
      </c>
      <c r="Y1253" s="22">
        <f>IFERROR((Registro[[#This Row],[Avance Total]]/Registro[[#This Row],[Meta]]),0)</f>
        <v>0.375</v>
      </c>
      <c r="Z1253" s="22">
        <f>IFERROR((Registro[[#This Row],[Avance Total]]-Registro[[#This Row],[Línea Base 2025]])/Registro[[#This Row],[Línea Base 2025]],0)</f>
        <v>2</v>
      </c>
      <c r="AA1253" s="20">
        <v>2026</v>
      </c>
    </row>
    <row r="1254" spans="1:27" hidden="1">
      <c r="A1254" s="14">
        <v>1097</v>
      </c>
      <c r="B1254" s="15" t="s">
        <v>119</v>
      </c>
      <c r="C1254" s="16">
        <v>115</v>
      </c>
      <c r="D1254" s="16" t="s">
        <v>183</v>
      </c>
      <c r="E1254" s="17" t="s">
        <v>182</v>
      </c>
      <c r="F1254" s="24">
        <v>11</v>
      </c>
      <c r="G1254" s="19">
        <v>7</v>
      </c>
      <c r="H1254" s="19">
        <v>0</v>
      </c>
      <c r="I1254" s="19">
        <v>0</v>
      </c>
      <c r="T1254" s="19">
        <f>Registro[[#This Row],[Mes 1]]+Registro[[#This Row],[Mes 2]]+Registro[[#This Row],[Mes 3]]</f>
        <v>0</v>
      </c>
      <c r="U1254" s="19">
        <f>Registro[[#This Row],[Mes 4]]+Registro[[#This Row],[Mes 5]]+Registro[[#This Row],[Mes 6]]</f>
        <v>0</v>
      </c>
      <c r="V1254" s="19">
        <f>Registro[[#This Row],[Mes 7]]+Registro[[#This Row],[Mes 8]]+Registro[[#This Row],[Mes 9]]</f>
        <v>0</v>
      </c>
      <c r="W1254" s="20">
        <f>Registro[[#This Row],[Mes 10]]+Registro[[#This Row],[Mes 11]]+Registro[[#This Row],[Mes 12]]</f>
        <v>0</v>
      </c>
      <c r="X1254" s="20">
        <f>SUM(Registro[[#This Row],[Trim I]],Registro[[#This Row],[Trim II]],Registro[[#This Row],[Trim III]],Registro[[#This Row],[Trim IV]])</f>
        <v>0</v>
      </c>
      <c r="Y1254" s="22">
        <f>IFERROR((Registro[[#This Row],[Avance Total]]/Registro[[#This Row],[Meta]]),0)</f>
        <v>0</v>
      </c>
      <c r="Z1254" s="22">
        <f>IFERROR((Registro[[#This Row],[Avance Total]]-Registro[[#This Row],[Línea Base 2025]])/Registro[[#This Row],[Línea Base 2025]],0)</f>
        <v>-1</v>
      </c>
      <c r="AA1254" s="20">
        <v>2026</v>
      </c>
    </row>
    <row r="1255" spans="1:27">
      <c r="A1255" s="14">
        <v>1097</v>
      </c>
      <c r="B1255" s="15" t="s">
        <v>119</v>
      </c>
      <c r="C1255" s="16">
        <v>116</v>
      </c>
      <c r="D1255" s="16" t="s">
        <v>185</v>
      </c>
      <c r="E1255" s="17" t="s">
        <v>184</v>
      </c>
      <c r="F1255" s="24">
        <v>3</v>
      </c>
      <c r="G1255" s="19">
        <v>11</v>
      </c>
      <c r="H1255" s="19">
        <v>0</v>
      </c>
      <c r="I1255" s="19">
        <v>0</v>
      </c>
      <c r="T1255" s="19">
        <f>Registro[[#This Row],[Mes 1]]+Registro[[#This Row],[Mes 2]]+Registro[[#This Row],[Mes 3]]</f>
        <v>0</v>
      </c>
      <c r="U1255" s="19">
        <f>Registro[[#This Row],[Mes 4]]+Registro[[#This Row],[Mes 5]]+Registro[[#This Row],[Mes 6]]</f>
        <v>0</v>
      </c>
      <c r="V1255" s="19">
        <f>Registro[[#This Row],[Mes 7]]+Registro[[#This Row],[Mes 8]]+Registro[[#This Row],[Mes 9]]</f>
        <v>0</v>
      </c>
      <c r="W1255" s="20">
        <f>Registro[[#This Row],[Mes 10]]+Registro[[#This Row],[Mes 11]]+Registro[[#This Row],[Mes 12]]</f>
        <v>0</v>
      </c>
      <c r="X1255" s="20">
        <f>SUM(Registro[[#This Row],[Trim I]],Registro[[#This Row],[Trim II]],Registro[[#This Row],[Trim III]],Registro[[#This Row],[Trim IV]])</f>
        <v>0</v>
      </c>
      <c r="Y1255" s="22">
        <f>IFERROR((Registro[[#This Row],[Avance Total]]/Registro[[#This Row],[Meta]]),0)</f>
        <v>0</v>
      </c>
      <c r="Z1255" s="22">
        <f>IFERROR((Registro[[#This Row],[Avance Total]]-Registro[[#This Row],[Línea Base 2025]])/Registro[[#This Row],[Línea Base 2025]],0)</f>
        <v>-1</v>
      </c>
      <c r="AA1255" s="20">
        <v>2026</v>
      </c>
    </row>
    <row r="1256" spans="1:27" hidden="1">
      <c r="A1256" s="14">
        <v>1097</v>
      </c>
      <c r="B1256" s="15" t="s">
        <v>119</v>
      </c>
      <c r="C1256" s="16">
        <v>117</v>
      </c>
      <c r="D1256" s="16" t="s">
        <v>187</v>
      </c>
      <c r="E1256" s="17" t="s">
        <v>186</v>
      </c>
      <c r="F1256" s="24">
        <v>7</v>
      </c>
      <c r="G1256" s="19">
        <v>5</v>
      </c>
      <c r="H1256" s="19">
        <v>0</v>
      </c>
      <c r="I1256" s="19">
        <v>0</v>
      </c>
      <c r="T1256" s="19">
        <f>Registro[[#This Row],[Mes 1]]+Registro[[#This Row],[Mes 2]]+Registro[[#This Row],[Mes 3]]</f>
        <v>0</v>
      </c>
      <c r="U1256" s="19">
        <f>Registro[[#This Row],[Mes 4]]+Registro[[#This Row],[Mes 5]]+Registro[[#This Row],[Mes 6]]</f>
        <v>0</v>
      </c>
      <c r="V1256" s="19">
        <f>Registro[[#This Row],[Mes 7]]+Registro[[#This Row],[Mes 8]]+Registro[[#This Row],[Mes 9]]</f>
        <v>0</v>
      </c>
      <c r="W1256" s="20">
        <f>Registro[[#This Row],[Mes 10]]+Registro[[#This Row],[Mes 11]]+Registro[[#This Row],[Mes 12]]</f>
        <v>0</v>
      </c>
      <c r="X1256" s="20">
        <f>SUM(Registro[[#This Row],[Trim I]],Registro[[#This Row],[Trim II]],Registro[[#This Row],[Trim III]],Registro[[#This Row],[Trim IV]])</f>
        <v>0</v>
      </c>
      <c r="Y1256" s="22">
        <f>IFERROR((Registro[[#This Row],[Avance Total]]/Registro[[#This Row],[Meta]]),0)</f>
        <v>0</v>
      </c>
      <c r="Z1256" s="22">
        <f>IFERROR((Registro[[#This Row],[Avance Total]]-Registro[[#This Row],[Línea Base 2025]])/Registro[[#This Row],[Línea Base 2025]],0)</f>
        <v>-1</v>
      </c>
      <c r="AA1256" s="20">
        <v>2026</v>
      </c>
    </row>
    <row r="1257" spans="1:27" hidden="1">
      <c r="A1257" s="14">
        <v>1097</v>
      </c>
      <c r="B1257" s="15" t="s">
        <v>119</v>
      </c>
      <c r="C1257" s="16">
        <v>118</v>
      </c>
      <c r="D1257" s="16" t="s">
        <v>188</v>
      </c>
      <c r="E1257" s="17" t="s">
        <v>9</v>
      </c>
      <c r="F1257" s="24">
        <v>0</v>
      </c>
      <c r="G1257" s="19">
        <v>147</v>
      </c>
      <c r="H1257" s="19">
        <v>0</v>
      </c>
      <c r="I1257" s="19">
        <v>0</v>
      </c>
      <c r="T1257" s="19">
        <f>Registro[[#This Row],[Mes 1]]+Registro[[#This Row],[Mes 2]]+Registro[[#This Row],[Mes 3]]</f>
        <v>0</v>
      </c>
      <c r="U1257" s="19">
        <f>Registro[[#This Row],[Mes 4]]+Registro[[#This Row],[Mes 5]]+Registro[[#This Row],[Mes 6]]</f>
        <v>0</v>
      </c>
      <c r="V1257" s="19">
        <f>Registro[[#This Row],[Mes 7]]+Registro[[#This Row],[Mes 8]]+Registro[[#This Row],[Mes 9]]</f>
        <v>0</v>
      </c>
      <c r="W1257" s="20">
        <f>Registro[[#This Row],[Mes 10]]+Registro[[#This Row],[Mes 11]]+Registro[[#This Row],[Mes 12]]</f>
        <v>0</v>
      </c>
      <c r="X1257" s="20">
        <f>SUM(Registro[[#This Row],[Trim I]],Registro[[#This Row],[Trim II]],Registro[[#This Row],[Trim III]],Registro[[#This Row],[Trim IV]])</f>
        <v>0</v>
      </c>
      <c r="Y1257" s="22">
        <f>IFERROR((Registro[[#This Row],[Avance Total]]/Registro[[#This Row],[Meta]]),0)</f>
        <v>0</v>
      </c>
      <c r="Z1257" s="22">
        <f>IFERROR((Registro[[#This Row],[Avance Total]]-Registro[[#This Row],[Línea Base 2025]])/Registro[[#This Row],[Línea Base 2025]],0)</f>
        <v>0</v>
      </c>
      <c r="AA1257" s="20">
        <v>2026</v>
      </c>
    </row>
    <row r="1258" spans="1:27" hidden="1">
      <c r="A1258" s="14">
        <v>1097</v>
      </c>
      <c r="B1258" s="15" t="s">
        <v>119</v>
      </c>
      <c r="C1258" s="16">
        <v>119</v>
      </c>
      <c r="D1258" s="16" t="s">
        <v>190</v>
      </c>
      <c r="E1258" s="17" t="s">
        <v>189</v>
      </c>
      <c r="F1258" s="24">
        <v>0</v>
      </c>
      <c r="G1258" s="19">
        <v>9</v>
      </c>
      <c r="H1258" s="19">
        <v>0</v>
      </c>
      <c r="I1258" s="19">
        <v>0</v>
      </c>
      <c r="T1258" s="19">
        <f>Registro[[#This Row],[Mes 1]]+Registro[[#This Row],[Mes 2]]+Registro[[#This Row],[Mes 3]]</f>
        <v>0</v>
      </c>
      <c r="U1258" s="19">
        <f>Registro[[#This Row],[Mes 4]]+Registro[[#This Row],[Mes 5]]+Registro[[#This Row],[Mes 6]]</f>
        <v>0</v>
      </c>
      <c r="V1258" s="19">
        <f>Registro[[#This Row],[Mes 7]]+Registro[[#This Row],[Mes 8]]+Registro[[#This Row],[Mes 9]]</f>
        <v>0</v>
      </c>
      <c r="W1258" s="20">
        <f>Registro[[#This Row],[Mes 10]]+Registro[[#This Row],[Mes 11]]+Registro[[#This Row],[Mes 12]]</f>
        <v>0</v>
      </c>
      <c r="X1258" s="20">
        <f>SUM(Registro[[#This Row],[Trim I]],Registro[[#This Row],[Trim II]],Registro[[#This Row],[Trim III]],Registro[[#This Row],[Trim IV]])</f>
        <v>0</v>
      </c>
      <c r="Y1258" s="22">
        <f>IFERROR((Registro[[#This Row],[Avance Total]]/Registro[[#This Row],[Meta]]),0)</f>
        <v>0</v>
      </c>
      <c r="Z1258" s="22">
        <f>IFERROR((Registro[[#This Row],[Avance Total]]-Registro[[#This Row],[Línea Base 2025]])/Registro[[#This Row],[Línea Base 2025]],0)</f>
        <v>0</v>
      </c>
      <c r="AA1258" s="20">
        <v>2026</v>
      </c>
    </row>
    <row r="1259" spans="1:27" hidden="1">
      <c r="A1259" s="14">
        <v>1097</v>
      </c>
      <c r="B1259" s="15" t="s">
        <v>119</v>
      </c>
      <c r="C1259" s="16">
        <v>120</v>
      </c>
      <c r="D1259" s="16" t="s">
        <v>192</v>
      </c>
      <c r="E1259" s="17" t="s">
        <v>191</v>
      </c>
      <c r="F1259" s="24">
        <v>6</v>
      </c>
      <c r="G1259" s="19">
        <v>11</v>
      </c>
      <c r="H1259" s="19">
        <v>0</v>
      </c>
      <c r="I1259" s="19">
        <v>0</v>
      </c>
      <c r="T1259" s="19">
        <f>Registro[[#This Row],[Mes 1]]+Registro[[#This Row],[Mes 2]]+Registro[[#This Row],[Mes 3]]</f>
        <v>0</v>
      </c>
      <c r="U1259" s="19">
        <f>Registro[[#This Row],[Mes 4]]+Registro[[#This Row],[Mes 5]]+Registro[[#This Row],[Mes 6]]</f>
        <v>0</v>
      </c>
      <c r="V1259" s="19">
        <f>Registro[[#This Row],[Mes 7]]+Registro[[#This Row],[Mes 8]]+Registro[[#This Row],[Mes 9]]</f>
        <v>0</v>
      </c>
      <c r="W1259" s="20">
        <f>Registro[[#This Row],[Mes 10]]+Registro[[#This Row],[Mes 11]]+Registro[[#This Row],[Mes 12]]</f>
        <v>0</v>
      </c>
      <c r="X1259" s="20">
        <f>SUM(Registro[[#This Row],[Trim I]],Registro[[#This Row],[Trim II]],Registro[[#This Row],[Trim III]],Registro[[#This Row],[Trim IV]])</f>
        <v>0</v>
      </c>
      <c r="Y1259" s="22">
        <f>IFERROR((Registro[[#This Row],[Avance Total]]/Registro[[#This Row],[Meta]]),0)</f>
        <v>0</v>
      </c>
      <c r="Z1259" s="22">
        <f>IFERROR((Registro[[#This Row],[Avance Total]]-Registro[[#This Row],[Línea Base 2025]])/Registro[[#This Row],[Línea Base 2025]],0)</f>
        <v>-1</v>
      </c>
      <c r="AA1259" s="20">
        <v>2026</v>
      </c>
    </row>
    <row r="1260" spans="1:27" hidden="1">
      <c r="A1260" s="14">
        <v>1097</v>
      </c>
      <c r="B1260" s="15" t="s">
        <v>119</v>
      </c>
      <c r="C1260" s="16">
        <v>121</v>
      </c>
      <c r="D1260" s="16" t="s">
        <v>194</v>
      </c>
      <c r="E1260" s="17" t="s">
        <v>193</v>
      </c>
      <c r="F1260" s="24">
        <v>9</v>
      </c>
      <c r="G1260" s="19">
        <v>13</v>
      </c>
      <c r="H1260" s="19">
        <v>1</v>
      </c>
      <c r="I1260" s="19">
        <v>0</v>
      </c>
      <c r="T1260" s="19">
        <f>Registro[[#This Row],[Mes 1]]+Registro[[#This Row],[Mes 2]]+Registro[[#This Row],[Mes 3]]</f>
        <v>1</v>
      </c>
      <c r="U1260" s="19">
        <f>Registro[[#This Row],[Mes 4]]+Registro[[#This Row],[Mes 5]]+Registro[[#This Row],[Mes 6]]</f>
        <v>0</v>
      </c>
      <c r="V1260" s="19">
        <f>Registro[[#This Row],[Mes 7]]+Registro[[#This Row],[Mes 8]]+Registro[[#This Row],[Mes 9]]</f>
        <v>0</v>
      </c>
      <c r="W1260" s="20">
        <f>Registro[[#This Row],[Mes 10]]+Registro[[#This Row],[Mes 11]]+Registro[[#This Row],[Mes 12]]</f>
        <v>0</v>
      </c>
      <c r="X1260" s="20">
        <f>SUM(Registro[[#This Row],[Trim I]],Registro[[#This Row],[Trim II]],Registro[[#This Row],[Trim III]],Registro[[#This Row],[Trim IV]])</f>
        <v>1</v>
      </c>
      <c r="Y1260" s="22">
        <f>IFERROR((Registro[[#This Row],[Avance Total]]/Registro[[#This Row],[Meta]]),0)</f>
        <v>7.6923076923076927E-2</v>
      </c>
      <c r="Z1260" s="22">
        <f>IFERROR((Registro[[#This Row],[Avance Total]]-Registro[[#This Row],[Línea Base 2025]])/Registro[[#This Row],[Línea Base 2025]],0)</f>
        <v>-0.88888888888888884</v>
      </c>
      <c r="AA1260" s="20">
        <v>2026</v>
      </c>
    </row>
    <row r="1261" spans="1:27" hidden="1">
      <c r="A1261" s="14">
        <v>1097</v>
      </c>
      <c r="B1261" s="15" t="s">
        <v>119</v>
      </c>
      <c r="C1261" s="16">
        <v>122</v>
      </c>
      <c r="D1261" s="16" t="s">
        <v>196</v>
      </c>
      <c r="E1261" s="17" t="s">
        <v>195</v>
      </c>
      <c r="F1261" s="24">
        <v>12</v>
      </c>
      <c r="G1261" s="19">
        <v>17</v>
      </c>
      <c r="H1261" s="19">
        <v>0</v>
      </c>
      <c r="I1261" s="19">
        <v>0</v>
      </c>
      <c r="T1261" s="19">
        <f>Registro[[#This Row],[Mes 1]]+Registro[[#This Row],[Mes 2]]+Registro[[#This Row],[Mes 3]]</f>
        <v>0</v>
      </c>
      <c r="U1261" s="19">
        <f>Registro[[#This Row],[Mes 4]]+Registro[[#This Row],[Mes 5]]+Registro[[#This Row],[Mes 6]]</f>
        <v>0</v>
      </c>
      <c r="V1261" s="19">
        <f>Registro[[#This Row],[Mes 7]]+Registro[[#This Row],[Mes 8]]+Registro[[#This Row],[Mes 9]]</f>
        <v>0</v>
      </c>
      <c r="W1261" s="20">
        <f>Registro[[#This Row],[Mes 10]]+Registro[[#This Row],[Mes 11]]+Registro[[#This Row],[Mes 12]]</f>
        <v>0</v>
      </c>
      <c r="X1261" s="20">
        <f>SUM(Registro[[#This Row],[Trim I]],Registro[[#This Row],[Trim II]],Registro[[#This Row],[Trim III]],Registro[[#This Row],[Trim IV]])</f>
        <v>0</v>
      </c>
      <c r="Y1261" s="22">
        <f>IFERROR((Registro[[#This Row],[Avance Total]]/Registro[[#This Row],[Meta]]),0)</f>
        <v>0</v>
      </c>
      <c r="Z1261" s="22">
        <f>IFERROR((Registro[[#This Row],[Avance Total]]-Registro[[#This Row],[Línea Base 2025]])/Registro[[#This Row],[Línea Base 2025]],0)</f>
        <v>-1</v>
      </c>
      <c r="AA1261" s="20">
        <v>2026</v>
      </c>
    </row>
    <row r="1262" spans="1:27" hidden="1">
      <c r="A1262" s="14">
        <v>1097</v>
      </c>
      <c r="B1262" s="15" t="s">
        <v>119</v>
      </c>
      <c r="C1262" s="16">
        <v>123</v>
      </c>
      <c r="D1262" s="16" t="s">
        <v>198</v>
      </c>
      <c r="E1262" s="17" t="s">
        <v>197</v>
      </c>
      <c r="F1262" s="24">
        <v>0</v>
      </c>
      <c r="G1262" s="19">
        <v>3</v>
      </c>
      <c r="H1262" s="19">
        <v>0</v>
      </c>
      <c r="I1262" s="19">
        <v>0</v>
      </c>
      <c r="T1262" s="19">
        <f>Registro[[#This Row],[Mes 1]]+Registro[[#This Row],[Mes 2]]+Registro[[#This Row],[Mes 3]]</f>
        <v>0</v>
      </c>
      <c r="U1262" s="19">
        <f>Registro[[#This Row],[Mes 4]]+Registro[[#This Row],[Mes 5]]+Registro[[#This Row],[Mes 6]]</f>
        <v>0</v>
      </c>
      <c r="V1262" s="19">
        <f>Registro[[#This Row],[Mes 7]]+Registro[[#This Row],[Mes 8]]+Registro[[#This Row],[Mes 9]]</f>
        <v>0</v>
      </c>
      <c r="W1262" s="20">
        <f>Registro[[#This Row],[Mes 10]]+Registro[[#This Row],[Mes 11]]+Registro[[#This Row],[Mes 12]]</f>
        <v>0</v>
      </c>
      <c r="X1262" s="20">
        <f>SUM(Registro[[#This Row],[Trim I]],Registro[[#This Row],[Trim II]],Registro[[#This Row],[Trim III]],Registro[[#This Row],[Trim IV]])</f>
        <v>0</v>
      </c>
      <c r="Y1262" s="22">
        <f>IFERROR((Registro[[#This Row],[Avance Total]]/Registro[[#This Row],[Meta]]),0)</f>
        <v>0</v>
      </c>
      <c r="Z1262" s="22">
        <f>IFERROR((Registro[[#This Row],[Avance Total]]-Registro[[#This Row],[Línea Base 2025]])/Registro[[#This Row],[Línea Base 2025]],0)</f>
        <v>0</v>
      </c>
      <c r="AA1262" s="20">
        <v>2026</v>
      </c>
    </row>
    <row r="1263" spans="1:27" hidden="1">
      <c r="A1263" s="14">
        <v>1098</v>
      </c>
      <c r="B1263" s="15" t="s">
        <v>120</v>
      </c>
      <c r="C1263" s="16">
        <v>111</v>
      </c>
      <c r="D1263" s="16" t="s">
        <v>171</v>
      </c>
      <c r="E1263" s="17" t="s">
        <v>172</v>
      </c>
      <c r="F1263" s="24">
        <v>58</v>
      </c>
      <c r="G1263" s="19">
        <v>183</v>
      </c>
      <c r="H1263" s="19">
        <v>0</v>
      </c>
      <c r="I1263" s="19">
        <v>4</v>
      </c>
      <c r="T1263" s="19">
        <f>Registro[[#This Row],[Mes 1]]+Registro[[#This Row],[Mes 2]]+Registro[[#This Row],[Mes 3]]</f>
        <v>4</v>
      </c>
      <c r="U1263" s="19">
        <f>Registro[[#This Row],[Mes 4]]+Registro[[#This Row],[Mes 5]]+Registro[[#This Row],[Mes 6]]</f>
        <v>0</v>
      </c>
      <c r="V1263" s="19">
        <f>Registro[[#This Row],[Mes 7]]+Registro[[#This Row],[Mes 8]]+Registro[[#This Row],[Mes 9]]</f>
        <v>0</v>
      </c>
      <c r="W1263" s="20">
        <f>Registro[[#This Row],[Mes 10]]+Registro[[#This Row],[Mes 11]]+Registro[[#This Row],[Mes 12]]</f>
        <v>0</v>
      </c>
      <c r="X1263" s="20">
        <f>SUM(Registro[[#This Row],[Trim I]],Registro[[#This Row],[Trim II]],Registro[[#This Row],[Trim III]],Registro[[#This Row],[Trim IV]])</f>
        <v>4</v>
      </c>
      <c r="Y1263" s="22">
        <f>IFERROR((Registro[[#This Row],[Avance Total]]/Registro[[#This Row],[Meta]]),0)</f>
        <v>2.185792349726776E-2</v>
      </c>
      <c r="Z1263" s="22">
        <f>IFERROR((Registro[[#This Row],[Avance Total]]-Registro[[#This Row],[Línea Base 2025]])/Registro[[#This Row],[Línea Base 2025]],0)</f>
        <v>-0.93103448275862066</v>
      </c>
      <c r="AA1263" s="20">
        <v>2026</v>
      </c>
    </row>
    <row r="1264" spans="1:27" hidden="1">
      <c r="A1264" s="14">
        <v>1098</v>
      </c>
      <c r="B1264" s="15" t="s">
        <v>120</v>
      </c>
      <c r="C1264" s="16">
        <v>112</v>
      </c>
      <c r="D1264" s="16" t="s">
        <v>173</v>
      </c>
      <c r="E1264" s="17" t="s">
        <v>7</v>
      </c>
      <c r="F1264" s="24">
        <v>59</v>
      </c>
      <c r="G1264" s="19">
        <v>180</v>
      </c>
      <c r="H1264" s="19">
        <v>0</v>
      </c>
      <c r="I1264" s="19">
        <v>0</v>
      </c>
      <c r="T1264" s="19">
        <f>Registro[[#This Row],[Mes 1]]+Registro[[#This Row],[Mes 2]]+Registro[[#This Row],[Mes 3]]</f>
        <v>0</v>
      </c>
      <c r="U1264" s="19">
        <f>Registro[[#This Row],[Mes 4]]+Registro[[#This Row],[Mes 5]]+Registro[[#This Row],[Mes 6]]</f>
        <v>0</v>
      </c>
      <c r="V1264" s="19">
        <f>Registro[[#This Row],[Mes 7]]+Registro[[#This Row],[Mes 8]]+Registro[[#This Row],[Mes 9]]</f>
        <v>0</v>
      </c>
      <c r="W1264" s="20">
        <f>Registro[[#This Row],[Mes 10]]+Registro[[#This Row],[Mes 11]]+Registro[[#This Row],[Mes 12]]</f>
        <v>0</v>
      </c>
      <c r="X1264" s="20">
        <f>SUM(Registro[[#This Row],[Trim I]],Registro[[#This Row],[Trim II]],Registro[[#This Row],[Trim III]],Registro[[#This Row],[Trim IV]])</f>
        <v>0</v>
      </c>
      <c r="Y1264" s="22">
        <f>IFERROR((Registro[[#This Row],[Avance Total]]/Registro[[#This Row],[Meta]]),0)</f>
        <v>0</v>
      </c>
      <c r="Z1264" s="22">
        <f>IFERROR((Registro[[#This Row],[Avance Total]]-Registro[[#This Row],[Línea Base 2025]])/Registro[[#This Row],[Línea Base 2025]],0)</f>
        <v>-1</v>
      </c>
      <c r="AA1264" s="20">
        <v>2026</v>
      </c>
    </row>
    <row r="1265" spans="1:27" hidden="1">
      <c r="A1265" s="14">
        <v>1098</v>
      </c>
      <c r="B1265" s="15" t="s">
        <v>120</v>
      </c>
      <c r="C1265" s="16">
        <v>113</v>
      </c>
      <c r="D1265" s="16" t="s">
        <v>179</v>
      </c>
      <c r="E1265" s="17" t="s">
        <v>178</v>
      </c>
      <c r="F1265" s="24">
        <v>48</v>
      </c>
      <c r="G1265" s="19">
        <v>381</v>
      </c>
      <c r="H1265" s="19">
        <v>1</v>
      </c>
      <c r="I1265" s="19">
        <v>0</v>
      </c>
      <c r="T1265" s="19">
        <f>Registro[[#This Row],[Mes 1]]+Registro[[#This Row],[Mes 2]]+Registro[[#This Row],[Mes 3]]</f>
        <v>1</v>
      </c>
      <c r="U1265" s="19">
        <f>Registro[[#This Row],[Mes 4]]+Registro[[#This Row],[Mes 5]]+Registro[[#This Row],[Mes 6]]</f>
        <v>0</v>
      </c>
      <c r="V1265" s="19">
        <f>Registro[[#This Row],[Mes 7]]+Registro[[#This Row],[Mes 8]]+Registro[[#This Row],[Mes 9]]</f>
        <v>0</v>
      </c>
      <c r="W1265" s="20">
        <f>Registro[[#This Row],[Mes 10]]+Registro[[#This Row],[Mes 11]]+Registro[[#This Row],[Mes 12]]</f>
        <v>0</v>
      </c>
      <c r="X1265" s="20">
        <f>SUM(Registro[[#This Row],[Trim I]],Registro[[#This Row],[Trim II]],Registro[[#This Row],[Trim III]],Registro[[#This Row],[Trim IV]])</f>
        <v>1</v>
      </c>
      <c r="Y1265" s="22">
        <f>IFERROR((Registro[[#This Row],[Avance Total]]/Registro[[#This Row],[Meta]]),0)</f>
        <v>2.6246719160104987E-3</v>
      </c>
      <c r="Z1265" s="22">
        <f>IFERROR((Registro[[#This Row],[Avance Total]]-Registro[[#This Row],[Línea Base 2025]])/Registro[[#This Row],[Línea Base 2025]],0)</f>
        <v>-0.97916666666666663</v>
      </c>
      <c r="AA1265" s="20">
        <v>2026</v>
      </c>
    </row>
    <row r="1266" spans="1:27" hidden="1">
      <c r="A1266" s="14">
        <v>1098</v>
      </c>
      <c r="B1266" s="15" t="s">
        <v>120</v>
      </c>
      <c r="C1266" s="16">
        <v>114</v>
      </c>
      <c r="D1266" s="16" t="s">
        <v>181</v>
      </c>
      <c r="E1266" s="17" t="s">
        <v>180</v>
      </c>
      <c r="F1266" s="24">
        <v>0</v>
      </c>
      <c r="G1266" s="19">
        <v>5</v>
      </c>
      <c r="H1266" s="19">
        <v>2</v>
      </c>
      <c r="I1266" s="19">
        <v>0</v>
      </c>
      <c r="T1266" s="19">
        <f>Registro[[#This Row],[Mes 1]]+Registro[[#This Row],[Mes 2]]+Registro[[#This Row],[Mes 3]]</f>
        <v>2</v>
      </c>
      <c r="U1266" s="19">
        <f>Registro[[#This Row],[Mes 4]]+Registro[[#This Row],[Mes 5]]+Registro[[#This Row],[Mes 6]]</f>
        <v>0</v>
      </c>
      <c r="V1266" s="19">
        <f>Registro[[#This Row],[Mes 7]]+Registro[[#This Row],[Mes 8]]+Registro[[#This Row],[Mes 9]]</f>
        <v>0</v>
      </c>
      <c r="W1266" s="20">
        <f>Registro[[#This Row],[Mes 10]]+Registro[[#This Row],[Mes 11]]+Registro[[#This Row],[Mes 12]]</f>
        <v>0</v>
      </c>
      <c r="X1266" s="20">
        <f>SUM(Registro[[#This Row],[Trim I]],Registro[[#This Row],[Trim II]],Registro[[#This Row],[Trim III]],Registro[[#This Row],[Trim IV]])</f>
        <v>2</v>
      </c>
      <c r="Y1266" s="22">
        <f>IFERROR((Registro[[#This Row],[Avance Total]]/Registro[[#This Row],[Meta]]),0)</f>
        <v>0.4</v>
      </c>
      <c r="Z1266" s="22">
        <f>IFERROR((Registro[[#This Row],[Avance Total]]-Registro[[#This Row],[Línea Base 2025]])/Registro[[#This Row],[Línea Base 2025]],0)</f>
        <v>0</v>
      </c>
      <c r="AA1266" s="20">
        <v>2026</v>
      </c>
    </row>
    <row r="1267" spans="1:27" hidden="1">
      <c r="A1267" s="14">
        <v>1098</v>
      </c>
      <c r="B1267" s="15" t="s">
        <v>120</v>
      </c>
      <c r="C1267" s="16">
        <v>115</v>
      </c>
      <c r="D1267" s="16" t="s">
        <v>183</v>
      </c>
      <c r="E1267" s="17" t="s">
        <v>182</v>
      </c>
      <c r="F1267" s="24">
        <v>12</v>
      </c>
      <c r="G1267" s="19">
        <v>4</v>
      </c>
      <c r="H1267" s="19">
        <v>0</v>
      </c>
      <c r="I1267" s="19">
        <v>0</v>
      </c>
      <c r="T1267" s="19">
        <f>Registro[[#This Row],[Mes 1]]+Registro[[#This Row],[Mes 2]]+Registro[[#This Row],[Mes 3]]</f>
        <v>0</v>
      </c>
      <c r="U1267" s="19">
        <f>Registro[[#This Row],[Mes 4]]+Registro[[#This Row],[Mes 5]]+Registro[[#This Row],[Mes 6]]</f>
        <v>0</v>
      </c>
      <c r="V1267" s="19">
        <f>Registro[[#This Row],[Mes 7]]+Registro[[#This Row],[Mes 8]]+Registro[[#This Row],[Mes 9]]</f>
        <v>0</v>
      </c>
      <c r="W1267" s="20">
        <f>Registro[[#This Row],[Mes 10]]+Registro[[#This Row],[Mes 11]]+Registro[[#This Row],[Mes 12]]</f>
        <v>0</v>
      </c>
      <c r="X1267" s="20">
        <f>SUM(Registro[[#This Row],[Trim I]],Registro[[#This Row],[Trim II]],Registro[[#This Row],[Trim III]],Registro[[#This Row],[Trim IV]])</f>
        <v>0</v>
      </c>
      <c r="Y1267" s="22">
        <f>IFERROR((Registro[[#This Row],[Avance Total]]/Registro[[#This Row],[Meta]]),0)</f>
        <v>0</v>
      </c>
      <c r="Z1267" s="22">
        <f>IFERROR((Registro[[#This Row],[Avance Total]]-Registro[[#This Row],[Línea Base 2025]])/Registro[[#This Row],[Línea Base 2025]],0)</f>
        <v>-1</v>
      </c>
      <c r="AA1267" s="20">
        <v>2026</v>
      </c>
    </row>
    <row r="1268" spans="1:27">
      <c r="A1268" s="14">
        <v>1098</v>
      </c>
      <c r="B1268" s="15" t="s">
        <v>120</v>
      </c>
      <c r="C1268" s="16">
        <v>116</v>
      </c>
      <c r="D1268" s="16" t="s">
        <v>185</v>
      </c>
      <c r="E1268" s="17" t="s">
        <v>184</v>
      </c>
      <c r="F1268" s="24">
        <v>7</v>
      </c>
      <c r="G1268" s="19">
        <v>6</v>
      </c>
      <c r="H1268" s="19">
        <v>0</v>
      </c>
      <c r="I1268" s="19">
        <v>0</v>
      </c>
      <c r="T1268" s="19">
        <f>Registro[[#This Row],[Mes 1]]+Registro[[#This Row],[Mes 2]]+Registro[[#This Row],[Mes 3]]</f>
        <v>0</v>
      </c>
      <c r="U1268" s="19">
        <f>Registro[[#This Row],[Mes 4]]+Registro[[#This Row],[Mes 5]]+Registro[[#This Row],[Mes 6]]</f>
        <v>0</v>
      </c>
      <c r="V1268" s="19">
        <f>Registro[[#This Row],[Mes 7]]+Registro[[#This Row],[Mes 8]]+Registro[[#This Row],[Mes 9]]</f>
        <v>0</v>
      </c>
      <c r="W1268" s="20">
        <f>Registro[[#This Row],[Mes 10]]+Registro[[#This Row],[Mes 11]]+Registro[[#This Row],[Mes 12]]</f>
        <v>0</v>
      </c>
      <c r="X1268" s="20">
        <f>SUM(Registro[[#This Row],[Trim I]],Registro[[#This Row],[Trim II]],Registro[[#This Row],[Trim III]],Registro[[#This Row],[Trim IV]])</f>
        <v>0</v>
      </c>
      <c r="Y1268" s="22">
        <f>IFERROR((Registro[[#This Row],[Avance Total]]/Registro[[#This Row],[Meta]]),0)</f>
        <v>0</v>
      </c>
      <c r="Z1268" s="22">
        <f>IFERROR((Registro[[#This Row],[Avance Total]]-Registro[[#This Row],[Línea Base 2025]])/Registro[[#This Row],[Línea Base 2025]],0)</f>
        <v>-1</v>
      </c>
      <c r="AA1268" s="20">
        <v>2026</v>
      </c>
    </row>
    <row r="1269" spans="1:27" hidden="1">
      <c r="A1269" s="14">
        <v>1098</v>
      </c>
      <c r="B1269" s="15" t="s">
        <v>120</v>
      </c>
      <c r="C1269" s="16">
        <v>117</v>
      </c>
      <c r="D1269" s="16" t="s">
        <v>187</v>
      </c>
      <c r="E1269" s="17" t="s">
        <v>186</v>
      </c>
      <c r="F1269" s="24">
        <v>5</v>
      </c>
      <c r="G1269" s="19">
        <v>2</v>
      </c>
      <c r="H1269" s="19">
        <v>0</v>
      </c>
      <c r="I1269" s="19">
        <v>0</v>
      </c>
      <c r="T1269" s="19">
        <f>Registro[[#This Row],[Mes 1]]+Registro[[#This Row],[Mes 2]]+Registro[[#This Row],[Mes 3]]</f>
        <v>0</v>
      </c>
      <c r="U1269" s="19">
        <f>Registro[[#This Row],[Mes 4]]+Registro[[#This Row],[Mes 5]]+Registro[[#This Row],[Mes 6]]</f>
        <v>0</v>
      </c>
      <c r="V1269" s="19">
        <f>Registro[[#This Row],[Mes 7]]+Registro[[#This Row],[Mes 8]]+Registro[[#This Row],[Mes 9]]</f>
        <v>0</v>
      </c>
      <c r="W1269" s="20">
        <f>Registro[[#This Row],[Mes 10]]+Registro[[#This Row],[Mes 11]]+Registro[[#This Row],[Mes 12]]</f>
        <v>0</v>
      </c>
      <c r="X1269" s="20">
        <f>SUM(Registro[[#This Row],[Trim I]],Registro[[#This Row],[Trim II]],Registro[[#This Row],[Trim III]],Registro[[#This Row],[Trim IV]])</f>
        <v>0</v>
      </c>
      <c r="Y1269" s="22">
        <f>IFERROR((Registro[[#This Row],[Avance Total]]/Registro[[#This Row],[Meta]]),0)</f>
        <v>0</v>
      </c>
      <c r="Z1269" s="22">
        <f>IFERROR((Registro[[#This Row],[Avance Total]]-Registro[[#This Row],[Línea Base 2025]])/Registro[[#This Row],[Línea Base 2025]],0)</f>
        <v>-1</v>
      </c>
      <c r="AA1269" s="20">
        <v>2026</v>
      </c>
    </row>
    <row r="1270" spans="1:27" hidden="1">
      <c r="A1270" s="14">
        <v>1098</v>
      </c>
      <c r="B1270" s="15" t="s">
        <v>120</v>
      </c>
      <c r="C1270" s="16">
        <v>118</v>
      </c>
      <c r="D1270" s="16" t="s">
        <v>188</v>
      </c>
      <c r="E1270" s="17" t="s">
        <v>9</v>
      </c>
      <c r="F1270" s="24">
        <v>0</v>
      </c>
      <c r="G1270" s="19">
        <v>3</v>
      </c>
      <c r="H1270" s="19">
        <v>0</v>
      </c>
      <c r="I1270" s="19">
        <v>0</v>
      </c>
      <c r="T1270" s="19">
        <f>Registro[[#This Row],[Mes 1]]+Registro[[#This Row],[Mes 2]]+Registro[[#This Row],[Mes 3]]</f>
        <v>0</v>
      </c>
      <c r="U1270" s="19">
        <f>Registro[[#This Row],[Mes 4]]+Registro[[#This Row],[Mes 5]]+Registro[[#This Row],[Mes 6]]</f>
        <v>0</v>
      </c>
      <c r="V1270" s="19">
        <f>Registro[[#This Row],[Mes 7]]+Registro[[#This Row],[Mes 8]]+Registro[[#This Row],[Mes 9]]</f>
        <v>0</v>
      </c>
      <c r="W1270" s="20">
        <f>Registro[[#This Row],[Mes 10]]+Registro[[#This Row],[Mes 11]]+Registro[[#This Row],[Mes 12]]</f>
        <v>0</v>
      </c>
      <c r="X1270" s="20">
        <f>SUM(Registro[[#This Row],[Trim I]],Registro[[#This Row],[Trim II]],Registro[[#This Row],[Trim III]],Registro[[#This Row],[Trim IV]])</f>
        <v>0</v>
      </c>
      <c r="Y1270" s="22">
        <f>IFERROR((Registro[[#This Row],[Avance Total]]/Registro[[#This Row],[Meta]]),0)</f>
        <v>0</v>
      </c>
      <c r="Z1270" s="22">
        <f>IFERROR((Registro[[#This Row],[Avance Total]]-Registro[[#This Row],[Línea Base 2025]])/Registro[[#This Row],[Línea Base 2025]],0)</f>
        <v>0</v>
      </c>
      <c r="AA1270" s="20">
        <v>2026</v>
      </c>
    </row>
    <row r="1271" spans="1:27" hidden="1">
      <c r="A1271" s="14">
        <v>1098</v>
      </c>
      <c r="B1271" s="15" t="s">
        <v>120</v>
      </c>
      <c r="C1271" s="16">
        <v>119</v>
      </c>
      <c r="D1271" s="16" t="s">
        <v>190</v>
      </c>
      <c r="E1271" s="17" t="s">
        <v>189</v>
      </c>
      <c r="F1271" s="24">
        <v>0</v>
      </c>
      <c r="G1271" s="19">
        <v>4</v>
      </c>
      <c r="H1271" s="19">
        <v>0</v>
      </c>
      <c r="I1271" s="19">
        <v>0</v>
      </c>
      <c r="T1271" s="19">
        <f>Registro[[#This Row],[Mes 1]]+Registro[[#This Row],[Mes 2]]+Registro[[#This Row],[Mes 3]]</f>
        <v>0</v>
      </c>
      <c r="U1271" s="19">
        <f>Registro[[#This Row],[Mes 4]]+Registro[[#This Row],[Mes 5]]+Registro[[#This Row],[Mes 6]]</f>
        <v>0</v>
      </c>
      <c r="V1271" s="19">
        <f>Registro[[#This Row],[Mes 7]]+Registro[[#This Row],[Mes 8]]+Registro[[#This Row],[Mes 9]]</f>
        <v>0</v>
      </c>
      <c r="W1271" s="20">
        <f>Registro[[#This Row],[Mes 10]]+Registro[[#This Row],[Mes 11]]+Registro[[#This Row],[Mes 12]]</f>
        <v>0</v>
      </c>
      <c r="X1271" s="20">
        <f>SUM(Registro[[#This Row],[Trim I]],Registro[[#This Row],[Trim II]],Registro[[#This Row],[Trim III]],Registro[[#This Row],[Trim IV]])</f>
        <v>0</v>
      </c>
      <c r="Y1271" s="22">
        <f>IFERROR((Registro[[#This Row],[Avance Total]]/Registro[[#This Row],[Meta]]),0)</f>
        <v>0</v>
      </c>
      <c r="Z1271" s="22">
        <f>IFERROR((Registro[[#This Row],[Avance Total]]-Registro[[#This Row],[Línea Base 2025]])/Registro[[#This Row],[Línea Base 2025]],0)</f>
        <v>0</v>
      </c>
      <c r="AA1271" s="20">
        <v>2026</v>
      </c>
    </row>
    <row r="1272" spans="1:27" hidden="1">
      <c r="A1272" s="14">
        <v>1098</v>
      </c>
      <c r="B1272" s="15" t="s">
        <v>120</v>
      </c>
      <c r="C1272" s="16">
        <v>120</v>
      </c>
      <c r="D1272" s="16" t="s">
        <v>192</v>
      </c>
      <c r="E1272" s="17" t="s">
        <v>191</v>
      </c>
      <c r="F1272" s="24">
        <v>5</v>
      </c>
      <c r="G1272" s="19">
        <v>15</v>
      </c>
      <c r="H1272" s="19">
        <v>0</v>
      </c>
      <c r="I1272" s="19">
        <v>11</v>
      </c>
      <c r="T1272" s="19">
        <f>Registro[[#This Row],[Mes 1]]+Registro[[#This Row],[Mes 2]]+Registro[[#This Row],[Mes 3]]</f>
        <v>11</v>
      </c>
      <c r="U1272" s="19">
        <f>Registro[[#This Row],[Mes 4]]+Registro[[#This Row],[Mes 5]]+Registro[[#This Row],[Mes 6]]</f>
        <v>0</v>
      </c>
      <c r="V1272" s="19">
        <f>Registro[[#This Row],[Mes 7]]+Registro[[#This Row],[Mes 8]]+Registro[[#This Row],[Mes 9]]</f>
        <v>0</v>
      </c>
      <c r="W1272" s="20">
        <f>Registro[[#This Row],[Mes 10]]+Registro[[#This Row],[Mes 11]]+Registro[[#This Row],[Mes 12]]</f>
        <v>0</v>
      </c>
      <c r="X1272" s="20">
        <f>SUM(Registro[[#This Row],[Trim I]],Registro[[#This Row],[Trim II]],Registro[[#This Row],[Trim III]],Registro[[#This Row],[Trim IV]])</f>
        <v>11</v>
      </c>
      <c r="Y1272" s="22">
        <f>IFERROR((Registro[[#This Row],[Avance Total]]/Registro[[#This Row],[Meta]]),0)</f>
        <v>0.73333333333333328</v>
      </c>
      <c r="Z1272" s="22">
        <f>IFERROR((Registro[[#This Row],[Avance Total]]-Registro[[#This Row],[Línea Base 2025]])/Registro[[#This Row],[Línea Base 2025]],0)</f>
        <v>1.2</v>
      </c>
      <c r="AA1272" s="20">
        <v>2026</v>
      </c>
    </row>
    <row r="1273" spans="1:27" hidden="1">
      <c r="A1273" s="14">
        <v>1098</v>
      </c>
      <c r="B1273" s="15" t="s">
        <v>120</v>
      </c>
      <c r="C1273" s="16">
        <v>121</v>
      </c>
      <c r="D1273" s="16" t="s">
        <v>194</v>
      </c>
      <c r="E1273" s="17" t="s">
        <v>193</v>
      </c>
      <c r="F1273" s="24">
        <v>7</v>
      </c>
      <c r="G1273" s="19">
        <v>10</v>
      </c>
      <c r="H1273" s="19">
        <v>0</v>
      </c>
      <c r="I1273" s="19">
        <v>0</v>
      </c>
      <c r="T1273" s="19">
        <f>Registro[[#This Row],[Mes 1]]+Registro[[#This Row],[Mes 2]]+Registro[[#This Row],[Mes 3]]</f>
        <v>0</v>
      </c>
      <c r="U1273" s="19">
        <f>Registro[[#This Row],[Mes 4]]+Registro[[#This Row],[Mes 5]]+Registro[[#This Row],[Mes 6]]</f>
        <v>0</v>
      </c>
      <c r="V1273" s="19">
        <f>Registro[[#This Row],[Mes 7]]+Registro[[#This Row],[Mes 8]]+Registro[[#This Row],[Mes 9]]</f>
        <v>0</v>
      </c>
      <c r="W1273" s="20">
        <f>Registro[[#This Row],[Mes 10]]+Registro[[#This Row],[Mes 11]]+Registro[[#This Row],[Mes 12]]</f>
        <v>0</v>
      </c>
      <c r="X1273" s="20">
        <f>SUM(Registro[[#This Row],[Trim I]],Registro[[#This Row],[Trim II]],Registro[[#This Row],[Trim III]],Registro[[#This Row],[Trim IV]])</f>
        <v>0</v>
      </c>
      <c r="Y1273" s="22">
        <f>IFERROR((Registro[[#This Row],[Avance Total]]/Registro[[#This Row],[Meta]]),0)</f>
        <v>0</v>
      </c>
      <c r="Z1273" s="22">
        <f>IFERROR((Registro[[#This Row],[Avance Total]]-Registro[[#This Row],[Línea Base 2025]])/Registro[[#This Row],[Línea Base 2025]],0)</f>
        <v>-1</v>
      </c>
      <c r="AA1273" s="20">
        <v>2026</v>
      </c>
    </row>
    <row r="1274" spans="1:27" hidden="1">
      <c r="A1274" s="14">
        <v>1098</v>
      </c>
      <c r="B1274" s="15" t="s">
        <v>120</v>
      </c>
      <c r="C1274" s="16">
        <v>122</v>
      </c>
      <c r="D1274" s="16" t="s">
        <v>196</v>
      </c>
      <c r="E1274" s="17" t="s">
        <v>195</v>
      </c>
      <c r="F1274" s="24">
        <v>10</v>
      </c>
      <c r="G1274" s="19">
        <v>14</v>
      </c>
      <c r="H1274" s="19">
        <v>0</v>
      </c>
      <c r="I1274" s="19">
        <v>0</v>
      </c>
      <c r="T1274" s="19">
        <f>Registro[[#This Row],[Mes 1]]+Registro[[#This Row],[Mes 2]]+Registro[[#This Row],[Mes 3]]</f>
        <v>0</v>
      </c>
      <c r="U1274" s="19">
        <f>Registro[[#This Row],[Mes 4]]+Registro[[#This Row],[Mes 5]]+Registro[[#This Row],[Mes 6]]</f>
        <v>0</v>
      </c>
      <c r="V1274" s="19">
        <f>Registro[[#This Row],[Mes 7]]+Registro[[#This Row],[Mes 8]]+Registro[[#This Row],[Mes 9]]</f>
        <v>0</v>
      </c>
      <c r="W1274" s="20">
        <f>Registro[[#This Row],[Mes 10]]+Registro[[#This Row],[Mes 11]]+Registro[[#This Row],[Mes 12]]</f>
        <v>0</v>
      </c>
      <c r="X1274" s="20">
        <f>SUM(Registro[[#This Row],[Trim I]],Registro[[#This Row],[Trim II]],Registro[[#This Row],[Trim III]],Registro[[#This Row],[Trim IV]])</f>
        <v>0</v>
      </c>
      <c r="Y1274" s="22">
        <f>IFERROR((Registro[[#This Row],[Avance Total]]/Registro[[#This Row],[Meta]]),0)</f>
        <v>0</v>
      </c>
      <c r="Z1274" s="22">
        <f>IFERROR((Registro[[#This Row],[Avance Total]]-Registro[[#This Row],[Línea Base 2025]])/Registro[[#This Row],[Línea Base 2025]],0)</f>
        <v>-1</v>
      </c>
      <c r="AA1274" s="20">
        <v>2026</v>
      </c>
    </row>
    <row r="1275" spans="1:27" hidden="1">
      <c r="A1275" s="14">
        <v>1098</v>
      </c>
      <c r="B1275" s="15" t="s">
        <v>120</v>
      </c>
      <c r="C1275" s="16">
        <v>123</v>
      </c>
      <c r="D1275" s="16" t="s">
        <v>198</v>
      </c>
      <c r="E1275" s="17" t="s">
        <v>197</v>
      </c>
      <c r="F1275" s="24">
        <v>0</v>
      </c>
      <c r="G1275" s="19">
        <v>2</v>
      </c>
      <c r="H1275" s="19">
        <v>0</v>
      </c>
      <c r="I1275" s="19">
        <v>0</v>
      </c>
      <c r="T1275" s="19">
        <f>Registro[[#This Row],[Mes 1]]+Registro[[#This Row],[Mes 2]]+Registro[[#This Row],[Mes 3]]</f>
        <v>0</v>
      </c>
      <c r="U1275" s="19">
        <f>Registro[[#This Row],[Mes 4]]+Registro[[#This Row],[Mes 5]]+Registro[[#This Row],[Mes 6]]</f>
        <v>0</v>
      </c>
      <c r="V1275" s="19">
        <f>Registro[[#This Row],[Mes 7]]+Registro[[#This Row],[Mes 8]]+Registro[[#This Row],[Mes 9]]</f>
        <v>0</v>
      </c>
      <c r="W1275" s="20">
        <f>Registro[[#This Row],[Mes 10]]+Registro[[#This Row],[Mes 11]]+Registro[[#This Row],[Mes 12]]</f>
        <v>0</v>
      </c>
      <c r="X1275" s="20">
        <f>SUM(Registro[[#This Row],[Trim I]],Registro[[#This Row],[Trim II]],Registro[[#This Row],[Trim III]],Registro[[#This Row],[Trim IV]])</f>
        <v>0</v>
      </c>
      <c r="Y1275" s="22">
        <f>IFERROR((Registro[[#This Row],[Avance Total]]/Registro[[#This Row],[Meta]]),0)</f>
        <v>0</v>
      </c>
      <c r="Z1275" s="22">
        <f>IFERROR((Registro[[#This Row],[Avance Total]]-Registro[[#This Row],[Línea Base 2025]])/Registro[[#This Row],[Línea Base 2025]],0)</f>
        <v>0</v>
      </c>
      <c r="AA1275" s="20">
        <v>2026</v>
      </c>
    </row>
    <row r="1276" spans="1:27" hidden="1">
      <c r="A1276" s="14">
        <v>1099</v>
      </c>
      <c r="B1276" s="15" t="s">
        <v>121</v>
      </c>
      <c r="C1276" s="16">
        <v>111</v>
      </c>
      <c r="D1276" s="16" t="s">
        <v>171</v>
      </c>
      <c r="E1276" s="17" t="s">
        <v>172</v>
      </c>
      <c r="F1276" s="24">
        <v>36</v>
      </c>
      <c r="G1276" s="19">
        <v>241</v>
      </c>
      <c r="H1276" s="19">
        <v>8</v>
      </c>
      <c r="I1276" s="19">
        <v>9</v>
      </c>
      <c r="T1276" s="19">
        <f>Registro[[#This Row],[Mes 1]]+Registro[[#This Row],[Mes 2]]+Registro[[#This Row],[Mes 3]]</f>
        <v>17</v>
      </c>
      <c r="U1276" s="19">
        <f>Registro[[#This Row],[Mes 4]]+Registro[[#This Row],[Mes 5]]+Registro[[#This Row],[Mes 6]]</f>
        <v>0</v>
      </c>
      <c r="V1276" s="19">
        <f>Registro[[#This Row],[Mes 7]]+Registro[[#This Row],[Mes 8]]+Registro[[#This Row],[Mes 9]]</f>
        <v>0</v>
      </c>
      <c r="W1276" s="20">
        <f>Registro[[#This Row],[Mes 10]]+Registro[[#This Row],[Mes 11]]+Registro[[#This Row],[Mes 12]]</f>
        <v>0</v>
      </c>
      <c r="X1276" s="20">
        <f>SUM(Registro[[#This Row],[Trim I]],Registro[[#This Row],[Trim II]],Registro[[#This Row],[Trim III]],Registro[[#This Row],[Trim IV]])</f>
        <v>17</v>
      </c>
      <c r="Y1276" s="22">
        <f>IFERROR((Registro[[#This Row],[Avance Total]]/Registro[[#This Row],[Meta]]),0)</f>
        <v>7.0539419087136929E-2</v>
      </c>
      <c r="Z1276" s="22">
        <f>IFERROR((Registro[[#This Row],[Avance Total]]-Registro[[#This Row],[Línea Base 2025]])/Registro[[#This Row],[Línea Base 2025]],0)</f>
        <v>-0.52777777777777779</v>
      </c>
      <c r="AA1276" s="20">
        <v>2026</v>
      </c>
    </row>
    <row r="1277" spans="1:27" hidden="1">
      <c r="A1277" s="14">
        <v>1099</v>
      </c>
      <c r="B1277" s="15" t="s">
        <v>121</v>
      </c>
      <c r="C1277" s="16">
        <v>112</v>
      </c>
      <c r="D1277" s="16" t="s">
        <v>173</v>
      </c>
      <c r="E1277" s="17" t="s">
        <v>7</v>
      </c>
      <c r="F1277" s="24">
        <v>19</v>
      </c>
      <c r="G1277" s="19">
        <v>72</v>
      </c>
      <c r="H1277" s="19">
        <v>0</v>
      </c>
      <c r="I1277" s="19">
        <v>0</v>
      </c>
      <c r="T1277" s="19">
        <f>Registro[[#This Row],[Mes 1]]+Registro[[#This Row],[Mes 2]]+Registro[[#This Row],[Mes 3]]</f>
        <v>0</v>
      </c>
      <c r="U1277" s="19">
        <f>Registro[[#This Row],[Mes 4]]+Registro[[#This Row],[Mes 5]]+Registro[[#This Row],[Mes 6]]</f>
        <v>0</v>
      </c>
      <c r="V1277" s="19">
        <f>Registro[[#This Row],[Mes 7]]+Registro[[#This Row],[Mes 8]]+Registro[[#This Row],[Mes 9]]</f>
        <v>0</v>
      </c>
      <c r="W1277" s="20">
        <f>Registro[[#This Row],[Mes 10]]+Registro[[#This Row],[Mes 11]]+Registro[[#This Row],[Mes 12]]</f>
        <v>0</v>
      </c>
      <c r="X1277" s="20">
        <f>SUM(Registro[[#This Row],[Trim I]],Registro[[#This Row],[Trim II]],Registro[[#This Row],[Trim III]],Registro[[#This Row],[Trim IV]])</f>
        <v>0</v>
      </c>
      <c r="Y1277" s="22">
        <f>IFERROR((Registro[[#This Row],[Avance Total]]/Registro[[#This Row],[Meta]]),0)</f>
        <v>0</v>
      </c>
      <c r="Z1277" s="22">
        <f>IFERROR((Registro[[#This Row],[Avance Total]]-Registro[[#This Row],[Línea Base 2025]])/Registro[[#This Row],[Línea Base 2025]],0)</f>
        <v>-1</v>
      </c>
      <c r="AA1277" s="20">
        <v>2026</v>
      </c>
    </row>
    <row r="1278" spans="1:27" hidden="1">
      <c r="A1278" s="14">
        <v>1099</v>
      </c>
      <c r="B1278" s="15" t="s">
        <v>121</v>
      </c>
      <c r="C1278" s="16">
        <v>113</v>
      </c>
      <c r="D1278" s="16" t="s">
        <v>179</v>
      </c>
      <c r="E1278" s="17" t="s">
        <v>178</v>
      </c>
      <c r="F1278" s="24">
        <v>18</v>
      </c>
      <c r="G1278" s="19">
        <v>251</v>
      </c>
      <c r="H1278" s="19">
        <v>0</v>
      </c>
      <c r="I1278" s="19">
        <v>1</v>
      </c>
      <c r="T1278" s="19">
        <f>Registro[[#This Row],[Mes 1]]+Registro[[#This Row],[Mes 2]]+Registro[[#This Row],[Mes 3]]</f>
        <v>1</v>
      </c>
      <c r="U1278" s="19">
        <f>Registro[[#This Row],[Mes 4]]+Registro[[#This Row],[Mes 5]]+Registro[[#This Row],[Mes 6]]</f>
        <v>0</v>
      </c>
      <c r="V1278" s="19">
        <f>Registro[[#This Row],[Mes 7]]+Registro[[#This Row],[Mes 8]]+Registro[[#This Row],[Mes 9]]</f>
        <v>0</v>
      </c>
      <c r="W1278" s="20">
        <f>Registro[[#This Row],[Mes 10]]+Registro[[#This Row],[Mes 11]]+Registro[[#This Row],[Mes 12]]</f>
        <v>0</v>
      </c>
      <c r="X1278" s="20">
        <f>SUM(Registro[[#This Row],[Trim I]],Registro[[#This Row],[Trim II]],Registro[[#This Row],[Trim III]],Registro[[#This Row],[Trim IV]])</f>
        <v>1</v>
      </c>
      <c r="Y1278" s="22">
        <f>IFERROR((Registro[[#This Row],[Avance Total]]/Registro[[#This Row],[Meta]]),0)</f>
        <v>3.9840637450199202E-3</v>
      </c>
      <c r="Z1278" s="22">
        <f>IFERROR((Registro[[#This Row],[Avance Total]]-Registro[[#This Row],[Línea Base 2025]])/Registro[[#This Row],[Línea Base 2025]],0)</f>
        <v>-0.94444444444444442</v>
      </c>
      <c r="AA1278" s="20">
        <v>2026</v>
      </c>
    </row>
    <row r="1279" spans="1:27" hidden="1">
      <c r="A1279" s="14">
        <v>1099</v>
      </c>
      <c r="B1279" s="15" t="s">
        <v>121</v>
      </c>
      <c r="C1279" s="16">
        <v>114</v>
      </c>
      <c r="D1279" s="16" t="s">
        <v>181</v>
      </c>
      <c r="E1279" s="17" t="s">
        <v>180</v>
      </c>
      <c r="F1279" s="24">
        <v>0</v>
      </c>
      <c r="G1279" s="19">
        <v>11</v>
      </c>
      <c r="H1279" s="19">
        <v>0</v>
      </c>
      <c r="I1279" s="19">
        <v>0</v>
      </c>
      <c r="T1279" s="19">
        <f>Registro[[#This Row],[Mes 1]]+Registro[[#This Row],[Mes 2]]+Registro[[#This Row],[Mes 3]]</f>
        <v>0</v>
      </c>
      <c r="U1279" s="19">
        <f>Registro[[#This Row],[Mes 4]]+Registro[[#This Row],[Mes 5]]+Registro[[#This Row],[Mes 6]]</f>
        <v>0</v>
      </c>
      <c r="V1279" s="19">
        <f>Registro[[#This Row],[Mes 7]]+Registro[[#This Row],[Mes 8]]+Registro[[#This Row],[Mes 9]]</f>
        <v>0</v>
      </c>
      <c r="W1279" s="20">
        <f>Registro[[#This Row],[Mes 10]]+Registro[[#This Row],[Mes 11]]+Registro[[#This Row],[Mes 12]]</f>
        <v>0</v>
      </c>
      <c r="X1279" s="20">
        <f>SUM(Registro[[#This Row],[Trim I]],Registro[[#This Row],[Trim II]],Registro[[#This Row],[Trim III]],Registro[[#This Row],[Trim IV]])</f>
        <v>0</v>
      </c>
      <c r="Y1279" s="22">
        <f>IFERROR((Registro[[#This Row],[Avance Total]]/Registro[[#This Row],[Meta]]),0)</f>
        <v>0</v>
      </c>
      <c r="Z1279" s="22">
        <f>IFERROR((Registro[[#This Row],[Avance Total]]-Registro[[#This Row],[Línea Base 2025]])/Registro[[#This Row],[Línea Base 2025]],0)</f>
        <v>0</v>
      </c>
      <c r="AA1279" s="20">
        <v>2026</v>
      </c>
    </row>
    <row r="1280" spans="1:27" hidden="1">
      <c r="A1280" s="14">
        <v>1099</v>
      </c>
      <c r="B1280" s="15" t="s">
        <v>121</v>
      </c>
      <c r="C1280" s="16">
        <v>115</v>
      </c>
      <c r="D1280" s="16" t="s">
        <v>183</v>
      </c>
      <c r="E1280" s="17" t="s">
        <v>182</v>
      </c>
      <c r="F1280" s="24">
        <v>2</v>
      </c>
      <c r="G1280" s="19">
        <v>10</v>
      </c>
      <c r="H1280" s="19">
        <v>0</v>
      </c>
      <c r="I1280" s="19">
        <v>0</v>
      </c>
      <c r="T1280" s="19">
        <f>Registro[[#This Row],[Mes 1]]+Registro[[#This Row],[Mes 2]]+Registro[[#This Row],[Mes 3]]</f>
        <v>0</v>
      </c>
      <c r="U1280" s="19">
        <f>Registro[[#This Row],[Mes 4]]+Registro[[#This Row],[Mes 5]]+Registro[[#This Row],[Mes 6]]</f>
        <v>0</v>
      </c>
      <c r="V1280" s="19">
        <f>Registro[[#This Row],[Mes 7]]+Registro[[#This Row],[Mes 8]]+Registro[[#This Row],[Mes 9]]</f>
        <v>0</v>
      </c>
      <c r="W1280" s="20">
        <f>Registro[[#This Row],[Mes 10]]+Registro[[#This Row],[Mes 11]]+Registro[[#This Row],[Mes 12]]</f>
        <v>0</v>
      </c>
      <c r="X1280" s="20">
        <f>SUM(Registro[[#This Row],[Trim I]],Registro[[#This Row],[Trim II]],Registro[[#This Row],[Trim III]],Registro[[#This Row],[Trim IV]])</f>
        <v>0</v>
      </c>
      <c r="Y1280" s="22">
        <f>IFERROR((Registro[[#This Row],[Avance Total]]/Registro[[#This Row],[Meta]]),0)</f>
        <v>0</v>
      </c>
      <c r="Z1280" s="22">
        <f>IFERROR((Registro[[#This Row],[Avance Total]]-Registro[[#This Row],[Línea Base 2025]])/Registro[[#This Row],[Línea Base 2025]],0)</f>
        <v>-1</v>
      </c>
      <c r="AA1280" s="20">
        <v>2026</v>
      </c>
    </row>
    <row r="1281" spans="1:27">
      <c r="A1281" s="14">
        <v>1099</v>
      </c>
      <c r="B1281" s="15" t="s">
        <v>121</v>
      </c>
      <c r="C1281" s="16">
        <v>116</v>
      </c>
      <c r="D1281" s="16" t="s">
        <v>185</v>
      </c>
      <c r="E1281" s="17" t="s">
        <v>184</v>
      </c>
      <c r="F1281" s="24">
        <v>4</v>
      </c>
      <c r="G1281" s="19">
        <v>6</v>
      </c>
      <c r="H1281" s="19">
        <v>0</v>
      </c>
      <c r="I1281" s="19">
        <v>0</v>
      </c>
      <c r="T1281" s="19">
        <f>Registro[[#This Row],[Mes 1]]+Registro[[#This Row],[Mes 2]]+Registro[[#This Row],[Mes 3]]</f>
        <v>0</v>
      </c>
      <c r="U1281" s="19">
        <f>Registro[[#This Row],[Mes 4]]+Registro[[#This Row],[Mes 5]]+Registro[[#This Row],[Mes 6]]</f>
        <v>0</v>
      </c>
      <c r="V1281" s="19">
        <f>Registro[[#This Row],[Mes 7]]+Registro[[#This Row],[Mes 8]]+Registro[[#This Row],[Mes 9]]</f>
        <v>0</v>
      </c>
      <c r="W1281" s="20">
        <f>Registro[[#This Row],[Mes 10]]+Registro[[#This Row],[Mes 11]]+Registro[[#This Row],[Mes 12]]</f>
        <v>0</v>
      </c>
      <c r="X1281" s="20">
        <f>SUM(Registro[[#This Row],[Trim I]],Registro[[#This Row],[Trim II]],Registro[[#This Row],[Trim III]],Registro[[#This Row],[Trim IV]])</f>
        <v>0</v>
      </c>
      <c r="Y1281" s="22">
        <f>IFERROR((Registro[[#This Row],[Avance Total]]/Registro[[#This Row],[Meta]]),0)</f>
        <v>0</v>
      </c>
      <c r="Z1281" s="22">
        <f>IFERROR((Registro[[#This Row],[Avance Total]]-Registro[[#This Row],[Línea Base 2025]])/Registro[[#This Row],[Línea Base 2025]],0)</f>
        <v>-1</v>
      </c>
      <c r="AA1281" s="20">
        <v>2026</v>
      </c>
    </row>
    <row r="1282" spans="1:27" hidden="1">
      <c r="A1282" s="14">
        <v>1099</v>
      </c>
      <c r="B1282" s="15" t="s">
        <v>121</v>
      </c>
      <c r="C1282" s="16">
        <v>117</v>
      </c>
      <c r="D1282" s="16" t="s">
        <v>187</v>
      </c>
      <c r="E1282" s="17" t="s">
        <v>186</v>
      </c>
      <c r="F1282" s="24">
        <v>2</v>
      </c>
      <c r="G1282" s="19">
        <v>2</v>
      </c>
      <c r="H1282" s="19">
        <v>0</v>
      </c>
      <c r="I1282" s="19">
        <v>0</v>
      </c>
      <c r="T1282" s="19">
        <f>Registro[[#This Row],[Mes 1]]+Registro[[#This Row],[Mes 2]]+Registro[[#This Row],[Mes 3]]</f>
        <v>0</v>
      </c>
      <c r="U1282" s="19">
        <f>Registro[[#This Row],[Mes 4]]+Registro[[#This Row],[Mes 5]]+Registro[[#This Row],[Mes 6]]</f>
        <v>0</v>
      </c>
      <c r="V1282" s="19">
        <f>Registro[[#This Row],[Mes 7]]+Registro[[#This Row],[Mes 8]]+Registro[[#This Row],[Mes 9]]</f>
        <v>0</v>
      </c>
      <c r="W1282" s="20">
        <f>Registro[[#This Row],[Mes 10]]+Registro[[#This Row],[Mes 11]]+Registro[[#This Row],[Mes 12]]</f>
        <v>0</v>
      </c>
      <c r="X1282" s="20">
        <f>SUM(Registro[[#This Row],[Trim I]],Registro[[#This Row],[Trim II]],Registro[[#This Row],[Trim III]],Registro[[#This Row],[Trim IV]])</f>
        <v>0</v>
      </c>
      <c r="Y1282" s="22">
        <f>IFERROR((Registro[[#This Row],[Avance Total]]/Registro[[#This Row],[Meta]]),0)</f>
        <v>0</v>
      </c>
      <c r="Z1282" s="22">
        <f>IFERROR((Registro[[#This Row],[Avance Total]]-Registro[[#This Row],[Línea Base 2025]])/Registro[[#This Row],[Línea Base 2025]],0)</f>
        <v>-1</v>
      </c>
      <c r="AA1282" s="20">
        <v>2026</v>
      </c>
    </row>
    <row r="1283" spans="1:27" hidden="1">
      <c r="A1283" s="14">
        <v>1099</v>
      </c>
      <c r="B1283" s="15" t="s">
        <v>121</v>
      </c>
      <c r="C1283" s="16">
        <v>118</v>
      </c>
      <c r="D1283" s="16" t="s">
        <v>188</v>
      </c>
      <c r="E1283" s="17" t="s">
        <v>9</v>
      </c>
      <c r="F1283" s="24">
        <v>0</v>
      </c>
      <c r="G1283" s="19">
        <v>0</v>
      </c>
      <c r="H1283" s="19">
        <v>0</v>
      </c>
      <c r="I1283" s="19">
        <v>0</v>
      </c>
      <c r="T1283" s="19">
        <f>Registro[[#This Row],[Mes 1]]+Registro[[#This Row],[Mes 2]]+Registro[[#This Row],[Mes 3]]</f>
        <v>0</v>
      </c>
      <c r="U1283" s="19">
        <f>Registro[[#This Row],[Mes 4]]+Registro[[#This Row],[Mes 5]]+Registro[[#This Row],[Mes 6]]</f>
        <v>0</v>
      </c>
      <c r="V1283" s="19">
        <f>Registro[[#This Row],[Mes 7]]+Registro[[#This Row],[Mes 8]]+Registro[[#This Row],[Mes 9]]</f>
        <v>0</v>
      </c>
      <c r="W1283" s="20">
        <f>Registro[[#This Row],[Mes 10]]+Registro[[#This Row],[Mes 11]]+Registro[[#This Row],[Mes 12]]</f>
        <v>0</v>
      </c>
      <c r="X1283" s="20">
        <f>SUM(Registro[[#This Row],[Trim I]],Registro[[#This Row],[Trim II]],Registro[[#This Row],[Trim III]],Registro[[#This Row],[Trim IV]])</f>
        <v>0</v>
      </c>
      <c r="Y1283" s="22">
        <f>IFERROR((Registro[[#This Row],[Avance Total]]/Registro[[#This Row],[Meta]]),0)</f>
        <v>0</v>
      </c>
      <c r="Z1283" s="22">
        <f>IFERROR((Registro[[#This Row],[Avance Total]]-Registro[[#This Row],[Línea Base 2025]])/Registro[[#This Row],[Línea Base 2025]],0)</f>
        <v>0</v>
      </c>
      <c r="AA1283" s="20">
        <v>2026</v>
      </c>
    </row>
    <row r="1284" spans="1:27" hidden="1">
      <c r="A1284" s="14">
        <v>1099</v>
      </c>
      <c r="B1284" s="15" t="s">
        <v>121</v>
      </c>
      <c r="C1284" s="16">
        <v>119</v>
      </c>
      <c r="D1284" s="16" t="s">
        <v>190</v>
      </c>
      <c r="E1284" s="17" t="s">
        <v>189</v>
      </c>
      <c r="F1284" s="24">
        <v>0</v>
      </c>
      <c r="G1284" s="19">
        <v>4</v>
      </c>
      <c r="H1284" s="19">
        <v>0</v>
      </c>
      <c r="I1284" s="19">
        <v>0</v>
      </c>
      <c r="T1284" s="19">
        <f>Registro[[#This Row],[Mes 1]]+Registro[[#This Row],[Mes 2]]+Registro[[#This Row],[Mes 3]]</f>
        <v>0</v>
      </c>
      <c r="U1284" s="19">
        <f>Registro[[#This Row],[Mes 4]]+Registro[[#This Row],[Mes 5]]+Registro[[#This Row],[Mes 6]]</f>
        <v>0</v>
      </c>
      <c r="V1284" s="19">
        <f>Registro[[#This Row],[Mes 7]]+Registro[[#This Row],[Mes 8]]+Registro[[#This Row],[Mes 9]]</f>
        <v>0</v>
      </c>
      <c r="W1284" s="20">
        <f>Registro[[#This Row],[Mes 10]]+Registro[[#This Row],[Mes 11]]+Registro[[#This Row],[Mes 12]]</f>
        <v>0</v>
      </c>
      <c r="X1284" s="20">
        <f>SUM(Registro[[#This Row],[Trim I]],Registro[[#This Row],[Trim II]],Registro[[#This Row],[Trim III]],Registro[[#This Row],[Trim IV]])</f>
        <v>0</v>
      </c>
      <c r="Y1284" s="22">
        <f>IFERROR((Registro[[#This Row],[Avance Total]]/Registro[[#This Row],[Meta]]),0)</f>
        <v>0</v>
      </c>
      <c r="Z1284" s="22">
        <f>IFERROR((Registro[[#This Row],[Avance Total]]-Registro[[#This Row],[Línea Base 2025]])/Registro[[#This Row],[Línea Base 2025]],0)</f>
        <v>0</v>
      </c>
      <c r="AA1284" s="20">
        <v>2026</v>
      </c>
    </row>
    <row r="1285" spans="1:27" hidden="1">
      <c r="A1285" s="14">
        <v>1099</v>
      </c>
      <c r="B1285" s="15" t="s">
        <v>121</v>
      </c>
      <c r="C1285" s="16">
        <v>120</v>
      </c>
      <c r="D1285" s="16" t="s">
        <v>192</v>
      </c>
      <c r="E1285" s="17" t="s">
        <v>191</v>
      </c>
      <c r="F1285" s="24">
        <v>0</v>
      </c>
      <c r="G1285" s="19">
        <v>15</v>
      </c>
      <c r="H1285" s="19">
        <v>0</v>
      </c>
      <c r="I1285" s="19">
        <v>0</v>
      </c>
      <c r="T1285" s="19">
        <f>Registro[[#This Row],[Mes 1]]+Registro[[#This Row],[Mes 2]]+Registro[[#This Row],[Mes 3]]</f>
        <v>0</v>
      </c>
      <c r="U1285" s="19">
        <f>Registro[[#This Row],[Mes 4]]+Registro[[#This Row],[Mes 5]]+Registro[[#This Row],[Mes 6]]</f>
        <v>0</v>
      </c>
      <c r="V1285" s="19">
        <f>Registro[[#This Row],[Mes 7]]+Registro[[#This Row],[Mes 8]]+Registro[[#This Row],[Mes 9]]</f>
        <v>0</v>
      </c>
      <c r="W1285" s="20">
        <f>Registro[[#This Row],[Mes 10]]+Registro[[#This Row],[Mes 11]]+Registro[[#This Row],[Mes 12]]</f>
        <v>0</v>
      </c>
      <c r="X1285" s="20">
        <f>SUM(Registro[[#This Row],[Trim I]],Registro[[#This Row],[Trim II]],Registro[[#This Row],[Trim III]],Registro[[#This Row],[Trim IV]])</f>
        <v>0</v>
      </c>
      <c r="Y1285" s="22">
        <f>IFERROR((Registro[[#This Row],[Avance Total]]/Registro[[#This Row],[Meta]]),0)</f>
        <v>0</v>
      </c>
      <c r="Z1285" s="22">
        <f>IFERROR((Registro[[#This Row],[Avance Total]]-Registro[[#This Row],[Línea Base 2025]])/Registro[[#This Row],[Línea Base 2025]],0)</f>
        <v>0</v>
      </c>
      <c r="AA1285" s="20">
        <v>2026</v>
      </c>
    </row>
    <row r="1286" spans="1:27" hidden="1">
      <c r="A1286" s="14">
        <v>1099</v>
      </c>
      <c r="B1286" s="15" t="s">
        <v>121</v>
      </c>
      <c r="C1286" s="16">
        <v>121</v>
      </c>
      <c r="D1286" s="16" t="s">
        <v>194</v>
      </c>
      <c r="E1286" s="17" t="s">
        <v>193</v>
      </c>
      <c r="F1286" s="24">
        <v>6</v>
      </c>
      <c r="G1286" s="19">
        <v>7</v>
      </c>
      <c r="H1286" s="19">
        <v>0</v>
      </c>
      <c r="I1286" s="19">
        <v>0</v>
      </c>
      <c r="T1286" s="19">
        <f>Registro[[#This Row],[Mes 1]]+Registro[[#This Row],[Mes 2]]+Registro[[#This Row],[Mes 3]]</f>
        <v>0</v>
      </c>
      <c r="U1286" s="19">
        <f>Registro[[#This Row],[Mes 4]]+Registro[[#This Row],[Mes 5]]+Registro[[#This Row],[Mes 6]]</f>
        <v>0</v>
      </c>
      <c r="V1286" s="19">
        <f>Registro[[#This Row],[Mes 7]]+Registro[[#This Row],[Mes 8]]+Registro[[#This Row],[Mes 9]]</f>
        <v>0</v>
      </c>
      <c r="W1286" s="20">
        <f>Registro[[#This Row],[Mes 10]]+Registro[[#This Row],[Mes 11]]+Registro[[#This Row],[Mes 12]]</f>
        <v>0</v>
      </c>
      <c r="X1286" s="20">
        <f>SUM(Registro[[#This Row],[Trim I]],Registro[[#This Row],[Trim II]],Registro[[#This Row],[Trim III]],Registro[[#This Row],[Trim IV]])</f>
        <v>0</v>
      </c>
      <c r="Y1286" s="22">
        <f>IFERROR((Registro[[#This Row],[Avance Total]]/Registro[[#This Row],[Meta]]),0)</f>
        <v>0</v>
      </c>
      <c r="Z1286" s="22">
        <f>IFERROR((Registro[[#This Row],[Avance Total]]-Registro[[#This Row],[Línea Base 2025]])/Registro[[#This Row],[Línea Base 2025]],0)</f>
        <v>-1</v>
      </c>
      <c r="AA1286" s="20">
        <v>2026</v>
      </c>
    </row>
    <row r="1287" spans="1:27" hidden="1">
      <c r="A1287" s="14">
        <v>1099</v>
      </c>
      <c r="B1287" s="15" t="s">
        <v>121</v>
      </c>
      <c r="C1287" s="16">
        <v>122</v>
      </c>
      <c r="D1287" s="16" t="s">
        <v>196</v>
      </c>
      <c r="E1287" s="17" t="s">
        <v>195</v>
      </c>
      <c r="F1287" s="24">
        <v>4</v>
      </c>
      <c r="G1287" s="19">
        <v>4</v>
      </c>
      <c r="H1287" s="19">
        <v>0</v>
      </c>
      <c r="I1287" s="19">
        <v>0</v>
      </c>
      <c r="T1287" s="19">
        <f>Registro[[#This Row],[Mes 1]]+Registro[[#This Row],[Mes 2]]+Registro[[#This Row],[Mes 3]]</f>
        <v>0</v>
      </c>
      <c r="U1287" s="19">
        <f>Registro[[#This Row],[Mes 4]]+Registro[[#This Row],[Mes 5]]+Registro[[#This Row],[Mes 6]]</f>
        <v>0</v>
      </c>
      <c r="V1287" s="19">
        <f>Registro[[#This Row],[Mes 7]]+Registro[[#This Row],[Mes 8]]+Registro[[#This Row],[Mes 9]]</f>
        <v>0</v>
      </c>
      <c r="W1287" s="20">
        <f>Registro[[#This Row],[Mes 10]]+Registro[[#This Row],[Mes 11]]+Registro[[#This Row],[Mes 12]]</f>
        <v>0</v>
      </c>
      <c r="X1287" s="20">
        <f>SUM(Registro[[#This Row],[Trim I]],Registro[[#This Row],[Trim II]],Registro[[#This Row],[Trim III]],Registro[[#This Row],[Trim IV]])</f>
        <v>0</v>
      </c>
      <c r="Y1287" s="22">
        <f>IFERROR((Registro[[#This Row],[Avance Total]]/Registro[[#This Row],[Meta]]),0)</f>
        <v>0</v>
      </c>
      <c r="Z1287" s="22">
        <f>IFERROR((Registro[[#This Row],[Avance Total]]-Registro[[#This Row],[Línea Base 2025]])/Registro[[#This Row],[Línea Base 2025]],0)</f>
        <v>-1</v>
      </c>
      <c r="AA1287" s="20">
        <v>2026</v>
      </c>
    </row>
    <row r="1288" spans="1:27" hidden="1">
      <c r="A1288" s="14">
        <v>1099</v>
      </c>
      <c r="B1288" s="15" t="s">
        <v>121</v>
      </c>
      <c r="C1288" s="16">
        <v>123</v>
      </c>
      <c r="D1288" s="16" t="s">
        <v>198</v>
      </c>
      <c r="E1288" s="17" t="s">
        <v>197</v>
      </c>
      <c r="F1288" s="24">
        <v>0</v>
      </c>
      <c r="G1288" s="19">
        <v>5</v>
      </c>
      <c r="H1288" s="19">
        <v>0</v>
      </c>
      <c r="I1288" s="19">
        <v>0</v>
      </c>
      <c r="T1288" s="19">
        <f>Registro[[#This Row],[Mes 1]]+Registro[[#This Row],[Mes 2]]+Registro[[#This Row],[Mes 3]]</f>
        <v>0</v>
      </c>
      <c r="U1288" s="19">
        <f>Registro[[#This Row],[Mes 4]]+Registro[[#This Row],[Mes 5]]+Registro[[#This Row],[Mes 6]]</f>
        <v>0</v>
      </c>
      <c r="V1288" s="19">
        <f>Registro[[#This Row],[Mes 7]]+Registro[[#This Row],[Mes 8]]+Registro[[#This Row],[Mes 9]]</f>
        <v>0</v>
      </c>
      <c r="W1288" s="20">
        <f>Registro[[#This Row],[Mes 10]]+Registro[[#This Row],[Mes 11]]+Registro[[#This Row],[Mes 12]]</f>
        <v>0</v>
      </c>
      <c r="X1288" s="20">
        <f>SUM(Registro[[#This Row],[Trim I]],Registro[[#This Row],[Trim II]],Registro[[#This Row],[Trim III]],Registro[[#This Row],[Trim IV]])</f>
        <v>0</v>
      </c>
      <c r="Y1288" s="22">
        <f>IFERROR((Registro[[#This Row],[Avance Total]]/Registro[[#This Row],[Meta]]),0)</f>
        <v>0</v>
      </c>
      <c r="Z1288" s="22">
        <f>IFERROR((Registro[[#This Row],[Avance Total]]-Registro[[#This Row],[Línea Base 2025]])/Registro[[#This Row],[Línea Base 2025]],0)</f>
        <v>0</v>
      </c>
      <c r="AA1288" s="20">
        <v>2026</v>
      </c>
    </row>
    <row r="1289" spans="1:27" hidden="1">
      <c r="A1289" s="14">
        <v>1100</v>
      </c>
      <c r="B1289" s="15" t="s">
        <v>13</v>
      </c>
      <c r="C1289" s="16">
        <v>111</v>
      </c>
      <c r="D1289" s="16" t="s">
        <v>171</v>
      </c>
      <c r="E1289" s="17" t="s">
        <v>172</v>
      </c>
      <c r="F1289" s="24">
        <v>3</v>
      </c>
      <c r="G1289" s="19">
        <v>276</v>
      </c>
      <c r="H1289" s="19">
        <v>0</v>
      </c>
      <c r="I1289" s="19">
        <v>19</v>
      </c>
      <c r="T1289" s="19">
        <f>Registro[[#This Row],[Mes 1]]+Registro[[#This Row],[Mes 2]]+Registro[[#This Row],[Mes 3]]</f>
        <v>19</v>
      </c>
      <c r="U1289" s="19">
        <f>Registro[[#This Row],[Mes 4]]+Registro[[#This Row],[Mes 5]]+Registro[[#This Row],[Mes 6]]</f>
        <v>0</v>
      </c>
      <c r="V1289" s="19">
        <f>Registro[[#This Row],[Mes 7]]+Registro[[#This Row],[Mes 8]]+Registro[[#This Row],[Mes 9]]</f>
        <v>0</v>
      </c>
      <c r="W1289" s="20">
        <f>Registro[[#This Row],[Mes 10]]+Registro[[#This Row],[Mes 11]]+Registro[[#This Row],[Mes 12]]</f>
        <v>0</v>
      </c>
      <c r="X1289" s="20">
        <f>SUM(Registro[[#This Row],[Trim I]],Registro[[#This Row],[Trim II]],Registro[[#This Row],[Trim III]],Registro[[#This Row],[Trim IV]])</f>
        <v>19</v>
      </c>
      <c r="Y1289" s="22">
        <f>IFERROR((Registro[[#This Row],[Avance Total]]/Registro[[#This Row],[Meta]]),0)</f>
        <v>6.8840579710144928E-2</v>
      </c>
      <c r="Z1289" s="22">
        <f>IFERROR((Registro[[#This Row],[Avance Total]]-Registro[[#This Row],[Línea Base 2025]])/Registro[[#This Row],[Línea Base 2025]],0)</f>
        <v>5.333333333333333</v>
      </c>
      <c r="AA1289" s="20">
        <v>2026</v>
      </c>
    </row>
    <row r="1290" spans="1:27" hidden="1">
      <c r="A1290" s="14">
        <v>1100</v>
      </c>
      <c r="B1290" s="15" t="s">
        <v>13</v>
      </c>
      <c r="C1290" s="16">
        <v>112</v>
      </c>
      <c r="D1290" s="16" t="s">
        <v>173</v>
      </c>
      <c r="E1290" s="17" t="s">
        <v>7</v>
      </c>
      <c r="F1290" s="24">
        <v>0</v>
      </c>
      <c r="G1290" s="19">
        <v>8</v>
      </c>
      <c r="H1290" s="19">
        <v>0</v>
      </c>
      <c r="I1290" s="19">
        <v>0</v>
      </c>
      <c r="T1290" s="19">
        <f>Registro[[#This Row],[Mes 1]]+Registro[[#This Row],[Mes 2]]+Registro[[#This Row],[Mes 3]]</f>
        <v>0</v>
      </c>
      <c r="U1290" s="19">
        <f>Registro[[#This Row],[Mes 4]]+Registro[[#This Row],[Mes 5]]+Registro[[#This Row],[Mes 6]]</f>
        <v>0</v>
      </c>
      <c r="V1290" s="19">
        <f>Registro[[#This Row],[Mes 7]]+Registro[[#This Row],[Mes 8]]+Registro[[#This Row],[Mes 9]]</f>
        <v>0</v>
      </c>
      <c r="W1290" s="20">
        <f>Registro[[#This Row],[Mes 10]]+Registro[[#This Row],[Mes 11]]+Registro[[#This Row],[Mes 12]]</f>
        <v>0</v>
      </c>
      <c r="X1290" s="20">
        <f>SUM(Registro[[#This Row],[Trim I]],Registro[[#This Row],[Trim II]],Registro[[#This Row],[Trim III]],Registro[[#This Row],[Trim IV]])</f>
        <v>0</v>
      </c>
      <c r="Y1290" s="22">
        <f>IFERROR((Registro[[#This Row],[Avance Total]]/Registro[[#This Row],[Meta]]),0)</f>
        <v>0</v>
      </c>
      <c r="Z1290" s="22">
        <f>IFERROR((Registro[[#This Row],[Avance Total]]-Registro[[#This Row],[Línea Base 2025]])/Registro[[#This Row],[Línea Base 2025]],0)</f>
        <v>0</v>
      </c>
      <c r="AA1290" s="20">
        <v>2026</v>
      </c>
    </row>
    <row r="1291" spans="1:27" hidden="1">
      <c r="A1291" s="14">
        <v>1100</v>
      </c>
      <c r="B1291" s="15" t="s">
        <v>13</v>
      </c>
      <c r="C1291" s="16">
        <v>113</v>
      </c>
      <c r="D1291" s="16" t="s">
        <v>179</v>
      </c>
      <c r="E1291" s="17" t="s">
        <v>178</v>
      </c>
      <c r="F1291" s="24">
        <v>11</v>
      </c>
      <c r="G1291" s="19">
        <v>151</v>
      </c>
      <c r="H1291" s="19">
        <v>0</v>
      </c>
      <c r="I1291" s="19">
        <v>0</v>
      </c>
      <c r="T1291" s="19">
        <f>Registro[[#This Row],[Mes 1]]+Registro[[#This Row],[Mes 2]]+Registro[[#This Row],[Mes 3]]</f>
        <v>0</v>
      </c>
      <c r="U1291" s="19">
        <f>Registro[[#This Row],[Mes 4]]+Registro[[#This Row],[Mes 5]]+Registro[[#This Row],[Mes 6]]</f>
        <v>0</v>
      </c>
      <c r="V1291" s="19">
        <f>Registro[[#This Row],[Mes 7]]+Registro[[#This Row],[Mes 8]]+Registro[[#This Row],[Mes 9]]</f>
        <v>0</v>
      </c>
      <c r="W1291" s="20">
        <f>Registro[[#This Row],[Mes 10]]+Registro[[#This Row],[Mes 11]]+Registro[[#This Row],[Mes 12]]</f>
        <v>0</v>
      </c>
      <c r="X1291" s="20">
        <f>SUM(Registro[[#This Row],[Trim I]],Registro[[#This Row],[Trim II]],Registro[[#This Row],[Trim III]],Registro[[#This Row],[Trim IV]])</f>
        <v>0</v>
      </c>
      <c r="Y1291" s="22">
        <f>IFERROR((Registro[[#This Row],[Avance Total]]/Registro[[#This Row],[Meta]]),0)</f>
        <v>0</v>
      </c>
      <c r="Z1291" s="22">
        <f>IFERROR((Registro[[#This Row],[Avance Total]]-Registro[[#This Row],[Línea Base 2025]])/Registro[[#This Row],[Línea Base 2025]],0)</f>
        <v>-1</v>
      </c>
      <c r="AA1291" s="20">
        <v>2026</v>
      </c>
    </row>
    <row r="1292" spans="1:27" hidden="1">
      <c r="A1292" s="14">
        <v>1100</v>
      </c>
      <c r="B1292" s="15" t="s">
        <v>13</v>
      </c>
      <c r="C1292" s="16">
        <v>114</v>
      </c>
      <c r="D1292" s="16" t="s">
        <v>181</v>
      </c>
      <c r="E1292" s="17" t="s">
        <v>180</v>
      </c>
      <c r="F1292" s="24">
        <v>0</v>
      </c>
      <c r="G1292" s="19">
        <v>0</v>
      </c>
      <c r="H1292" s="19">
        <v>0</v>
      </c>
      <c r="I1292" s="19">
        <v>0</v>
      </c>
      <c r="T1292" s="19">
        <f>Registro[[#This Row],[Mes 1]]+Registro[[#This Row],[Mes 2]]+Registro[[#This Row],[Mes 3]]</f>
        <v>0</v>
      </c>
      <c r="U1292" s="19">
        <f>Registro[[#This Row],[Mes 4]]+Registro[[#This Row],[Mes 5]]+Registro[[#This Row],[Mes 6]]</f>
        <v>0</v>
      </c>
      <c r="V1292" s="19">
        <f>Registro[[#This Row],[Mes 7]]+Registro[[#This Row],[Mes 8]]+Registro[[#This Row],[Mes 9]]</f>
        <v>0</v>
      </c>
      <c r="W1292" s="20">
        <f>Registro[[#This Row],[Mes 10]]+Registro[[#This Row],[Mes 11]]+Registro[[#This Row],[Mes 12]]</f>
        <v>0</v>
      </c>
      <c r="X1292" s="20">
        <f>SUM(Registro[[#This Row],[Trim I]],Registro[[#This Row],[Trim II]],Registro[[#This Row],[Trim III]],Registro[[#This Row],[Trim IV]])</f>
        <v>0</v>
      </c>
      <c r="Y1292" s="22">
        <f>IFERROR((Registro[[#This Row],[Avance Total]]/Registro[[#This Row],[Meta]]),0)</f>
        <v>0</v>
      </c>
      <c r="Z1292" s="22">
        <f>IFERROR((Registro[[#This Row],[Avance Total]]-Registro[[#This Row],[Línea Base 2025]])/Registro[[#This Row],[Línea Base 2025]],0)</f>
        <v>0</v>
      </c>
      <c r="AA1292" s="20">
        <v>2026</v>
      </c>
    </row>
    <row r="1293" spans="1:27" hidden="1">
      <c r="A1293" s="14">
        <v>1100</v>
      </c>
      <c r="B1293" s="15" t="s">
        <v>13</v>
      </c>
      <c r="C1293" s="16">
        <v>115</v>
      </c>
      <c r="D1293" s="16" t="s">
        <v>183</v>
      </c>
      <c r="E1293" s="17" t="s">
        <v>182</v>
      </c>
      <c r="F1293" s="24">
        <v>0</v>
      </c>
      <c r="G1293" s="19">
        <v>0</v>
      </c>
      <c r="H1293" s="19">
        <v>0</v>
      </c>
      <c r="I1293" s="19">
        <v>0</v>
      </c>
      <c r="T1293" s="19">
        <f>Registro[[#This Row],[Mes 1]]+Registro[[#This Row],[Mes 2]]+Registro[[#This Row],[Mes 3]]</f>
        <v>0</v>
      </c>
      <c r="U1293" s="19">
        <f>Registro[[#This Row],[Mes 4]]+Registro[[#This Row],[Mes 5]]+Registro[[#This Row],[Mes 6]]</f>
        <v>0</v>
      </c>
      <c r="V1293" s="19">
        <f>Registro[[#This Row],[Mes 7]]+Registro[[#This Row],[Mes 8]]+Registro[[#This Row],[Mes 9]]</f>
        <v>0</v>
      </c>
      <c r="W1293" s="20">
        <f>Registro[[#This Row],[Mes 10]]+Registro[[#This Row],[Mes 11]]+Registro[[#This Row],[Mes 12]]</f>
        <v>0</v>
      </c>
      <c r="X1293" s="20">
        <f>SUM(Registro[[#This Row],[Trim I]],Registro[[#This Row],[Trim II]],Registro[[#This Row],[Trim III]],Registro[[#This Row],[Trim IV]])</f>
        <v>0</v>
      </c>
      <c r="Y1293" s="22">
        <f>IFERROR((Registro[[#This Row],[Avance Total]]/Registro[[#This Row],[Meta]]),0)</f>
        <v>0</v>
      </c>
      <c r="Z1293" s="22">
        <f>IFERROR((Registro[[#This Row],[Avance Total]]-Registro[[#This Row],[Línea Base 2025]])/Registro[[#This Row],[Línea Base 2025]],0)</f>
        <v>0</v>
      </c>
      <c r="AA1293" s="20">
        <v>2026</v>
      </c>
    </row>
    <row r="1294" spans="1:27">
      <c r="A1294" s="14">
        <v>1100</v>
      </c>
      <c r="B1294" s="15" t="s">
        <v>13</v>
      </c>
      <c r="C1294" s="16">
        <v>116</v>
      </c>
      <c r="D1294" s="16" t="s">
        <v>185</v>
      </c>
      <c r="E1294" s="17" t="s">
        <v>184</v>
      </c>
      <c r="F1294" s="24">
        <v>2</v>
      </c>
      <c r="G1294" s="19">
        <v>1</v>
      </c>
      <c r="H1294" s="19">
        <v>0</v>
      </c>
      <c r="I1294" s="19">
        <v>0</v>
      </c>
      <c r="T1294" s="19">
        <f>Registro[[#This Row],[Mes 1]]+Registro[[#This Row],[Mes 2]]+Registro[[#This Row],[Mes 3]]</f>
        <v>0</v>
      </c>
      <c r="U1294" s="19">
        <f>Registro[[#This Row],[Mes 4]]+Registro[[#This Row],[Mes 5]]+Registro[[#This Row],[Mes 6]]</f>
        <v>0</v>
      </c>
      <c r="V1294" s="19">
        <f>Registro[[#This Row],[Mes 7]]+Registro[[#This Row],[Mes 8]]+Registro[[#This Row],[Mes 9]]</f>
        <v>0</v>
      </c>
      <c r="W1294" s="20">
        <f>Registro[[#This Row],[Mes 10]]+Registro[[#This Row],[Mes 11]]+Registro[[#This Row],[Mes 12]]</f>
        <v>0</v>
      </c>
      <c r="X1294" s="20">
        <f>SUM(Registro[[#This Row],[Trim I]],Registro[[#This Row],[Trim II]],Registro[[#This Row],[Trim III]],Registro[[#This Row],[Trim IV]])</f>
        <v>0</v>
      </c>
      <c r="Y1294" s="22">
        <f>IFERROR((Registro[[#This Row],[Avance Total]]/Registro[[#This Row],[Meta]]),0)</f>
        <v>0</v>
      </c>
      <c r="Z1294" s="22">
        <f>IFERROR((Registro[[#This Row],[Avance Total]]-Registro[[#This Row],[Línea Base 2025]])/Registro[[#This Row],[Línea Base 2025]],0)</f>
        <v>-1</v>
      </c>
      <c r="AA1294" s="20">
        <v>2026</v>
      </c>
    </row>
    <row r="1295" spans="1:27" hidden="1">
      <c r="A1295" s="14">
        <v>1100</v>
      </c>
      <c r="B1295" s="15" t="s">
        <v>13</v>
      </c>
      <c r="C1295" s="16">
        <v>117</v>
      </c>
      <c r="D1295" s="16" t="s">
        <v>187</v>
      </c>
      <c r="E1295" s="17" t="s">
        <v>186</v>
      </c>
      <c r="F1295" s="24">
        <v>1</v>
      </c>
      <c r="G1295" s="19">
        <v>0</v>
      </c>
      <c r="H1295" s="19">
        <v>0</v>
      </c>
      <c r="I1295" s="19">
        <v>0</v>
      </c>
      <c r="T1295" s="19">
        <f>Registro[[#This Row],[Mes 1]]+Registro[[#This Row],[Mes 2]]+Registro[[#This Row],[Mes 3]]</f>
        <v>0</v>
      </c>
      <c r="U1295" s="19">
        <f>Registro[[#This Row],[Mes 4]]+Registro[[#This Row],[Mes 5]]+Registro[[#This Row],[Mes 6]]</f>
        <v>0</v>
      </c>
      <c r="V1295" s="19">
        <f>Registro[[#This Row],[Mes 7]]+Registro[[#This Row],[Mes 8]]+Registro[[#This Row],[Mes 9]]</f>
        <v>0</v>
      </c>
      <c r="W1295" s="20">
        <f>Registro[[#This Row],[Mes 10]]+Registro[[#This Row],[Mes 11]]+Registro[[#This Row],[Mes 12]]</f>
        <v>0</v>
      </c>
      <c r="X1295" s="20">
        <f>SUM(Registro[[#This Row],[Trim I]],Registro[[#This Row],[Trim II]],Registro[[#This Row],[Trim III]],Registro[[#This Row],[Trim IV]])</f>
        <v>0</v>
      </c>
      <c r="Y1295" s="22">
        <f>IFERROR((Registro[[#This Row],[Avance Total]]/Registro[[#This Row],[Meta]]),0)</f>
        <v>0</v>
      </c>
      <c r="Z1295" s="22">
        <f>IFERROR((Registro[[#This Row],[Avance Total]]-Registro[[#This Row],[Línea Base 2025]])/Registro[[#This Row],[Línea Base 2025]],0)</f>
        <v>-1</v>
      </c>
      <c r="AA1295" s="20">
        <v>2026</v>
      </c>
    </row>
    <row r="1296" spans="1:27" hidden="1">
      <c r="A1296" s="14">
        <v>1100</v>
      </c>
      <c r="B1296" s="15" t="s">
        <v>13</v>
      </c>
      <c r="C1296" s="16">
        <v>118</v>
      </c>
      <c r="D1296" s="16" t="s">
        <v>188</v>
      </c>
      <c r="E1296" s="17" t="s">
        <v>9</v>
      </c>
      <c r="F1296" s="24">
        <v>0</v>
      </c>
      <c r="G1296" s="19">
        <v>0</v>
      </c>
      <c r="H1296" s="19">
        <v>0</v>
      </c>
      <c r="I1296" s="19">
        <v>0</v>
      </c>
      <c r="T1296" s="19">
        <f>Registro[[#This Row],[Mes 1]]+Registro[[#This Row],[Mes 2]]+Registro[[#This Row],[Mes 3]]</f>
        <v>0</v>
      </c>
      <c r="U1296" s="19">
        <f>Registro[[#This Row],[Mes 4]]+Registro[[#This Row],[Mes 5]]+Registro[[#This Row],[Mes 6]]</f>
        <v>0</v>
      </c>
      <c r="V1296" s="19">
        <f>Registro[[#This Row],[Mes 7]]+Registro[[#This Row],[Mes 8]]+Registro[[#This Row],[Mes 9]]</f>
        <v>0</v>
      </c>
      <c r="W1296" s="20">
        <f>Registro[[#This Row],[Mes 10]]+Registro[[#This Row],[Mes 11]]+Registro[[#This Row],[Mes 12]]</f>
        <v>0</v>
      </c>
      <c r="X1296" s="20">
        <f>SUM(Registro[[#This Row],[Trim I]],Registro[[#This Row],[Trim II]],Registro[[#This Row],[Trim III]],Registro[[#This Row],[Trim IV]])</f>
        <v>0</v>
      </c>
      <c r="Y1296" s="22">
        <f>IFERROR((Registro[[#This Row],[Avance Total]]/Registro[[#This Row],[Meta]]),0)</f>
        <v>0</v>
      </c>
      <c r="Z1296" s="22">
        <f>IFERROR((Registro[[#This Row],[Avance Total]]-Registro[[#This Row],[Línea Base 2025]])/Registro[[#This Row],[Línea Base 2025]],0)</f>
        <v>0</v>
      </c>
      <c r="AA1296" s="20">
        <v>2026</v>
      </c>
    </row>
    <row r="1297" spans="1:27" hidden="1">
      <c r="A1297" s="14">
        <v>1100</v>
      </c>
      <c r="B1297" s="15" t="s">
        <v>13</v>
      </c>
      <c r="C1297" s="16">
        <v>119</v>
      </c>
      <c r="D1297" s="16" t="s">
        <v>190</v>
      </c>
      <c r="E1297" s="17" t="s">
        <v>189</v>
      </c>
      <c r="F1297" s="24">
        <v>0</v>
      </c>
      <c r="G1297" s="19">
        <v>1</v>
      </c>
      <c r="H1297" s="19">
        <v>0</v>
      </c>
      <c r="I1297" s="19">
        <v>0</v>
      </c>
      <c r="T1297" s="19">
        <f>Registro[[#This Row],[Mes 1]]+Registro[[#This Row],[Mes 2]]+Registro[[#This Row],[Mes 3]]</f>
        <v>0</v>
      </c>
      <c r="U1297" s="19">
        <f>Registro[[#This Row],[Mes 4]]+Registro[[#This Row],[Mes 5]]+Registro[[#This Row],[Mes 6]]</f>
        <v>0</v>
      </c>
      <c r="V1297" s="19">
        <f>Registro[[#This Row],[Mes 7]]+Registro[[#This Row],[Mes 8]]+Registro[[#This Row],[Mes 9]]</f>
        <v>0</v>
      </c>
      <c r="W1297" s="20">
        <f>Registro[[#This Row],[Mes 10]]+Registro[[#This Row],[Mes 11]]+Registro[[#This Row],[Mes 12]]</f>
        <v>0</v>
      </c>
      <c r="X1297" s="20">
        <f>SUM(Registro[[#This Row],[Trim I]],Registro[[#This Row],[Trim II]],Registro[[#This Row],[Trim III]],Registro[[#This Row],[Trim IV]])</f>
        <v>0</v>
      </c>
      <c r="Y1297" s="22">
        <f>IFERROR((Registro[[#This Row],[Avance Total]]/Registro[[#This Row],[Meta]]),0)</f>
        <v>0</v>
      </c>
      <c r="Z1297" s="22">
        <f>IFERROR((Registro[[#This Row],[Avance Total]]-Registro[[#This Row],[Línea Base 2025]])/Registro[[#This Row],[Línea Base 2025]],0)</f>
        <v>0</v>
      </c>
      <c r="AA1297" s="20">
        <v>2026</v>
      </c>
    </row>
    <row r="1298" spans="1:27" hidden="1">
      <c r="A1298" s="14">
        <v>1100</v>
      </c>
      <c r="B1298" s="15" t="s">
        <v>13</v>
      </c>
      <c r="C1298" s="16">
        <v>120</v>
      </c>
      <c r="D1298" s="16" t="s">
        <v>192</v>
      </c>
      <c r="E1298" s="17" t="s">
        <v>191</v>
      </c>
      <c r="F1298" s="24">
        <v>0</v>
      </c>
      <c r="G1298" s="19">
        <v>0</v>
      </c>
      <c r="H1298" s="19">
        <v>0</v>
      </c>
      <c r="I1298" s="19">
        <v>0</v>
      </c>
      <c r="T1298" s="19">
        <f>Registro[[#This Row],[Mes 1]]+Registro[[#This Row],[Mes 2]]+Registro[[#This Row],[Mes 3]]</f>
        <v>0</v>
      </c>
      <c r="U1298" s="19">
        <f>Registro[[#This Row],[Mes 4]]+Registro[[#This Row],[Mes 5]]+Registro[[#This Row],[Mes 6]]</f>
        <v>0</v>
      </c>
      <c r="V1298" s="19">
        <f>Registro[[#This Row],[Mes 7]]+Registro[[#This Row],[Mes 8]]+Registro[[#This Row],[Mes 9]]</f>
        <v>0</v>
      </c>
      <c r="W1298" s="20">
        <f>Registro[[#This Row],[Mes 10]]+Registro[[#This Row],[Mes 11]]+Registro[[#This Row],[Mes 12]]</f>
        <v>0</v>
      </c>
      <c r="X1298" s="20">
        <f>SUM(Registro[[#This Row],[Trim I]],Registro[[#This Row],[Trim II]],Registro[[#This Row],[Trim III]],Registro[[#This Row],[Trim IV]])</f>
        <v>0</v>
      </c>
      <c r="Y1298" s="22">
        <f>IFERROR((Registro[[#This Row],[Avance Total]]/Registro[[#This Row],[Meta]]),0)</f>
        <v>0</v>
      </c>
      <c r="Z1298" s="22">
        <f>IFERROR((Registro[[#This Row],[Avance Total]]-Registro[[#This Row],[Línea Base 2025]])/Registro[[#This Row],[Línea Base 2025]],0)</f>
        <v>0</v>
      </c>
      <c r="AA1298" s="20">
        <v>2026</v>
      </c>
    </row>
    <row r="1299" spans="1:27" hidden="1">
      <c r="A1299" s="14">
        <v>1100</v>
      </c>
      <c r="B1299" s="15" t="s">
        <v>13</v>
      </c>
      <c r="C1299" s="16">
        <v>121</v>
      </c>
      <c r="D1299" s="16" t="s">
        <v>194</v>
      </c>
      <c r="E1299" s="17" t="s">
        <v>193</v>
      </c>
      <c r="F1299" s="24">
        <v>0</v>
      </c>
      <c r="G1299" s="19">
        <v>0</v>
      </c>
      <c r="H1299" s="19">
        <v>0</v>
      </c>
      <c r="I1299" s="19">
        <v>0</v>
      </c>
      <c r="T1299" s="19">
        <f>Registro[[#This Row],[Mes 1]]+Registro[[#This Row],[Mes 2]]+Registro[[#This Row],[Mes 3]]</f>
        <v>0</v>
      </c>
      <c r="U1299" s="19">
        <f>Registro[[#This Row],[Mes 4]]+Registro[[#This Row],[Mes 5]]+Registro[[#This Row],[Mes 6]]</f>
        <v>0</v>
      </c>
      <c r="V1299" s="19">
        <f>Registro[[#This Row],[Mes 7]]+Registro[[#This Row],[Mes 8]]+Registro[[#This Row],[Mes 9]]</f>
        <v>0</v>
      </c>
      <c r="W1299" s="20">
        <f>Registro[[#This Row],[Mes 10]]+Registro[[#This Row],[Mes 11]]+Registro[[#This Row],[Mes 12]]</f>
        <v>0</v>
      </c>
      <c r="X1299" s="20">
        <f>SUM(Registro[[#This Row],[Trim I]],Registro[[#This Row],[Trim II]],Registro[[#This Row],[Trim III]],Registro[[#This Row],[Trim IV]])</f>
        <v>0</v>
      </c>
      <c r="Y1299" s="22">
        <f>IFERROR((Registro[[#This Row],[Avance Total]]/Registro[[#This Row],[Meta]]),0)</f>
        <v>0</v>
      </c>
      <c r="Z1299" s="22">
        <f>IFERROR((Registro[[#This Row],[Avance Total]]-Registro[[#This Row],[Línea Base 2025]])/Registro[[#This Row],[Línea Base 2025]],0)</f>
        <v>0</v>
      </c>
      <c r="AA1299" s="20">
        <v>2026</v>
      </c>
    </row>
    <row r="1300" spans="1:27" hidden="1">
      <c r="A1300" s="14">
        <v>1100</v>
      </c>
      <c r="B1300" s="15" t="s">
        <v>13</v>
      </c>
      <c r="C1300" s="16">
        <v>122</v>
      </c>
      <c r="D1300" s="16" t="s">
        <v>196</v>
      </c>
      <c r="E1300" s="17" t="s">
        <v>195</v>
      </c>
      <c r="F1300" s="24">
        <v>0</v>
      </c>
      <c r="G1300" s="19">
        <v>0</v>
      </c>
      <c r="H1300" s="19">
        <v>0</v>
      </c>
      <c r="I1300" s="19">
        <v>0</v>
      </c>
      <c r="T1300" s="19">
        <f>Registro[[#This Row],[Mes 1]]+Registro[[#This Row],[Mes 2]]+Registro[[#This Row],[Mes 3]]</f>
        <v>0</v>
      </c>
      <c r="U1300" s="19">
        <f>Registro[[#This Row],[Mes 4]]+Registro[[#This Row],[Mes 5]]+Registro[[#This Row],[Mes 6]]</f>
        <v>0</v>
      </c>
      <c r="V1300" s="19">
        <f>Registro[[#This Row],[Mes 7]]+Registro[[#This Row],[Mes 8]]+Registro[[#This Row],[Mes 9]]</f>
        <v>0</v>
      </c>
      <c r="W1300" s="20">
        <f>Registro[[#This Row],[Mes 10]]+Registro[[#This Row],[Mes 11]]+Registro[[#This Row],[Mes 12]]</f>
        <v>0</v>
      </c>
      <c r="X1300" s="20">
        <f>SUM(Registro[[#This Row],[Trim I]],Registro[[#This Row],[Trim II]],Registro[[#This Row],[Trim III]],Registro[[#This Row],[Trim IV]])</f>
        <v>0</v>
      </c>
      <c r="Y1300" s="22">
        <f>IFERROR((Registro[[#This Row],[Avance Total]]/Registro[[#This Row],[Meta]]),0)</f>
        <v>0</v>
      </c>
      <c r="Z1300" s="22">
        <f>IFERROR((Registro[[#This Row],[Avance Total]]-Registro[[#This Row],[Línea Base 2025]])/Registro[[#This Row],[Línea Base 2025]],0)</f>
        <v>0</v>
      </c>
      <c r="AA1300" s="20">
        <v>2026</v>
      </c>
    </row>
    <row r="1301" spans="1:27" hidden="1">
      <c r="A1301" s="14">
        <v>1100</v>
      </c>
      <c r="B1301" s="15" t="s">
        <v>13</v>
      </c>
      <c r="C1301" s="16">
        <v>123</v>
      </c>
      <c r="D1301" s="16" t="s">
        <v>198</v>
      </c>
      <c r="E1301" s="17" t="s">
        <v>197</v>
      </c>
      <c r="F1301" s="24">
        <v>0</v>
      </c>
      <c r="G1301" s="19">
        <v>0</v>
      </c>
      <c r="H1301" s="19">
        <v>0</v>
      </c>
      <c r="I1301" s="19">
        <v>0</v>
      </c>
      <c r="T1301" s="19">
        <f>Registro[[#This Row],[Mes 1]]+Registro[[#This Row],[Mes 2]]+Registro[[#This Row],[Mes 3]]</f>
        <v>0</v>
      </c>
      <c r="U1301" s="19">
        <f>Registro[[#This Row],[Mes 4]]+Registro[[#This Row],[Mes 5]]+Registro[[#This Row],[Mes 6]]</f>
        <v>0</v>
      </c>
      <c r="V1301" s="19">
        <f>Registro[[#This Row],[Mes 7]]+Registro[[#This Row],[Mes 8]]+Registro[[#This Row],[Mes 9]]</f>
        <v>0</v>
      </c>
      <c r="W1301" s="20">
        <f>Registro[[#This Row],[Mes 10]]+Registro[[#This Row],[Mes 11]]+Registro[[#This Row],[Mes 12]]</f>
        <v>0</v>
      </c>
      <c r="X1301" s="20">
        <f>SUM(Registro[[#This Row],[Trim I]],Registro[[#This Row],[Trim II]],Registro[[#This Row],[Trim III]],Registro[[#This Row],[Trim IV]])</f>
        <v>0</v>
      </c>
      <c r="Y1301" s="22">
        <f>IFERROR((Registro[[#This Row],[Avance Total]]/Registro[[#This Row],[Meta]]),0)</f>
        <v>0</v>
      </c>
      <c r="Z1301" s="22">
        <f>IFERROR((Registro[[#This Row],[Avance Total]]-Registro[[#This Row],[Línea Base 2025]])/Registro[[#This Row],[Línea Base 2025]],0)</f>
        <v>0</v>
      </c>
      <c r="AA1301" s="20">
        <v>2026</v>
      </c>
    </row>
    <row r="1302" spans="1:27" hidden="1">
      <c r="A1302" s="14">
        <v>1101</v>
      </c>
      <c r="B1302" s="15" t="s">
        <v>122</v>
      </c>
      <c r="C1302" s="16">
        <v>111</v>
      </c>
      <c r="D1302" s="16" t="s">
        <v>171</v>
      </c>
      <c r="E1302" s="17" t="s">
        <v>172</v>
      </c>
      <c r="F1302" s="24">
        <v>40</v>
      </c>
      <c r="G1302" s="19">
        <v>54</v>
      </c>
      <c r="H1302" s="19">
        <v>1</v>
      </c>
      <c r="I1302" s="19">
        <v>0</v>
      </c>
      <c r="T1302" s="20">
        <f>Registro[[#This Row],[Mes 1]]+Registro[[#This Row],[Mes 2]]+Registro[[#This Row],[Mes 3]]</f>
        <v>1</v>
      </c>
      <c r="U1302" s="20">
        <f>Registro[[#This Row],[Mes 4]]+Registro[[#This Row],[Mes 5]]+Registro[[#This Row],[Mes 6]]</f>
        <v>0</v>
      </c>
      <c r="V1302" s="20">
        <f>Registro[[#This Row],[Mes 7]]+Registro[[#This Row],[Mes 8]]+Registro[[#This Row],[Mes 9]]</f>
        <v>0</v>
      </c>
      <c r="W1302" s="20">
        <f>Registro[[#This Row],[Mes 10]]+Registro[[#This Row],[Mes 11]]+Registro[[#This Row],[Mes 12]]</f>
        <v>0</v>
      </c>
      <c r="X1302" s="20">
        <f>SUM(Registro[[#This Row],[Trim I]],Registro[[#This Row],[Trim II]],Registro[[#This Row],[Trim III]],Registro[[#This Row],[Trim IV]])</f>
        <v>1</v>
      </c>
      <c r="Y1302" s="22">
        <f>IFERROR((Registro[[#This Row],[Avance Total]]/Registro[[#This Row],[Meta]]),0)</f>
        <v>1.8518518518518517E-2</v>
      </c>
      <c r="Z1302" s="22">
        <f>IFERROR((Registro[[#This Row],[Avance Total]]-Registro[[#This Row],[Línea Base 2025]])/Registro[[#This Row],[Línea Base 2025]],0)</f>
        <v>-0.97499999999999998</v>
      </c>
      <c r="AA1302" s="20"/>
    </row>
    <row r="1303" spans="1:27" hidden="1">
      <c r="A1303" s="14">
        <v>1101</v>
      </c>
      <c r="B1303" s="15" t="s">
        <v>122</v>
      </c>
      <c r="C1303" s="16">
        <v>112</v>
      </c>
      <c r="D1303" s="16" t="s">
        <v>173</v>
      </c>
      <c r="E1303" s="17" t="s">
        <v>7</v>
      </c>
      <c r="F1303" s="24">
        <v>22</v>
      </c>
      <c r="G1303" s="19">
        <v>88</v>
      </c>
      <c r="H1303" s="19">
        <v>0</v>
      </c>
      <c r="I1303" s="19">
        <v>0</v>
      </c>
      <c r="T1303" s="20">
        <f>Registro[[#This Row],[Mes 1]]+Registro[[#This Row],[Mes 2]]+Registro[[#This Row],[Mes 3]]</f>
        <v>0</v>
      </c>
      <c r="U1303" s="20">
        <f>Registro[[#This Row],[Mes 4]]+Registro[[#This Row],[Mes 5]]+Registro[[#This Row],[Mes 6]]</f>
        <v>0</v>
      </c>
      <c r="V1303" s="20">
        <f>Registro[[#This Row],[Mes 7]]+Registro[[#This Row],[Mes 8]]+Registro[[#This Row],[Mes 9]]</f>
        <v>0</v>
      </c>
      <c r="W1303" s="20">
        <f>Registro[[#This Row],[Mes 10]]+Registro[[#This Row],[Mes 11]]+Registro[[#This Row],[Mes 12]]</f>
        <v>0</v>
      </c>
      <c r="X1303" s="20">
        <f>SUM(Registro[[#This Row],[Trim I]],Registro[[#This Row],[Trim II]],Registro[[#This Row],[Trim III]],Registro[[#This Row],[Trim IV]])</f>
        <v>0</v>
      </c>
      <c r="Y1303" s="22">
        <f>IFERROR((Registro[[#This Row],[Avance Total]]/Registro[[#This Row],[Meta]]),0)</f>
        <v>0</v>
      </c>
      <c r="Z1303" s="22">
        <f>IFERROR((Registro[[#This Row],[Avance Total]]-Registro[[#This Row],[Línea Base 2025]])/Registro[[#This Row],[Línea Base 2025]],0)</f>
        <v>-1</v>
      </c>
      <c r="AA1303" s="20"/>
    </row>
    <row r="1304" spans="1:27" hidden="1">
      <c r="A1304" s="14">
        <v>1101</v>
      </c>
      <c r="B1304" s="15" t="s">
        <v>122</v>
      </c>
      <c r="C1304" s="16">
        <v>113</v>
      </c>
      <c r="D1304" s="16" t="s">
        <v>179</v>
      </c>
      <c r="E1304" s="17" t="s">
        <v>178</v>
      </c>
      <c r="F1304" s="24">
        <v>29</v>
      </c>
      <c r="G1304" s="19">
        <v>128</v>
      </c>
      <c r="H1304" s="19">
        <v>1</v>
      </c>
      <c r="I1304" s="19">
        <v>0</v>
      </c>
      <c r="T1304" s="20">
        <f>Registro[[#This Row],[Mes 1]]+Registro[[#This Row],[Mes 2]]+Registro[[#This Row],[Mes 3]]</f>
        <v>1</v>
      </c>
      <c r="U1304" s="20">
        <f>Registro[[#This Row],[Mes 4]]+Registro[[#This Row],[Mes 5]]+Registro[[#This Row],[Mes 6]]</f>
        <v>0</v>
      </c>
      <c r="V1304" s="20">
        <f>Registro[[#This Row],[Mes 7]]+Registro[[#This Row],[Mes 8]]+Registro[[#This Row],[Mes 9]]</f>
        <v>0</v>
      </c>
      <c r="W1304" s="20">
        <f>Registro[[#This Row],[Mes 10]]+Registro[[#This Row],[Mes 11]]+Registro[[#This Row],[Mes 12]]</f>
        <v>0</v>
      </c>
      <c r="X1304" s="20">
        <f>SUM(Registro[[#This Row],[Trim I]],Registro[[#This Row],[Trim II]],Registro[[#This Row],[Trim III]],Registro[[#This Row],[Trim IV]])</f>
        <v>1</v>
      </c>
      <c r="Y1304" s="22">
        <f>IFERROR((Registro[[#This Row],[Avance Total]]/Registro[[#This Row],[Meta]]),0)</f>
        <v>7.8125E-3</v>
      </c>
      <c r="Z1304" s="22">
        <f>IFERROR((Registro[[#This Row],[Avance Total]]-Registro[[#This Row],[Línea Base 2025]])/Registro[[#This Row],[Línea Base 2025]],0)</f>
        <v>-0.96551724137931039</v>
      </c>
      <c r="AA1304" s="20"/>
    </row>
    <row r="1305" spans="1:27" hidden="1">
      <c r="A1305" s="14">
        <v>1101</v>
      </c>
      <c r="B1305" s="15" t="s">
        <v>122</v>
      </c>
      <c r="C1305" s="16">
        <v>114</v>
      </c>
      <c r="D1305" s="16" t="s">
        <v>181</v>
      </c>
      <c r="E1305" s="17" t="s">
        <v>180</v>
      </c>
      <c r="F1305" s="24">
        <v>0</v>
      </c>
      <c r="G1305" s="19">
        <v>12</v>
      </c>
      <c r="H1305" s="19">
        <v>4</v>
      </c>
      <c r="I1305" s="19">
        <v>0</v>
      </c>
      <c r="T1305" s="20">
        <f>Registro[[#This Row],[Mes 1]]+Registro[[#This Row],[Mes 2]]+Registro[[#This Row],[Mes 3]]</f>
        <v>4</v>
      </c>
      <c r="U1305" s="20">
        <f>Registro[[#This Row],[Mes 4]]+Registro[[#This Row],[Mes 5]]+Registro[[#This Row],[Mes 6]]</f>
        <v>0</v>
      </c>
      <c r="V1305" s="20">
        <f>Registro[[#This Row],[Mes 7]]+Registro[[#This Row],[Mes 8]]+Registro[[#This Row],[Mes 9]]</f>
        <v>0</v>
      </c>
      <c r="W1305" s="20">
        <f>Registro[[#This Row],[Mes 10]]+Registro[[#This Row],[Mes 11]]+Registro[[#This Row],[Mes 12]]</f>
        <v>0</v>
      </c>
      <c r="X1305" s="20">
        <f>SUM(Registro[[#This Row],[Trim I]],Registro[[#This Row],[Trim II]],Registro[[#This Row],[Trim III]],Registro[[#This Row],[Trim IV]])</f>
        <v>4</v>
      </c>
      <c r="Y1305" s="22">
        <f>IFERROR((Registro[[#This Row],[Avance Total]]/Registro[[#This Row],[Meta]]),0)</f>
        <v>0.33333333333333331</v>
      </c>
      <c r="Z1305" s="22">
        <f>IFERROR((Registro[[#This Row],[Avance Total]]-Registro[[#This Row],[Línea Base 2025]])/Registro[[#This Row],[Línea Base 2025]],0)</f>
        <v>0</v>
      </c>
      <c r="AA1305" s="20"/>
    </row>
    <row r="1306" spans="1:27" hidden="1">
      <c r="A1306" s="14">
        <v>1101</v>
      </c>
      <c r="B1306" s="15" t="s">
        <v>122</v>
      </c>
      <c r="C1306" s="16">
        <v>115</v>
      </c>
      <c r="D1306" s="16" t="s">
        <v>183</v>
      </c>
      <c r="E1306" s="17" t="s">
        <v>182</v>
      </c>
      <c r="F1306" s="24">
        <v>72</v>
      </c>
      <c r="G1306" s="19">
        <v>2</v>
      </c>
      <c r="H1306" s="19">
        <v>1</v>
      </c>
      <c r="I1306" s="19">
        <v>0</v>
      </c>
      <c r="T1306" s="20">
        <f>Registro[[#This Row],[Mes 1]]+Registro[[#This Row],[Mes 2]]+Registro[[#This Row],[Mes 3]]</f>
        <v>1</v>
      </c>
      <c r="U1306" s="20">
        <f>Registro[[#This Row],[Mes 4]]+Registro[[#This Row],[Mes 5]]+Registro[[#This Row],[Mes 6]]</f>
        <v>0</v>
      </c>
      <c r="V1306" s="20">
        <f>Registro[[#This Row],[Mes 7]]+Registro[[#This Row],[Mes 8]]+Registro[[#This Row],[Mes 9]]</f>
        <v>0</v>
      </c>
      <c r="W1306" s="20">
        <f>Registro[[#This Row],[Mes 10]]+Registro[[#This Row],[Mes 11]]+Registro[[#This Row],[Mes 12]]</f>
        <v>0</v>
      </c>
      <c r="X1306" s="20">
        <f>SUM(Registro[[#This Row],[Trim I]],Registro[[#This Row],[Trim II]],Registro[[#This Row],[Trim III]],Registro[[#This Row],[Trim IV]])</f>
        <v>1</v>
      </c>
      <c r="Y1306" s="22">
        <f>IFERROR((Registro[[#This Row],[Avance Total]]/Registro[[#This Row],[Meta]]),0)</f>
        <v>0.5</v>
      </c>
      <c r="Z1306" s="22">
        <f>IFERROR((Registro[[#This Row],[Avance Total]]-Registro[[#This Row],[Línea Base 2025]])/Registro[[#This Row],[Línea Base 2025]],0)</f>
        <v>-0.98611111111111116</v>
      </c>
      <c r="AA1306" s="20"/>
    </row>
    <row r="1307" spans="1:27">
      <c r="A1307" s="14">
        <v>1101</v>
      </c>
      <c r="B1307" s="15" t="s">
        <v>122</v>
      </c>
      <c r="C1307" s="16">
        <v>116</v>
      </c>
      <c r="D1307" s="16" t="s">
        <v>185</v>
      </c>
      <c r="E1307" s="17" t="s">
        <v>184</v>
      </c>
      <c r="F1307" s="24">
        <v>2</v>
      </c>
      <c r="G1307" s="19">
        <v>3</v>
      </c>
      <c r="H1307" s="19">
        <v>1</v>
      </c>
      <c r="I1307" s="19">
        <v>0</v>
      </c>
      <c r="T1307" s="20">
        <f>Registro[[#This Row],[Mes 1]]+Registro[[#This Row],[Mes 2]]+Registro[[#This Row],[Mes 3]]</f>
        <v>1</v>
      </c>
      <c r="U1307" s="20">
        <f>Registro[[#This Row],[Mes 4]]+Registro[[#This Row],[Mes 5]]+Registro[[#This Row],[Mes 6]]</f>
        <v>0</v>
      </c>
      <c r="V1307" s="20">
        <f>Registro[[#This Row],[Mes 7]]+Registro[[#This Row],[Mes 8]]+Registro[[#This Row],[Mes 9]]</f>
        <v>0</v>
      </c>
      <c r="W1307" s="20">
        <f>Registro[[#This Row],[Mes 10]]+Registro[[#This Row],[Mes 11]]+Registro[[#This Row],[Mes 12]]</f>
        <v>0</v>
      </c>
      <c r="X1307" s="20">
        <f>SUM(Registro[[#This Row],[Trim I]],Registro[[#This Row],[Trim II]],Registro[[#This Row],[Trim III]],Registro[[#This Row],[Trim IV]])</f>
        <v>1</v>
      </c>
      <c r="Y1307" s="22">
        <f>IFERROR((Registro[[#This Row],[Avance Total]]/Registro[[#This Row],[Meta]]),0)</f>
        <v>0.33333333333333331</v>
      </c>
      <c r="Z1307" s="22">
        <f>IFERROR((Registro[[#This Row],[Avance Total]]-Registro[[#This Row],[Línea Base 2025]])/Registro[[#This Row],[Línea Base 2025]],0)</f>
        <v>-0.5</v>
      </c>
      <c r="AA1307" s="20"/>
    </row>
    <row r="1308" spans="1:27" hidden="1">
      <c r="A1308" s="14">
        <v>1101</v>
      </c>
      <c r="B1308" s="15" t="s">
        <v>122</v>
      </c>
      <c r="C1308" s="16">
        <v>117</v>
      </c>
      <c r="D1308" s="16" t="s">
        <v>187</v>
      </c>
      <c r="E1308" s="17" t="s">
        <v>186</v>
      </c>
      <c r="F1308" s="24">
        <v>1</v>
      </c>
      <c r="G1308" s="19">
        <v>5</v>
      </c>
      <c r="H1308" s="19">
        <v>0</v>
      </c>
      <c r="I1308" s="19">
        <v>0</v>
      </c>
      <c r="T1308" s="20">
        <f>Registro[[#This Row],[Mes 1]]+Registro[[#This Row],[Mes 2]]+Registro[[#This Row],[Mes 3]]</f>
        <v>0</v>
      </c>
      <c r="U1308" s="20">
        <f>Registro[[#This Row],[Mes 4]]+Registro[[#This Row],[Mes 5]]+Registro[[#This Row],[Mes 6]]</f>
        <v>0</v>
      </c>
      <c r="V1308" s="20">
        <f>Registro[[#This Row],[Mes 7]]+Registro[[#This Row],[Mes 8]]+Registro[[#This Row],[Mes 9]]</f>
        <v>0</v>
      </c>
      <c r="W1308" s="20">
        <f>Registro[[#This Row],[Mes 10]]+Registro[[#This Row],[Mes 11]]+Registro[[#This Row],[Mes 12]]</f>
        <v>0</v>
      </c>
      <c r="X1308" s="20">
        <f>SUM(Registro[[#This Row],[Trim I]],Registro[[#This Row],[Trim II]],Registro[[#This Row],[Trim III]],Registro[[#This Row],[Trim IV]])</f>
        <v>0</v>
      </c>
      <c r="Y1308" s="22">
        <f>IFERROR((Registro[[#This Row],[Avance Total]]/Registro[[#This Row],[Meta]]),0)</f>
        <v>0</v>
      </c>
      <c r="Z1308" s="22">
        <f>IFERROR((Registro[[#This Row],[Avance Total]]-Registro[[#This Row],[Línea Base 2025]])/Registro[[#This Row],[Línea Base 2025]],0)</f>
        <v>-1</v>
      </c>
      <c r="AA1308" s="20"/>
    </row>
    <row r="1309" spans="1:27" hidden="1">
      <c r="A1309" s="14">
        <v>1101</v>
      </c>
      <c r="B1309" s="15" t="s">
        <v>122</v>
      </c>
      <c r="C1309" s="16">
        <v>118</v>
      </c>
      <c r="D1309" s="16" t="s">
        <v>188</v>
      </c>
      <c r="E1309" s="17" t="s">
        <v>9</v>
      </c>
      <c r="F1309" s="24">
        <v>0</v>
      </c>
      <c r="G1309" s="19">
        <v>29</v>
      </c>
      <c r="H1309" s="19">
        <v>0</v>
      </c>
      <c r="I1309" s="19">
        <v>0</v>
      </c>
      <c r="T1309" s="20">
        <f>Registro[[#This Row],[Mes 1]]+Registro[[#This Row],[Mes 2]]+Registro[[#This Row],[Mes 3]]</f>
        <v>0</v>
      </c>
      <c r="U1309" s="20">
        <f>Registro[[#This Row],[Mes 4]]+Registro[[#This Row],[Mes 5]]+Registro[[#This Row],[Mes 6]]</f>
        <v>0</v>
      </c>
      <c r="V1309" s="20">
        <f>Registro[[#This Row],[Mes 7]]+Registro[[#This Row],[Mes 8]]+Registro[[#This Row],[Mes 9]]</f>
        <v>0</v>
      </c>
      <c r="W1309" s="20">
        <f>Registro[[#This Row],[Mes 10]]+Registro[[#This Row],[Mes 11]]+Registro[[#This Row],[Mes 12]]</f>
        <v>0</v>
      </c>
      <c r="X1309" s="20">
        <f>SUM(Registro[[#This Row],[Trim I]],Registro[[#This Row],[Trim II]],Registro[[#This Row],[Trim III]],Registro[[#This Row],[Trim IV]])</f>
        <v>0</v>
      </c>
      <c r="Y1309" s="22">
        <f>IFERROR((Registro[[#This Row],[Avance Total]]/Registro[[#This Row],[Meta]]),0)</f>
        <v>0</v>
      </c>
      <c r="Z1309" s="22">
        <f>IFERROR((Registro[[#This Row],[Avance Total]]-Registro[[#This Row],[Línea Base 2025]])/Registro[[#This Row],[Línea Base 2025]],0)</f>
        <v>0</v>
      </c>
      <c r="AA1309" s="20"/>
    </row>
    <row r="1310" spans="1:27" hidden="1">
      <c r="A1310" s="14">
        <v>1101</v>
      </c>
      <c r="B1310" s="15" t="s">
        <v>122</v>
      </c>
      <c r="C1310" s="16">
        <v>119</v>
      </c>
      <c r="D1310" s="16" t="s">
        <v>190</v>
      </c>
      <c r="E1310" s="17" t="s">
        <v>189</v>
      </c>
      <c r="F1310" s="24">
        <v>0</v>
      </c>
      <c r="G1310" s="19">
        <v>1</v>
      </c>
      <c r="H1310" s="19">
        <v>0</v>
      </c>
      <c r="I1310" s="19">
        <v>0</v>
      </c>
      <c r="T1310" s="20">
        <f>Registro[[#This Row],[Mes 1]]+Registro[[#This Row],[Mes 2]]+Registro[[#This Row],[Mes 3]]</f>
        <v>0</v>
      </c>
      <c r="U1310" s="20">
        <f>Registro[[#This Row],[Mes 4]]+Registro[[#This Row],[Mes 5]]+Registro[[#This Row],[Mes 6]]</f>
        <v>0</v>
      </c>
      <c r="V1310" s="20">
        <f>Registro[[#This Row],[Mes 7]]+Registro[[#This Row],[Mes 8]]+Registro[[#This Row],[Mes 9]]</f>
        <v>0</v>
      </c>
      <c r="W1310" s="20">
        <f>Registro[[#This Row],[Mes 10]]+Registro[[#This Row],[Mes 11]]+Registro[[#This Row],[Mes 12]]</f>
        <v>0</v>
      </c>
      <c r="X1310" s="20">
        <f>SUM(Registro[[#This Row],[Trim I]],Registro[[#This Row],[Trim II]],Registro[[#This Row],[Trim III]],Registro[[#This Row],[Trim IV]])</f>
        <v>0</v>
      </c>
      <c r="Y1310" s="22">
        <f>IFERROR((Registro[[#This Row],[Avance Total]]/Registro[[#This Row],[Meta]]),0)</f>
        <v>0</v>
      </c>
      <c r="Z1310" s="22">
        <f>IFERROR((Registro[[#This Row],[Avance Total]]-Registro[[#This Row],[Línea Base 2025]])/Registro[[#This Row],[Línea Base 2025]],0)</f>
        <v>0</v>
      </c>
      <c r="AA1310" s="20"/>
    </row>
    <row r="1311" spans="1:27" hidden="1">
      <c r="A1311" s="14">
        <v>1101</v>
      </c>
      <c r="B1311" s="15" t="s">
        <v>122</v>
      </c>
      <c r="C1311" s="16">
        <v>120</v>
      </c>
      <c r="D1311" s="16" t="s">
        <v>192</v>
      </c>
      <c r="E1311" s="17" t="s">
        <v>191</v>
      </c>
      <c r="F1311" s="24">
        <v>38</v>
      </c>
      <c r="G1311" s="19">
        <v>27</v>
      </c>
      <c r="H1311" s="19">
        <v>2</v>
      </c>
      <c r="I1311" s="19">
        <v>0</v>
      </c>
      <c r="T1311" s="20">
        <f>Registro[[#This Row],[Mes 1]]+Registro[[#This Row],[Mes 2]]+Registro[[#This Row],[Mes 3]]</f>
        <v>2</v>
      </c>
      <c r="U1311" s="20">
        <f>Registro[[#This Row],[Mes 4]]+Registro[[#This Row],[Mes 5]]+Registro[[#This Row],[Mes 6]]</f>
        <v>0</v>
      </c>
      <c r="V1311" s="20">
        <f>Registro[[#This Row],[Mes 7]]+Registro[[#This Row],[Mes 8]]+Registro[[#This Row],[Mes 9]]</f>
        <v>0</v>
      </c>
      <c r="W1311" s="20">
        <f>Registro[[#This Row],[Mes 10]]+Registro[[#This Row],[Mes 11]]+Registro[[#This Row],[Mes 12]]</f>
        <v>0</v>
      </c>
      <c r="X1311" s="20">
        <f>SUM(Registro[[#This Row],[Trim I]],Registro[[#This Row],[Trim II]],Registro[[#This Row],[Trim III]],Registro[[#This Row],[Trim IV]])</f>
        <v>2</v>
      </c>
      <c r="Y1311" s="22">
        <f>IFERROR((Registro[[#This Row],[Avance Total]]/Registro[[#This Row],[Meta]]),0)</f>
        <v>7.407407407407407E-2</v>
      </c>
      <c r="Z1311" s="22">
        <f>IFERROR((Registro[[#This Row],[Avance Total]]-Registro[[#This Row],[Línea Base 2025]])/Registro[[#This Row],[Línea Base 2025]],0)</f>
        <v>-0.94736842105263153</v>
      </c>
      <c r="AA1311" s="20"/>
    </row>
    <row r="1312" spans="1:27" hidden="1">
      <c r="A1312" s="14">
        <v>1101</v>
      </c>
      <c r="B1312" s="15" t="s">
        <v>122</v>
      </c>
      <c r="C1312" s="16">
        <v>121</v>
      </c>
      <c r="D1312" s="16" t="s">
        <v>194</v>
      </c>
      <c r="E1312" s="17" t="s">
        <v>193</v>
      </c>
      <c r="F1312" s="24">
        <v>6</v>
      </c>
      <c r="G1312" s="19">
        <v>20</v>
      </c>
      <c r="H1312" s="19">
        <v>1</v>
      </c>
      <c r="I1312" s="19">
        <v>0</v>
      </c>
      <c r="T1312" s="20">
        <f>Registro[[#This Row],[Mes 1]]+Registro[[#This Row],[Mes 2]]+Registro[[#This Row],[Mes 3]]</f>
        <v>1</v>
      </c>
      <c r="U1312" s="20">
        <f>Registro[[#This Row],[Mes 4]]+Registro[[#This Row],[Mes 5]]+Registro[[#This Row],[Mes 6]]</f>
        <v>0</v>
      </c>
      <c r="V1312" s="20">
        <f>Registro[[#This Row],[Mes 7]]+Registro[[#This Row],[Mes 8]]+Registro[[#This Row],[Mes 9]]</f>
        <v>0</v>
      </c>
      <c r="W1312" s="20">
        <f>Registro[[#This Row],[Mes 10]]+Registro[[#This Row],[Mes 11]]+Registro[[#This Row],[Mes 12]]</f>
        <v>0</v>
      </c>
      <c r="X1312" s="20">
        <f>SUM(Registro[[#This Row],[Trim I]],Registro[[#This Row],[Trim II]],Registro[[#This Row],[Trim III]],Registro[[#This Row],[Trim IV]])</f>
        <v>1</v>
      </c>
      <c r="Y1312" s="22">
        <f>IFERROR((Registro[[#This Row],[Avance Total]]/Registro[[#This Row],[Meta]]),0)</f>
        <v>0.05</v>
      </c>
      <c r="Z1312" s="22">
        <f>IFERROR((Registro[[#This Row],[Avance Total]]-Registro[[#This Row],[Línea Base 2025]])/Registro[[#This Row],[Línea Base 2025]],0)</f>
        <v>-0.83333333333333337</v>
      </c>
      <c r="AA1312" s="20"/>
    </row>
    <row r="1313" spans="1:27" hidden="1">
      <c r="A1313" s="14">
        <v>1101</v>
      </c>
      <c r="B1313" s="15" t="s">
        <v>122</v>
      </c>
      <c r="C1313" s="16">
        <v>122</v>
      </c>
      <c r="D1313" s="16" t="s">
        <v>196</v>
      </c>
      <c r="E1313" s="17" t="s">
        <v>195</v>
      </c>
      <c r="F1313" s="24">
        <v>19</v>
      </c>
      <c r="G1313" s="19">
        <v>10</v>
      </c>
      <c r="H1313" s="19">
        <v>0</v>
      </c>
      <c r="I1313" s="19">
        <v>0</v>
      </c>
      <c r="T1313" s="20">
        <f>Registro[[#This Row],[Mes 1]]+Registro[[#This Row],[Mes 2]]+Registro[[#This Row],[Mes 3]]</f>
        <v>0</v>
      </c>
      <c r="U1313" s="20">
        <f>Registro[[#This Row],[Mes 4]]+Registro[[#This Row],[Mes 5]]+Registro[[#This Row],[Mes 6]]</f>
        <v>0</v>
      </c>
      <c r="V1313" s="20">
        <f>Registro[[#This Row],[Mes 7]]+Registro[[#This Row],[Mes 8]]+Registro[[#This Row],[Mes 9]]</f>
        <v>0</v>
      </c>
      <c r="W1313" s="20">
        <f>Registro[[#This Row],[Mes 10]]+Registro[[#This Row],[Mes 11]]+Registro[[#This Row],[Mes 12]]</f>
        <v>0</v>
      </c>
      <c r="X1313" s="20">
        <f>SUM(Registro[[#This Row],[Trim I]],Registro[[#This Row],[Trim II]],Registro[[#This Row],[Trim III]],Registro[[#This Row],[Trim IV]])</f>
        <v>0</v>
      </c>
      <c r="Y1313" s="22">
        <f>IFERROR((Registro[[#This Row],[Avance Total]]/Registro[[#This Row],[Meta]]),0)</f>
        <v>0</v>
      </c>
      <c r="Z1313" s="22">
        <f>IFERROR((Registro[[#This Row],[Avance Total]]-Registro[[#This Row],[Línea Base 2025]])/Registro[[#This Row],[Línea Base 2025]],0)</f>
        <v>-1</v>
      </c>
      <c r="AA1313" s="20"/>
    </row>
    <row r="1314" spans="1:27" hidden="1">
      <c r="A1314" s="14">
        <v>1101</v>
      </c>
      <c r="B1314" s="15" t="s">
        <v>122</v>
      </c>
      <c r="C1314" s="16">
        <v>123</v>
      </c>
      <c r="D1314" s="16" t="s">
        <v>198</v>
      </c>
      <c r="E1314" s="17" t="s">
        <v>197</v>
      </c>
      <c r="F1314" s="24">
        <v>0</v>
      </c>
      <c r="G1314" s="19">
        <v>10</v>
      </c>
      <c r="H1314" s="19">
        <v>0</v>
      </c>
      <c r="I1314" s="19">
        <v>0</v>
      </c>
      <c r="T1314" s="20">
        <f>Registro[[#This Row],[Mes 1]]+Registro[[#This Row],[Mes 2]]+Registro[[#This Row],[Mes 3]]</f>
        <v>0</v>
      </c>
      <c r="U1314" s="20">
        <f>Registro[[#This Row],[Mes 4]]+Registro[[#This Row],[Mes 5]]+Registro[[#This Row],[Mes 6]]</f>
        <v>0</v>
      </c>
      <c r="V1314" s="20">
        <f>Registro[[#This Row],[Mes 7]]+Registro[[#This Row],[Mes 8]]+Registro[[#This Row],[Mes 9]]</f>
        <v>0</v>
      </c>
      <c r="W1314" s="20">
        <f>Registro[[#This Row],[Mes 10]]+Registro[[#This Row],[Mes 11]]+Registro[[#This Row],[Mes 12]]</f>
        <v>0</v>
      </c>
      <c r="X1314" s="20">
        <f>SUM(Registro[[#This Row],[Trim I]],Registro[[#This Row],[Trim II]],Registro[[#This Row],[Trim III]],Registro[[#This Row],[Trim IV]])</f>
        <v>0</v>
      </c>
      <c r="Y1314" s="22">
        <f>IFERROR((Registro[[#This Row],[Avance Total]]/Registro[[#This Row],[Meta]]),0)</f>
        <v>0</v>
      </c>
      <c r="Z1314" s="22">
        <f>IFERROR((Registro[[#This Row],[Avance Total]]-Registro[[#This Row],[Línea Base 2025]])/Registro[[#This Row],[Línea Base 2025]],0)</f>
        <v>0</v>
      </c>
      <c r="AA1314" s="20"/>
    </row>
    <row r="1315" spans="1:27" hidden="1">
      <c r="A1315" s="14">
        <v>1102</v>
      </c>
      <c r="B1315" s="15" t="s">
        <v>123</v>
      </c>
      <c r="C1315" s="16">
        <v>111</v>
      </c>
      <c r="D1315" s="16" t="s">
        <v>171</v>
      </c>
      <c r="E1315" s="17" t="s">
        <v>172</v>
      </c>
      <c r="F1315" s="24">
        <v>33</v>
      </c>
      <c r="G1315" s="19">
        <v>44</v>
      </c>
      <c r="H1315" s="19">
        <v>1</v>
      </c>
      <c r="I1315" s="19">
        <v>0</v>
      </c>
      <c r="T1315" s="20">
        <f>Registro[[#This Row],[Mes 1]]+Registro[[#This Row],[Mes 2]]+Registro[[#This Row],[Mes 3]]</f>
        <v>1</v>
      </c>
      <c r="U1315" s="20">
        <f>Registro[[#This Row],[Mes 4]]+Registro[[#This Row],[Mes 5]]+Registro[[#This Row],[Mes 6]]</f>
        <v>0</v>
      </c>
      <c r="V1315" s="20">
        <f>Registro[[#This Row],[Mes 7]]+Registro[[#This Row],[Mes 8]]+Registro[[#This Row],[Mes 9]]</f>
        <v>0</v>
      </c>
      <c r="W1315" s="20">
        <f>Registro[[#This Row],[Mes 10]]+Registro[[#This Row],[Mes 11]]+Registro[[#This Row],[Mes 12]]</f>
        <v>0</v>
      </c>
      <c r="X1315" s="20">
        <f>SUM(Registro[[#This Row],[Trim I]],Registro[[#This Row],[Trim II]],Registro[[#This Row],[Trim III]],Registro[[#This Row],[Trim IV]])</f>
        <v>1</v>
      </c>
      <c r="Y1315" s="22">
        <f>IFERROR((Registro[[#This Row],[Avance Total]]/Registro[[#This Row],[Meta]]),0)</f>
        <v>2.2727272727272728E-2</v>
      </c>
      <c r="Z1315" s="22">
        <f>IFERROR((Registro[[#This Row],[Avance Total]]-Registro[[#This Row],[Línea Base 2025]])/Registro[[#This Row],[Línea Base 2025]],0)</f>
        <v>-0.96969696969696972</v>
      </c>
      <c r="AA1315" s="20"/>
    </row>
    <row r="1316" spans="1:27" hidden="1">
      <c r="A1316" s="14">
        <v>1102</v>
      </c>
      <c r="B1316" s="15" t="s">
        <v>123</v>
      </c>
      <c r="C1316" s="16">
        <v>112</v>
      </c>
      <c r="D1316" s="16" t="s">
        <v>173</v>
      </c>
      <c r="E1316" s="17" t="s">
        <v>7</v>
      </c>
      <c r="F1316" s="24">
        <v>20</v>
      </c>
      <c r="G1316" s="19">
        <v>65</v>
      </c>
      <c r="H1316" s="19">
        <v>0</v>
      </c>
      <c r="I1316" s="19">
        <v>0</v>
      </c>
      <c r="T1316" s="20">
        <f>Registro[[#This Row],[Mes 1]]+Registro[[#This Row],[Mes 2]]+Registro[[#This Row],[Mes 3]]</f>
        <v>0</v>
      </c>
      <c r="U1316" s="20">
        <f>Registro[[#This Row],[Mes 4]]+Registro[[#This Row],[Mes 5]]+Registro[[#This Row],[Mes 6]]</f>
        <v>0</v>
      </c>
      <c r="V1316" s="20">
        <f>Registro[[#This Row],[Mes 7]]+Registro[[#This Row],[Mes 8]]+Registro[[#This Row],[Mes 9]]</f>
        <v>0</v>
      </c>
      <c r="W1316" s="20">
        <f>Registro[[#This Row],[Mes 10]]+Registro[[#This Row],[Mes 11]]+Registro[[#This Row],[Mes 12]]</f>
        <v>0</v>
      </c>
      <c r="X1316" s="20">
        <f>SUM(Registro[[#This Row],[Trim I]],Registro[[#This Row],[Trim II]],Registro[[#This Row],[Trim III]],Registro[[#This Row],[Trim IV]])</f>
        <v>0</v>
      </c>
      <c r="Y1316" s="22">
        <f>IFERROR((Registro[[#This Row],[Avance Total]]/Registro[[#This Row],[Meta]]),0)</f>
        <v>0</v>
      </c>
      <c r="Z1316" s="22">
        <f>IFERROR((Registro[[#This Row],[Avance Total]]-Registro[[#This Row],[Línea Base 2025]])/Registro[[#This Row],[Línea Base 2025]],0)</f>
        <v>-1</v>
      </c>
      <c r="AA1316" s="20"/>
    </row>
    <row r="1317" spans="1:27" hidden="1">
      <c r="A1317" s="14">
        <v>1102</v>
      </c>
      <c r="B1317" s="15" t="s">
        <v>123</v>
      </c>
      <c r="C1317" s="16">
        <v>113</v>
      </c>
      <c r="D1317" s="16" t="s">
        <v>179</v>
      </c>
      <c r="E1317" s="17" t="s">
        <v>178</v>
      </c>
      <c r="F1317" s="24">
        <v>22</v>
      </c>
      <c r="G1317" s="19">
        <v>137</v>
      </c>
      <c r="H1317" s="19">
        <v>1</v>
      </c>
      <c r="I1317" s="19">
        <v>0</v>
      </c>
      <c r="T1317" s="20">
        <f>Registro[[#This Row],[Mes 1]]+Registro[[#This Row],[Mes 2]]+Registro[[#This Row],[Mes 3]]</f>
        <v>1</v>
      </c>
      <c r="U1317" s="20">
        <f>Registro[[#This Row],[Mes 4]]+Registro[[#This Row],[Mes 5]]+Registro[[#This Row],[Mes 6]]</f>
        <v>0</v>
      </c>
      <c r="V1317" s="20">
        <f>Registro[[#This Row],[Mes 7]]+Registro[[#This Row],[Mes 8]]+Registro[[#This Row],[Mes 9]]</f>
        <v>0</v>
      </c>
      <c r="W1317" s="20">
        <f>Registro[[#This Row],[Mes 10]]+Registro[[#This Row],[Mes 11]]+Registro[[#This Row],[Mes 12]]</f>
        <v>0</v>
      </c>
      <c r="X1317" s="20">
        <f>SUM(Registro[[#This Row],[Trim I]],Registro[[#This Row],[Trim II]],Registro[[#This Row],[Trim III]],Registro[[#This Row],[Trim IV]])</f>
        <v>1</v>
      </c>
      <c r="Y1317" s="22">
        <f>IFERROR((Registro[[#This Row],[Avance Total]]/Registro[[#This Row],[Meta]]),0)</f>
        <v>7.2992700729927005E-3</v>
      </c>
      <c r="Z1317" s="22">
        <f>IFERROR((Registro[[#This Row],[Avance Total]]-Registro[[#This Row],[Línea Base 2025]])/Registro[[#This Row],[Línea Base 2025]],0)</f>
        <v>-0.95454545454545459</v>
      </c>
      <c r="AA1317" s="20"/>
    </row>
    <row r="1318" spans="1:27" hidden="1">
      <c r="A1318" s="14">
        <v>1102</v>
      </c>
      <c r="B1318" s="15" t="s">
        <v>123</v>
      </c>
      <c r="C1318" s="16">
        <v>114</v>
      </c>
      <c r="D1318" s="16" t="s">
        <v>181</v>
      </c>
      <c r="E1318" s="17" t="s">
        <v>180</v>
      </c>
      <c r="F1318" s="24">
        <v>1</v>
      </c>
      <c r="G1318" s="19">
        <v>8</v>
      </c>
      <c r="H1318" s="19">
        <v>4</v>
      </c>
      <c r="I1318" s="19">
        <v>0</v>
      </c>
      <c r="T1318" s="20">
        <f>Registro[[#This Row],[Mes 1]]+Registro[[#This Row],[Mes 2]]+Registro[[#This Row],[Mes 3]]</f>
        <v>4</v>
      </c>
      <c r="U1318" s="20">
        <f>Registro[[#This Row],[Mes 4]]+Registro[[#This Row],[Mes 5]]+Registro[[#This Row],[Mes 6]]</f>
        <v>0</v>
      </c>
      <c r="V1318" s="20">
        <f>Registro[[#This Row],[Mes 7]]+Registro[[#This Row],[Mes 8]]+Registro[[#This Row],[Mes 9]]</f>
        <v>0</v>
      </c>
      <c r="W1318" s="20">
        <f>Registro[[#This Row],[Mes 10]]+Registro[[#This Row],[Mes 11]]+Registro[[#This Row],[Mes 12]]</f>
        <v>0</v>
      </c>
      <c r="X1318" s="20">
        <f>SUM(Registro[[#This Row],[Trim I]],Registro[[#This Row],[Trim II]],Registro[[#This Row],[Trim III]],Registro[[#This Row],[Trim IV]])</f>
        <v>4</v>
      </c>
      <c r="Y1318" s="22">
        <f>IFERROR((Registro[[#This Row],[Avance Total]]/Registro[[#This Row],[Meta]]),0)</f>
        <v>0.5</v>
      </c>
      <c r="Z1318" s="22">
        <f>IFERROR((Registro[[#This Row],[Avance Total]]-Registro[[#This Row],[Línea Base 2025]])/Registro[[#This Row],[Línea Base 2025]],0)</f>
        <v>3</v>
      </c>
      <c r="AA1318" s="20"/>
    </row>
    <row r="1319" spans="1:27" hidden="1">
      <c r="A1319" s="14">
        <v>1102</v>
      </c>
      <c r="B1319" s="15" t="s">
        <v>123</v>
      </c>
      <c r="C1319" s="16">
        <v>115</v>
      </c>
      <c r="D1319" s="16" t="s">
        <v>183</v>
      </c>
      <c r="E1319" s="17" t="s">
        <v>182</v>
      </c>
      <c r="F1319" s="24">
        <v>26</v>
      </c>
      <c r="G1319" s="19">
        <v>7</v>
      </c>
      <c r="H1319" s="19">
        <v>1</v>
      </c>
      <c r="I1319" s="19">
        <v>0</v>
      </c>
      <c r="T1319" s="20">
        <f>Registro[[#This Row],[Mes 1]]+Registro[[#This Row],[Mes 2]]+Registro[[#This Row],[Mes 3]]</f>
        <v>1</v>
      </c>
      <c r="U1319" s="20">
        <f>Registro[[#This Row],[Mes 4]]+Registro[[#This Row],[Mes 5]]+Registro[[#This Row],[Mes 6]]</f>
        <v>0</v>
      </c>
      <c r="V1319" s="20">
        <f>Registro[[#This Row],[Mes 7]]+Registro[[#This Row],[Mes 8]]+Registro[[#This Row],[Mes 9]]</f>
        <v>0</v>
      </c>
      <c r="W1319" s="20">
        <f>Registro[[#This Row],[Mes 10]]+Registro[[#This Row],[Mes 11]]+Registro[[#This Row],[Mes 12]]</f>
        <v>0</v>
      </c>
      <c r="X1319" s="20">
        <f>SUM(Registro[[#This Row],[Trim I]],Registro[[#This Row],[Trim II]],Registro[[#This Row],[Trim III]],Registro[[#This Row],[Trim IV]])</f>
        <v>1</v>
      </c>
      <c r="Y1319" s="22">
        <f>IFERROR((Registro[[#This Row],[Avance Total]]/Registro[[#This Row],[Meta]]),0)</f>
        <v>0.14285714285714285</v>
      </c>
      <c r="Z1319" s="22">
        <f>IFERROR((Registro[[#This Row],[Avance Total]]-Registro[[#This Row],[Línea Base 2025]])/Registro[[#This Row],[Línea Base 2025]],0)</f>
        <v>-0.96153846153846156</v>
      </c>
      <c r="AA1319" s="20"/>
    </row>
    <row r="1320" spans="1:27">
      <c r="A1320" s="14">
        <v>1102</v>
      </c>
      <c r="B1320" s="15" t="s">
        <v>123</v>
      </c>
      <c r="C1320" s="16">
        <v>116</v>
      </c>
      <c r="D1320" s="16" t="s">
        <v>185</v>
      </c>
      <c r="E1320" s="17" t="s">
        <v>184</v>
      </c>
      <c r="F1320" s="24">
        <v>0</v>
      </c>
      <c r="G1320" s="19">
        <v>6</v>
      </c>
      <c r="H1320" s="19">
        <v>0</v>
      </c>
      <c r="I1320" s="19">
        <v>0</v>
      </c>
      <c r="T1320" s="20">
        <f>Registro[[#This Row],[Mes 1]]+Registro[[#This Row],[Mes 2]]+Registro[[#This Row],[Mes 3]]</f>
        <v>0</v>
      </c>
      <c r="U1320" s="20">
        <f>Registro[[#This Row],[Mes 4]]+Registro[[#This Row],[Mes 5]]+Registro[[#This Row],[Mes 6]]</f>
        <v>0</v>
      </c>
      <c r="V1320" s="20">
        <f>Registro[[#This Row],[Mes 7]]+Registro[[#This Row],[Mes 8]]+Registro[[#This Row],[Mes 9]]</f>
        <v>0</v>
      </c>
      <c r="W1320" s="20">
        <f>Registro[[#This Row],[Mes 10]]+Registro[[#This Row],[Mes 11]]+Registro[[#This Row],[Mes 12]]</f>
        <v>0</v>
      </c>
      <c r="X1320" s="20">
        <f>SUM(Registro[[#This Row],[Trim I]],Registro[[#This Row],[Trim II]],Registro[[#This Row],[Trim III]],Registro[[#This Row],[Trim IV]])</f>
        <v>0</v>
      </c>
      <c r="Y1320" s="22">
        <f>IFERROR((Registro[[#This Row],[Avance Total]]/Registro[[#This Row],[Meta]]),0)</f>
        <v>0</v>
      </c>
      <c r="Z1320" s="22">
        <f>IFERROR((Registro[[#This Row],[Avance Total]]-Registro[[#This Row],[Línea Base 2025]])/Registro[[#This Row],[Línea Base 2025]],0)</f>
        <v>0</v>
      </c>
      <c r="AA1320" s="20"/>
    </row>
    <row r="1321" spans="1:27" hidden="1">
      <c r="A1321" s="14">
        <v>1102</v>
      </c>
      <c r="B1321" s="15" t="s">
        <v>123</v>
      </c>
      <c r="C1321" s="16">
        <v>117</v>
      </c>
      <c r="D1321" s="16" t="s">
        <v>187</v>
      </c>
      <c r="E1321" s="17" t="s">
        <v>186</v>
      </c>
      <c r="F1321" s="24">
        <v>6</v>
      </c>
      <c r="G1321" s="19">
        <v>4</v>
      </c>
      <c r="H1321" s="19">
        <v>0</v>
      </c>
      <c r="I1321" s="19">
        <v>0</v>
      </c>
      <c r="T1321" s="20">
        <f>Registro[[#This Row],[Mes 1]]+Registro[[#This Row],[Mes 2]]+Registro[[#This Row],[Mes 3]]</f>
        <v>0</v>
      </c>
      <c r="U1321" s="20">
        <f>Registro[[#This Row],[Mes 4]]+Registro[[#This Row],[Mes 5]]+Registro[[#This Row],[Mes 6]]</f>
        <v>0</v>
      </c>
      <c r="V1321" s="20">
        <f>Registro[[#This Row],[Mes 7]]+Registro[[#This Row],[Mes 8]]+Registro[[#This Row],[Mes 9]]</f>
        <v>0</v>
      </c>
      <c r="W1321" s="20">
        <f>Registro[[#This Row],[Mes 10]]+Registro[[#This Row],[Mes 11]]+Registro[[#This Row],[Mes 12]]</f>
        <v>0</v>
      </c>
      <c r="X1321" s="20">
        <f>SUM(Registro[[#This Row],[Trim I]],Registro[[#This Row],[Trim II]],Registro[[#This Row],[Trim III]],Registro[[#This Row],[Trim IV]])</f>
        <v>0</v>
      </c>
      <c r="Y1321" s="22">
        <f>IFERROR((Registro[[#This Row],[Avance Total]]/Registro[[#This Row],[Meta]]),0)</f>
        <v>0</v>
      </c>
      <c r="Z1321" s="22">
        <f>IFERROR((Registro[[#This Row],[Avance Total]]-Registro[[#This Row],[Línea Base 2025]])/Registro[[#This Row],[Línea Base 2025]],0)</f>
        <v>-1</v>
      </c>
      <c r="AA1321" s="20"/>
    </row>
    <row r="1322" spans="1:27" hidden="1">
      <c r="A1322" s="14">
        <v>1102</v>
      </c>
      <c r="B1322" s="15" t="s">
        <v>123</v>
      </c>
      <c r="C1322" s="16">
        <v>118</v>
      </c>
      <c r="D1322" s="16" t="s">
        <v>188</v>
      </c>
      <c r="E1322" s="17" t="s">
        <v>9</v>
      </c>
      <c r="F1322" s="24">
        <v>0</v>
      </c>
      <c r="G1322" s="19">
        <v>64</v>
      </c>
      <c r="H1322" s="19">
        <v>0</v>
      </c>
      <c r="I1322" s="19">
        <v>0</v>
      </c>
      <c r="T1322" s="20">
        <f>Registro[[#This Row],[Mes 1]]+Registro[[#This Row],[Mes 2]]+Registro[[#This Row],[Mes 3]]</f>
        <v>0</v>
      </c>
      <c r="U1322" s="20">
        <f>Registro[[#This Row],[Mes 4]]+Registro[[#This Row],[Mes 5]]+Registro[[#This Row],[Mes 6]]</f>
        <v>0</v>
      </c>
      <c r="V1322" s="20">
        <f>Registro[[#This Row],[Mes 7]]+Registro[[#This Row],[Mes 8]]+Registro[[#This Row],[Mes 9]]</f>
        <v>0</v>
      </c>
      <c r="W1322" s="20">
        <f>Registro[[#This Row],[Mes 10]]+Registro[[#This Row],[Mes 11]]+Registro[[#This Row],[Mes 12]]</f>
        <v>0</v>
      </c>
      <c r="X1322" s="20">
        <f>SUM(Registro[[#This Row],[Trim I]],Registro[[#This Row],[Trim II]],Registro[[#This Row],[Trim III]],Registro[[#This Row],[Trim IV]])</f>
        <v>0</v>
      </c>
      <c r="Y1322" s="22">
        <f>IFERROR((Registro[[#This Row],[Avance Total]]/Registro[[#This Row],[Meta]]),0)</f>
        <v>0</v>
      </c>
      <c r="Z1322" s="22">
        <f>IFERROR((Registro[[#This Row],[Avance Total]]-Registro[[#This Row],[Línea Base 2025]])/Registro[[#This Row],[Línea Base 2025]],0)</f>
        <v>0</v>
      </c>
      <c r="AA1322" s="20"/>
    </row>
    <row r="1323" spans="1:27" hidden="1">
      <c r="A1323" s="14">
        <v>1102</v>
      </c>
      <c r="B1323" s="15" t="s">
        <v>123</v>
      </c>
      <c r="C1323" s="16">
        <v>119</v>
      </c>
      <c r="D1323" s="16" t="s">
        <v>190</v>
      </c>
      <c r="E1323" s="17" t="s">
        <v>189</v>
      </c>
      <c r="F1323" s="24">
        <v>0</v>
      </c>
      <c r="G1323" s="19">
        <v>5</v>
      </c>
      <c r="H1323" s="19">
        <v>0</v>
      </c>
      <c r="I1323" s="19">
        <v>0</v>
      </c>
      <c r="T1323" s="20">
        <f>Registro[[#This Row],[Mes 1]]+Registro[[#This Row],[Mes 2]]+Registro[[#This Row],[Mes 3]]</f>
        <v>0</v>
      </c>
      <c r="U1323" s="20">
        <f>Registro[[#This Row],[Mes 4]]+Registro[[#This Row],[Mes 5]]+Registro[[#This Row],[Mes 6]]</f>
        <v>0</v>
      </c>
      <c r="V1323" s="20">
        <f>Registro[[#This Row],[Mes 7]]+Registro[[#This Row],[Mes 8]]+Registro[[#This Row],[Mes 9]]</f>
        <v>0</v>
      </c>
      <c r="W1323" s="20">
        <f>Registro[[#This Row],[Mes 10]]+Registro[[#This Row],[Mes 11]]+Registro[[#This Row],[Mes 12]]</f>
        <v>0</v>
      </c>
      <c r="X1323" s="20">
        <f>SUM(Registro[[#This Row],[Trim I]],Registro[[#This Row],[Trim II]],Registro[[#This Row],[Trim III]],Registro[[#This Row],[Trim IV]])</f>
        <v>0</v>
      </c>
      <c r="Y1323" s="22">
        <f>IFERROR((Registro[[#This Row],[Avance Total]]/Registro[[#This Row],[Meta]]),0)</f>
        <v>0</v>
      </c>
      <c r="Z1323" s="22">
        <f>IFERROR((Registro[[#This Row],[Avance Total]]-Registro[[#This Row],[Línea Base 2025]])/Registro[[#This Row],[Línea Base 2025]],0)</f>
        <v>0</v>
      </c>
      <c r="AA1323" s="20"/>
    </row>
    <row r="1324" spans="1:27" hidden="1">
      <c r="A1324" s="14">
        <v>1102</v>
      </c>
      <c r="B1324" s="15" t="s">
        <v>123</v>
      </c>
      <c r="C1324" s="16">
        <v>120</v>
      </c>
      <c r="D1324" s="16" t="s">
        <v>192</v>
      </c>
      <c r="E1324" s="17" t="s">
        <v>191</v>
      </c>
      <c r="F1324" s="24">
        <v>20</v>
      </c>
      <c r="G1324" s="19">
        <v>17</v>
      </c>
      <c r="H1324" s="19">
        <v>0</v>
      </c>
      <c r="I1324" s="19">
        <v>0</v>
      </c>
      <c r="T1324" s="20">
        <f>Registro[[#This Row],[Mes 1]]+Registro[[#This Row],[Mes 2]]+Registro[[#This Row],[Mes 3]]</f>
        <v>0</v>
      </c>
      <c r="U1324" s="20">
        <f>Registro[[#This Row],[Mes 4]]+Registro[[#This Row],[Mes 5]]+Registro[[#This Row],[Mes 6]]</f>
        <v>0</v>
      </c>
      <c r="V1324" s="20">
        <f>Registro[[#This Row],[Mes 7]]+Registro[[#This Row],[Mes 8]]+Registro[[#This Row],[Mes 9]]</f>
        <v>0</v>
      </c>
      <c r="W1324" s="20">
        <f>Registro[[#This Row],[Mes 10]]+Registro[[#This Row],[Mes 11]]+Registro[[#This Row],[Mes 12]]</f>
        <v>0</v>
      </c>
      <c r="X1324" s="20">
        <f>SUM(Registro[[#This Row],[Trim I]],Registro[[#This Row],[Trim II]],Registro[[#This Row],[Trim III]],Registro[[#This Row],[Trim IV]])</f>
        <v>0</v>
      </c>
      <c r="Y1324" s="22">
        <f>IFERROR((Registro[[#This Row],[Avance Total]]/Registro[[#This Row],[Meta]]),0)</f>
        <v>0</v>
      </c>
      <c r="Z1324" s="22">
        <f>IFERROR((Registro[[#This Row],[Avance Total]]-Registro[[#This Row],[Línea Base 2025]])/Registro[[#This Row],[Línea Base 2025]],0)</f>
        <v>-1</v>
      </c>
      <c r="AA1324" s="20"/>
    </row>
    <row r="1325" spans="1:27" hidden="1">
      <c r="A1325" s="14">
        <v>1102</v>
      </c>
      <c r="B1325" s="15" t="s">
        <v>123</v>
      </c>
      <c r="C1325" s="16">
        <v>121</v>
      </c>
      <c r="D1325" s="16" t="s">
        <v>194</v>
      </c>
      <c r="E1325" s="17" t="s">
        <v>193</v>
      </c>
      <c r="F1325" s="24">
        <v>12</v>
      </c>
      <c r="G1325" s="19">
        <v>13</v>
      </c>
      <c r="H1325" s="19">
        <v>0</v>
      </c>
      <c r="I1325" s="19">
        <v>0</v>
      </c>
      <c r="T1325" s="20">
        <f>Registro[[#This Row],[Mes 1]]+Registro[[#This Row],[Mes 2]]+Registro[[#This Row],[Mes 3]]</f>
        <v>0</v>
      </c>
      <c r="U1325" s="20">
        <f>Registro[[#This Row],[Mes 4]]+Registro[[#This Row],[Mes 5]]+Registro[[#This Row],[Mes 6]]</f>
        <v>0</v>
      </c>
      <c r="V1325" s="20">
        <f>Registro[[#This Row],[Mes 7]]+Registro[[#This Row],[Mes 8]]+Registro[[#This Row],[Mes 9]]</f>
        <v>0</v>
      </c>
      <c r="W1325" s="20">
        <f>Registro[[#This Row],[Mes 10]]+Registro[[#This Row],[Mes 11]]+Registro[[#This Row],[Mes 12]]</f>
        <v>0</v>
      </c>
      <c r="X1325" s="20">
        <f>SUM(Registro[[#This Row],[Trim I]],Registro[[#This Row],[Trim II]],Registro[[#This Row],[Trim III]],Registro[[#This Row],[Trim IV]])</f>
        <v>0</v>
      </c>
      <c r="Y1325" s="22">
        <f>IFERROR((Registro[[#This Row],[Avance Total]]/Registro[[#This Row],[Meta]]),0)</f>
        <v>0</v>
      </c>
      <c r="Z1325" s="22">
        <f>IFERROR((Registro[[#This Row],[Avance Total]]-Registro[[#This Row],[Línea Base 2025]])/Registro[[#This Row],[Línea Base 2025]],0)</f>
        <v>-1</v>
      </c>
      <c r="AA1325" s="20"/>
    </row>
    <row r="1326" spans="1:27" hidden="1">
      <c r="A1326" s="14">
        <v>1102</v>
      </c>
      <c r="B1326" s="15" t="s">
        <v>123</v>
      </c>
      <c r="C1326" s="16">
        <v>122</v>
      </c>
      <c r="D1326" s="16" t="s">
        <v>196</v>
      </c>
      <c r="E1326" s="17" t="s">
        <v>195</v>
      </c>
      <c r="F1326" s="24">
        <v>2</v>
      </c>
      <c r="G1326" s="19">
        <v>6</v>
      </c>
      <c r="H1326" s="19">
        <v>0</v>
      </c>
      <c r="I1326" s="19">
        <v>0</v>
      </c>
      <c r="T1326" s="20">
        <f>Registro[[#This Row],[Mes 1]]+Registro[[#This Row],[Mes 2]]+Registro[[#This Row],[Mes 3]]</f>
        <v>0</v>
      </c>
      <c r="U1326" s="20">
        <f>Registro[[#This Row],[Mes 4]]+Registro[[#This Row],[Mes 5]]+Registro[[#This Row],[Mes 6]]</f>
        <v>0</v>
      </c>
      <c r="V1326" s="20">
        <f>Registro[[#This Row],[Mes 7]]+Registro[[#This Row],[Mes 8]]+Registro[[#This Row],[Mes 9]]</f>
        <v>0</v>
      </c>
      <c r="W1326" s="20">
        <f>Registro[[#This Row],[Mes 10]]+Registro[[#This Row],[Mes 11]]+Registro[[#This Row],[Mes 12]]</f>
        <v>0</v>
      </c>
      <c r="X1326" s="20">
        <f>SUM(Registro[[#This Row],[Trim I]],Registro[[#This Row],[Trim II]],Registro[[#This Row],[Trim III]],Registro[[#This Row],[Trim IV]])</f>
        <v>0</v>
      </c>
      <c r="Y1326" s="22">
        <f>IFERROR((Registro[[#This Row],[Avance Total]]/Registro[[#This Row],[Meta]]),0)</f>
        <v>0</v>
      </c>
      <c r="Z1326" s="22">
        <f>IFERROR((Registro[[#This Row],[Avance Total]]-Registro[[#This Row],[Línea Base 2025]])/Registro[[#This Row],[Línea Base 2025]],0)</f>
        <v>-1</v>
      </c>
      <c r="AA1326" s="20"/>
    </row>
    <row r="1327" spans="1:27" hidden="1">
      <c r="A1327" s="14">
        <v>1102</v>
      </c>
      <c r="B1327" s="15" t="s">
        <v>123</v>
      </c>
      <c r="C1327" s="16">
        <v>123</v>
      </c>
      <c r="D1327" s="16" t="s">
        <v>198</v>
      </c>
      <c r="E1327" s="17" t="s">
        <v>197</v>
      </c>
      <c r="F1327" s="24">
        <v>0</v>
      </c>
      <c r="G1327" s="19">
        <v>10</v>
      </c>
      <c r="H1327" s="19">
        <v>0</v>
      </c>
      <c r="I1327" s="19">
        <v>0</v>
      </c>
      <c r="T1327" s="20">
        <f>Registro[[#This Row],[Mes 1]]+Registro[[#This Row],[Mes 2]]+Registro[[#This Row],[Mes 3]]</f>
        <v>0</v>
      </c>
      <c r="U1327" s="20">
        <f>Registro[[#This Row],[Mes 4]]+Registro[[#This Row],[Mes 5]]+Registro[[#This Row],[Mes 6]]</f>
        <v>0</v>
      </c>
      <c r="V1327" s="20">
        <f>Registro[[#This Row],[Mes 7]]+Registro[[#This Row],[Mes 8]]+Registro[[#This Row],[Mes 9]]</f>
        <v>0</v>
      </c>
      <c r="W1327" s="20">
        <f>Registro[[#This Row],[Mes 10]]+Registro[[#This Row],[Mes 11]]+Registro[[#This Row],[Mes 12]]</f>
        <v>0</v>
      </c>
      <c r="X1327" s="20">
        <f>SUM(Registro[[#This Row],[Trim I]],Registro[[#This Row],[Trim II]],Registro[[#This Row],[Trim III]],Registro[[#This Row],[Trim IV]])</f>
        <v>0</v>
      </c>
      <c r="Y1327" s="22">
        <f>IFERROR((Registro[[#This Row],[Avance Total]]/Registro[[#This Row],[Meta]]),0)</f>
        <v>0</v>
      </c>
      <c r="Z1327" s="22">
        <f>IFERROR((Registro[[#This Row],[Avance Total]]-Registro[[#This Row],[Línea Base 2025]])/Registro[[#This Row],[Línea Base 2025]],0)</f>
        <v>0</v>
      </c>
      <c r="AA1327" s="20"/>
    </row>
    <row r="1328" spans="1:27" hidden="1">
      <c r="A1328" s="14">
        <v>1103</v>
      </c>
      <c r="B1328" s="15" t="s">
        <v>13</v>
      </c>
      <c r="C1328" s="16">
        <v>111</v>
      </c>
      <c r="D1328" s="16" t="s">
        <v>171</v>
      </c>
      <c r="E1328" s="17" t="s">
        <v>172</v>
      </c>
      <c r="F1328" s="24">
        <v>0</v>
      </c>
      <c r="G1328" s="19">
        <v>27</v>
      </c>
      <c r="H1328" s="19">
        <v>0</v>
      </c>
      <c r="I1328" s="19">
        <v>2</v>
      </c>
      <c r="T1328" s="20">
        <f>Registro[[#This Row],[Mes 1]]+Registro[[#This Row],[Mes 2]]+Registro[[#This Row],[Mes 3]]</f>
        <v>2</v>
      </c>
      <c r="U1328" s="20">
        <f>Registro[[#This Row],[Mes 4]]+Registro[[#This Row],[Mes 5]]+Registro[[#This Row],[Mes 6]]</f>
        <v>0</v>
      </c>
      <c r="V1328" s="20">
        <f>Registro[[#This Row],[Mes 7]]+Registro[[#This Row],[Mes 8]]+Registro[[#This Row],[Mes 9]]</f>
        <v>0</v>
      </c>
      <c r="W1328" s="20">
        <f>Registro[[#This Row],[Mes 10]]+Registro[[#This Row],[Mes 11]]+Registro[[#This Row],[Mes 12]]</f>
        <v>0</v>
      </c>
      <c r="X1328" s="20">
        <f>SUM(Registro[[#This Row],[Trim I]],Registro[[#This Row],[Trim II]],Registro[[#This Row],[Trim III]],Registro[[#This Row],[Trim IV]])</f>
        <v>2</v>
      </c>
      <c r="Y1328" s="22">
        <f>IFERROR((Registro[[#This Row],[Avance Total]]/Registro[[#This Row],[Meta]]),0)</f>
        <v>7.407407407407407E-2</v>
      </c>
      <c r="Z1328" s="22">
        <f>IFERROR((Registro[[#This Row],[Avance Total]]-Registro[[#This Row],[Línea Base 2025]])/Registro[[#This Row],[Línea Base 2025]],0)</f>
        <v>0</v>
      </c>
      <c r="AA1328" s="20"/>
    </row>
    <row r="1329" spans="1:27" hidden="1">
      <c r="A1329" s="14">
        <v>1103</v>
      </c>
      <c r="B1329" s="15" t="s">
        <v>13</v>
      </c>
      <c r="C1329" s="16">
        <v>112</v>
      </c>
      <c r="D1329" s="16" t="s">
        <v>173</v>
      </c>
      <c r="E1329" s="17" t="s">
        <v>7</v>
      </c>
      <c r="F1329" s="24">
        <v>0</v>
      </c>
      <c r="G1329" s="19">
        <v>0</v>
      </c>
      <c r="H1329" s="19">
        <v>0</v>
      </c>
      <c r="I1329" s="19">
        <v>0</v>
      </c>
      <c r="T1329" s="20">
        <f>Registro[[#This Row],[Mes 1]]+Registro[[#This Row],[Mes 2]]+Registro[[#This Row],[Mes 3]]</f>
        <v>0</v>
      </c>
      <c r="U1329" s="20">
        <f>Registro[[#This Row],[Mes 4]]+Registro[[#This Row],[Mes 5]]+Registro[[#This Row],[Mes 6]]</f>
        <v>0</v>
      </c>
      <c r="V1329" s="20">
        <f>Registro[[#This Row],[Mes 7]]+Registro[[#This Row],[Mes 8]]+Registro[[#This Row],[Mes 9]]</f>
        <v>0</v>
      </c>
      <c r="W1329" s="20">
        <f>Registro[[#This Row],[Mes 10]]+Registro[[#This Row],[Mes 11]]+Registro[[#This Row],[Mes 12]]</f>
        <v>0</v>
      </c>
      <c r="X1329" s="20">
        <f>SUM(Registro[[#This Row],[Trim I]],Registro[[#This Row],[Trim II]],Registro[[#This Row],[Trim III]],Registro[[#This Row],[Trim IV]])</f>
        <v>0</v>
      </c>
      <c r="Y1329" s="22">
        <f>IFERROR((Registro[[#This Row],[Avance Total]]/Registro[[#This Row],[Meta]]),0)</f>
        <v>0</v>
      </c>
      <c r="Z1329" s="22">
        <f>IFERROR((Registro[[#This Row],[Avance Total]]-Registro[[#This Row],[Línea Base 2025]])/Registro[[#This Row],[Línea Base 2025]],0)</f>
        <v>0</v>
      </c>
      <c r="AA1329" s="20"/>
    </row>
    <row r="1330" spans="1:27" hidden="1">
      <c r="A1330" s="14">
        <v>1103</v>
      </c>
      <c r="B1330" s="15" t="s">
        <v>13</v>
      </c>
      <c r="C1330" s="16">
        <v>113</v>
      </c>
      <c r="D1330" s="16" t="s">
        <v>179</v>
      </c>
      <c r="E1330" s="17" t="s">
        <v>178</v>
      </c>
      <c r="F1330" s="24">
        <v>1</v>
      </c>
      <c r="G1330" s="19">
        <v>17</v>
      </c>
      <c r="H1330" s="19">
        <v>0</v>
      </c>
      <c r="I1330" s="19">
        <v>0</v>
      </c>
      <c r="T1330" s="20">
        <f>Registro[[#This Row],[Mes 1]]+Registro[[#This Row],[Mes 2]]+Registro[[#This Row],[Mes 3]]</f>
        <v>0</v>
      </c>
      <c r="U1330" s="20">
        <f>Registro[[#This Row],[Mes 4]]+Registro[[#This Row],[Mes 5]]+Registro[[#This Row],[Mes 6]]</f>
        <v>0</v>
      </c>
      <c r="V1330" s="20">
        <f>Registro[[#This Row],[Mes 7]]+Registro[[#This Row],[Mes 8]]+Registro[[#This Row],[Mes 9]]</f>
        <v>0</v>
      </c>
      <c r="W1330" s="20">
        <f>Registro[[#This Row],[Mes 10]]+Registro[[#This Row],[Mes 11]]+Registro[[#This Row],[Mes 12]]</f>
        <v>0</v>
      </c>
      <c r="X1330" s="20">
        <f>SUM(Registro[[#This Row],[Trim I]],Registro[[#This Row],[Trim II]],Registro[[#This Row],[Trim III]],Registro[[#This Row],[Trim IV]])</f>
        <v>0</v>
      </c>
      <c r="Y1330" s="22">
        <f>IFERROR((Registro[[#This Row],[Avance Total]]/Registro[[#This Row],[Meta]]),0)</f>
        <v>0</v>
      </c>
      <c r="Z1330" s="22">
        <f>IFERROR((Registro[[#This Row],[Avance Total]]-Registro[[#This Row],[Línea Base 2025]])/Registro[[#This Row],[Línea Base 2025]],0)</f>
        <v>-1</v>
      </c>
      <c r="AA1330" s="20"/>
    </row>
    <row r="1331" spans="1:27" hidden="1">
      <c r="A1331" s="14">
        <v>1103</v>
      </c>
      <c r="B1331" s="15" t="s">
        <v>13</v>
      </c>
      <c r="C1331" s="16">
        <v>114</v>
      </c>
      <c r="D1331" s="16" t="s">
        <v>181</v>
      </c>
      <c r="E1331" s="17" t="s">
        <v>180</v>
      </c>
      <c r="F1331" s="24">
        <v>0</v>
      </c>
      <c r="G1331" s="19">
        <v>0</v>
      </c>
      <c r="H1331" s="19">
        <v>0</v>
      </c>
      <c r="I1331" s="19">
        <v>0</v>
      </c>
      <c r="T1331" s="20">
        <f>Registro[[#This Row],[Mes 1]]+Registro[[#This Row],[Mes 2]]+Registro[[#This Row],[Mes 3]]</f>
        <v>0</v>
      </c>
      <c r="U1331" s="20">
        <f>Registro[[#This Row],[Mes 4]]+Registro[[#This Row],[Mes 5]]+Registro[[#This Row],[Mes 6]]</f>
        <v>0</v>
      </c>
      <c r="V1331" s="20">
        <f>Registro[[#This Row],[Mes 7]]+Registro[[#This Row],[Mes 8]]+Registro[[#This Row],[Mes 9]]</f>
        <v>0</v>
      </c>
      <c r="W1331" s="20">
        <f>Registro[[#This Row],[Mes 10]]+Registro[[#This Row],[Mes 11]]+Registro[[#This Row],[Mes 12]]</f>
        <v>0</v>
      </c>
      <c r="X1331" s="20">
        <f>SUM(Registro[[#This Row],[Trim I]],Registro[[#This Row],[Trim II]],Registro[[#This Row],[Trim III]],Registro[[#This Row],[Trim IV]])</f>
        <v>0</v>
      </c>
      <c r="Y1331" s="22">
        <f>IFERROR((Registro[[#This Row],[Avance Total]]/Registro[[#This Row],[Meta]]),0)</f>
        <v>0</v>
      </c>
      <c r="Z1331" s="22">
        <f>IFERROR((Registro[[#This Row],[Avance Total]]-Registro[[#This Row],[Línea Base 2025]])/Registro[[#This Row],[Línea Base 2025]],0)</f>
        <v>0</v>
      </c>
      <c r="AA1331" s="20"/>
    </row>
    <row r="1332" spans="1:27" hidden="1">
      <c r="A1332" s="14">
        <v>1103</v>
      </c>
      <c r="B1332" s="15" t="s">
        <v>13</v>
      </c>
      <c r="C1332" s="16">
        <v>115</v>
      </c>
      <c r="D1332" s="16" t="s">
        <v>183</v>
      </c>
      <c r="E1332" s="17" t="s">
        <v>182</v>
      </c>
      <c r="F1332" s="24">
        <v>0</v>
      </c>
      <c r="G1332" s="19">
        <v>0</v>
      </c>
      <c r="H1332" s="19">
        <v>0</v>
      </c>
      <c r="I1332" s="19">
        <v>0</v>
      </c>
      <c r="T1332" s="20">
        <f>Registro[[#This Row],[Mes 1]]+Registro[[#This Row],[Mes 2]]+Registro[[#This Row],[Mes 3]]</f>
        <v>0</v>
      </c>
      <c r="U1332" s="20">
        <f>Registro[[#This Row],[Mes 4]]+Registro[[#This Row],[Mes 5]]+Registro[[#This Row],[Mes 6]]</f>
        <v>0</v>
      </c>
      <c r="V1332" s="20">
        <f>Registro[[#This Row],[Mes 7]]+Registro[[#This Row],[Mes 8]]+Registro[[#This Row],[Mes 9]]</f>
        <v>0</v>
      </c>
      <c r="W1332" s="20">
        <f>Registro[[#This Row],[Mes 10]]+Registro[[#This Row],[Mes 11]]+Registro[[#This Row],[Mes 12]]</f>
        <v>0</v>
      </c>
      <c r="X1332" s="20">
        <f>SUM(Registro[[#This Row],[Trim I]],Registro[[#This Row],[Trim II]],Registro[[#This Row],[Trim III]],Registro[[#This Row],[Trim IV]])</f>
        <v>0</v>
      </c>
      <c r="Y1332" s="22">
        <f>IFERROR((Registro[[#This Row],[Avance Total]]/Registro[[#This Row],[Meta]]),0)</f>
        <v>0</v>
      </c>
      <c r="Z1332" s="22">
        <f>IFERROR((Registro[[#This Row],[Avance Total]]-Registro[[#This Row],[Línea Base 2025]])/Registro[[#This Row],[Línea Base 2025]],0)</f>
        <v>0</v>
      </c>
      <c r="AA1332" s="20"/>
    </row>
    <row r="1333" spans="1:27">
      <c r="A1333" s="14">
        <v>1103</v>
      </c>
      <c r="B1333" s="15" t="s">
        <v>13</v>
      </c>
      <c r="C1333" s="16">
        <v>116</v>
      </c>
      <c r="D1333" s="16" t="s">
        <v>185</v>
      </c>
      <c r="E1333" s="17" t="s">
        <v>184</v>
      </c>
      <c r="F1333" s="24">
        <v>0</v>
      </c>
      <c r="G1333" s="19">
        <v>0</v>
      </c>
      <c r="H1333" s="19">
        <v>0</v>
      </c>
      <c r="I1333" s="19">
        <v>0</v>
      </c>
      <c r="T1333" s="20">
        <f>Registro[[#This Row],[Mes 1]]+Registro[[#This Row],[Mes 2]]+Registro[[#This Row],[Mes 3]]</f>
        <v>0</v>
      </c>
      <c r="U1333" s="20">
        <f>Registro[[#This Row],[Mes 4]]+Registro[[#This Row],[Mes 5]]+Registro[[#This Row],[Mes 6]]</f>
        <v>0</v>
      </c>
      <c r="V1333" s="20">
        <f>Registro[[#This Row],[Mes 7]]+Registro[[#This Row],[Mes 8]]+Registro[[#This Row],[Mes 9]]</f>
        <v>0</v>
      </c>
      <c r="W1333" s="20">
        <f>Registro[[#This Row],[Mes 10]]+Registro[[#This Row],[Mes 11]]+Registro[[#This Row],[Mes 12]]</f>
        <v>0</v>
      </c>
      <c r="X1333" s="20">
        <f>SUM(Registro[[#This Row],[Trim I]],Registro[[#This Row],[Trim II]],Registro[[#This Row],[Trim III]],Registro[[#This Row],[Trim IV]])</f>
        <v>0</v>
      </c>
      <c r="Y1333" s="22">
        <f>IFERROR((Registro[[#This Row],[Avance Total]]/Registro[[#This Row],[Meta]]),0)</f>
        <v>0</v>
      </c>
      <c r="Z1333" s="22">
        <f>IFERROR((Registro[[#This Row],[Avance Total]]-Registro[[#This Row],[Línea Base 2025]])/Registro[[#This Row],[Línea Base 2025]],0)</f>
        <v>0</v>
      </c>
      <c r="AA1333" s="20"/>
    </row>
    <row r="1334" spans="1:27" hidden="1">
      <c r="A1334" s="14">
        <v>1103</v>
      </c>
      <c r="B1334" s="15" t="s">
        <v>13</v>
      </c>
      <c r="C1334" s="16">
        <v>117</v>
      </c>
      <c r="D1334" s="16" t="s">
        <v>187</v>
      </c>
      <c r="E1334" s="17" t="s">
        <v>186</v>
      </c>
      <c r="F1334" s="24">
        <v>0</v>
      </c>
      <c r="G1334" s="19">
        <v>0</v>
      </c>
      <c r="H1334" s="19">
        <v>0</v>
      </c>
      <c r="I1334" s="19">
        <v>0</v>
      </c>
      <c r="T1334" s="20">
        <f>Registro[[#This Row],[Mes 1]]+Registro[[#This Row],[Mes 2]]+Registro[[#This Row],[Mes 3]]</f>
        <v>0</v>
      </c>
      <c r="U1334" s="20">
        <f>Registro[[#This Row],[Mes 4]]+Registro[[#This Row],[Mes 5]]+Registro[[#This Row],[Mes 6]]</f>
        <v>0</v>
      </c>
      <c r="V1334" s="20">
        <f>Registro[[#This Row],[Mes 7]]+Registro[[#This Row],[Mes 8]]+Registro[[#This Row],[Mes 9]]</f>
        <v>0</v>
      </c>
      <c r="W1334" s="20">
        <f>Registro[[#This Row],[Mes 10]]+Registro[[#This Row],[Mes 11]]+Registro[[#This Row],[Mes 12]]</f>
        <v>0</v>
      </c>
      <c r="X1334" s="20">
        <f>SUM(Registro[[#This Row],[Trim I]],Registro[[#This Row],[Trim II]],Registro[[#This Row],[Trim III]],Registro[[#This Row],[Trim IV]])</f>
        <v>0</v>
      </c>
      <c r="Y1334" s="22">
        <f>IFERROR((Registro[[#This Row],[Avance Total]]/Registro[[#This Row],[Meta]]),0)</f>
        <v>0</v>
      </c>
      <c r="Z1334" s="22">
        <f>IFERROR((Registro[[#This Row],[Avance Total]]-Registro[[#This Row],[Línea Base 2025]])/Registro[[#This Row],[Línea Base 2025]],0)</f>
        <v>0</v>
      </c>
      <c r="AA1334" s="20"/>
    </row>
    <row r="1335" spans="1:27" hidden="1">
      <c r="A1335" s="14">
        <v>1103</v>
      </c>
      <c r="B1335" s="15" t="s">
        <v>13</v>
      </c>
      <c r="C1335" s="16">
        <v>118</v>
      </c>
      <c r="D1335" s="16" t="s">
        <v>188</v>
      </c>
      <c r="E1335" s="17" t="s">
        <v>9</v>
      </c>
      <c r="F1335" s="24">
        <v>0</v>
      </c>
      <c r="G1335" s="19">
        <v>0</v>
      </c>
      <c r="H1335" s="19">
        <v>0</v>
      </c>
      <c r="I1335" s="19">
        <v>0</v>
      </c>
      <c r="T1335" s="20">
        <f>Registro[[#This Row],[Mes 1]]+Registro[[#This Row],[Mes 2]]+Registro[[#This Row],[Mes 3]]</f>
        <v>0</v>
      </c>
      <c r="U1335" s="20">
        <f>Registro[[#This Row],[Mes 4]]+Registro[[#This Row],[Mes 5]]+Registro[[#This Row],[Mes 6]]</f>
        <v>0</v>
      </c>
      <c r="V1335" s="20">
        <f>Registro[[#This Row],[Mes 7]]+Registro[[#This Row],[Mes 8]]+Registro[[#This Row],[Mes 9]]</f>
        <v>0</v>
      </c>
      <c r="W1335" s="20">
        <f>Registro[[#This Row],[Mes 10]]+Registro[[#This Row],[Mes 11]]+Registro[[#This Row],[Mes 12]]</f>
        <v>0</v>
      </c>
      <c r="X1335" s="20">
        <f>SUM(Registro[[#This Row],[Trim I]],Registro[[#This Row],[Trim II]],Registro[[#This Row],[Trim III]],Registro[[#This Row],[Trim IV]])</f>
        <v>0</v>
      </c>
      <c r="Y1335" s="22">
        <f>IFERROR((Registro[[#This Row],[Avance Total]]/Registro[[#This Row],[Meta]]),0)</f>
        <v>0</v>
      </c>
      <c r="Z1335" s="22">
        <f>IFERROR((Registro[[#This Row],[Avance Total]]-Registro[[#This Row],[Línea Base 2025]])/Registro[[#This Row],[Línea Base 2025]],0)</f>
        <v>0</v>
      </c>
      <c r="AA1335" s="20"/>
    </row>
    <row r="1336" spans="1:27" hidden="1">
      <c r="A1336" s="14">
        <v>1103</v>
      </c>
      <c r="B1336" s="15" t="s">
        <v>13</v>
      </c>
      <c r="C1336" s="16">
        <v>119</v>
      </c>
      <c r="D1336" s="16" t="s">
        <v>190</v>
      </c>
      <c r="E1336" s="17" t="s">
        <v>189</v>
      </c>
      <c r="F1336" s="24">
        <v>0</v>
      </c>
      <c r="G1336" s="19">
        <v>0</v>
      </c>
      <c r="H1336" s="19">
        <v>0</v>
      </c>
      <c r="I1336" s="19">
        <v>0</v>
      </c>
      <c r="T1336" s="20">
        <f>Registro[[#This Row],[Mes 1]]+Registro[[#This Row],[Mes 2]]+Registro[[#This Row],[Mes 3]]</f>
        <v>0</v>
      </c>
      <c r="U1336" s="20">
        <f>Registro[[#This Row],[Mes 4]]+Registro[[#This Row],[Mes 5]]+Registro[[#This Row],[Mes 6]]</f>
        <v>0</v>
      </c>
      <c r="V1336" s="20">
        <f>Registro[[#This Row],[Mes 7]]+Registro[[#This Row],[Mes 8]]+Registro[[#This Row],[Mes 9]]</f>
        <v>0</v>
      </c>
      <c r="W1336" s="20">
        <f>Registro[[#This Row],[Mes 10]]+Registro[[#This Row],[Mes 11]]+Registro[[#This Row],[Mes 12]]</f>
        <v>0</v>
      </c>
      <c r="X1336" s="20">
        <f>SUM(Registro[[#This Row],[Trim I]],Registro[[#This Row],[Trim II]],Registro[[#This Row],[Trim III]],Registro[[#This Row],[Trim IV]])</f>
        <v>0</v>
      </c>
      <c r="Y1336" s="22">
        <f>IFERROR((Registro[[#This Row],[Avance Total]]/Registro[[#This Row],[Meta]]),0)</f>
        <v>0</v>
      </c>
      <c r="Z1336" s="22">
        <f>IFERROR((Registro[[#This Row],[Avance Total]]-Registro[[#This Row],[Línea Base 2025]])/Registro[[#This Row],[Línea Base 2025]],0)</f>
        <v>0</v>
      </c>
      <c r="AA1336" s="20"/>
    </row>
    <row r="1337" spans="1:27" hidden="1">
      <c r="A1337" s="14">
        <v>1103</v>
      </c>
      <c r="B1337" s="15" t="s">
        <v>13</v>
      </c>
      <c r="C1337" s="16">
        <v>120</v>
      </c>
      <c r="D1337" s="16" t="s">
        <v>192</v>
      </c>
      <c r="E1337" s="17" t="s">
        <v>191</v>
      </c>
      <c r="F1337" s="24">
        <v>0</v>
      </c>
      <c r="G1337" s="19">
        <v>0</v>
      </c>
      <c r="H1337" s="19">
        <v>0</v>
      </c>
      <c r="I1337" s="19">
        <v>0</v>
      </c>
      <c r="T1337" s="20">
        <f>Registro[[#This Row],[Mes 1]]+Registro[[#This Row],[Mes 2]]+Registro[[#This Row],[Mes 3]]</f>
        <v>0</v>
      </c>
      <c r="U1337" s="20">
        <f>Registro[[#This Row],[Mes 4]]+Registro[[#This Row],[Mes 5]]+Registro[[#This Row],[Mes 6]]</f>
        <v>0</v>
      </c>
      <c r="V1337" s="20">
        <f>Registro[[#This Row],[Mes 7]]+Registro[[#This Row],[Mes 8]]+Registro[[#This Row],[Mes 9]]</f>
        <v>0</v>
      </c>
      <c r="W1337" s="20">
        <f>Registro[[#This Row],[Mes 10]]+Registro[[#This Row],[Mes 11]]+Registro[[#This Row],[Mes 12]]</f>
        <v>0</v>
      </c>
      <c r="X1337" s="20">
        <f>SUM(Registro[[#This Row],[Trim I]],Registro[[#This Row],[Trim II]],Registro[[#This Row],[Trim III]],Registro[[#This Row],[Trim IV]])</f>
        <v>0</v>
      </c>
      <c r="Y1337" s="22">
        <f>IFERROR((Registro[[#This Row],[Avance Total]]/Registro[[#This Row],[Meta]]),0)</f>
        <v>0</v>
      </c>
      <c r="Z1337" s="22">
        <f>IFERROR((Registro[[#This Row],[Avance Total]]-Registro[[#This Row],[Línea Base 2025]])/Registro[[#This Row],[Línea Base 2025]],0)</f>
        <v>0</v>
      </c>
      <c r="AA1337" s="20"/>
    </row>
    <row r="1338" spans="1:27" hidden="1">
      <c r="A1338" s="14">
        <v>1103</v>
      </c>
      <c r="B1338" s="15" t="s">
        <v>13</v>
      </c>
      <c r="C1338" s="16">
        <v>121</v>
      </c>
      <c r="D1338" s="16" t="s">
        <v>194</v>
      </c>
      <c r="E1338" s="17" t="s">
        <v>193</v>
      </c>
      <c r="F1338" s="24">
        <v>0</v>
      </c>
      <c r="G1338" s="19">
        <v>0</v>
      </c>
      <c r="H1338" s="19">
        <v>0</v>
      </c>
      <c r="I1338" s="19">
        <v>0</v>
      </c>
      <c r="T1338" s="20">
        <f>Registro[[#This Row],[Mes 1]]+Registro[[#This Row],[Mes 2]]+Registro[[#This Row],[Mes 3]]</f>
        <v>0</v>
      </c>
      <c r="U1338" s="20">
        <f>Registro[[#This Row],[Mes 4]]+Registro[[#This Row],[Mes 5]]+Registro[[#This Row],[Mes 6]]</f>
        <v>0</v>
      </c>
      <c r="V1338" s="20">
        <f>Registro[[#This Row],[Mes 7]]+Registro[[#This Row],[Mes 8]]+Registro[[#This Row],[Mes 9]]</f>
        <v>0</v>
      </c>
      <c r="W1338" s="20">
        <f>Registro[[#This Row],[Mes 10]]+Registro[[#This Row],[Mes 11]]+Registro[[#This Row],[Mes 12]]</f>
        <v>0</v>
      </c>
      <c r="X1338" s="20">
        <f>SUM(Registro[[#This Row],[Trim I]],Registro[[#This Row],[Trim II]],Registro[[#This Row],[Trim III]],Registro[[#This Row],[Trim IV]])</f>
        <v>0</v>
      </c>
      <c r="Y1338" s="22">
        <f>IFERROR((Registro[[#This Row],[Avance Total]]/Registro[[#This Row],[Meta]]),0)</f>
        <v>0</v>
      </c>
      <c r="Z1338" s="22">
        <f>IFERROR((Registro[[#This Row],[Avance Total]]-Registro[[#This Row],[Línea Base 2025]])/Registro[[#This Row],[Línea Base 2025]],0)</f>
        <v>0</v>
      </c>
      <c r="AA1338" s="20"/>
    </row>
    <row r="1339" spans="1:27" hidden="1">
      <c r="A1339" s="14">
        <v>1103</v>
      </c>
      <c r="B1339" s="15" t="s">
        <v>13</v>
      </c>
      <c r="C1339" s="16">
        <v>122</v>
      </c>
      <c r="D1339" s="16" t="s">
        <v>196</v>
      </c>
      <c r="E1339" s="17" t="s">
        <v>195</v>
      </c>
      <c r="F1339" s="24">
        <v>0</v>
      </c>
      <c r="G1339" s="19">
        <v>0</v>
      </c>
      <c r="H1339" s="19">
        <v>0</v>
      </c>
      <c r="I1339" s="19">
        <v>0</v>
      </c>
      <c r="T1339" s="20">
        <f>Registro[[#This Row],[Mes 1]]+Registro[[#This Row],[Mes 2]]+Registro[[#This Row],[Mes 3]]</f>
        <v>0</v>
      </c>
      <c r="U1339" s="20">
        <f>Registro[[#This Row],[Mes 4]]+Registro[[#This Row],[Mes 5]]+Registro[[#This Row],[Mes 6]]</f>
        <v>0</v>
      </c>
      <c r="V1339" s="20">
        <f>Registro[[#This Row],[Mes 7]]+Registro[[#This Row],[Mes 8]]+Registro[[#This Row],[Mes 9]]</f>
        <v>0</v>
      </c>
      <c r="W1339" s="20">
        <f>Registro[[#This Row],[Mes 10]]+Registro[[#This Row],[Mes 11]]+Registro[[#This Row],[Mes 12]]</f>
        <v>0</v>
      </c>
      <c r="X1339" s="20">
        <f>SUM(Registro[[#This Row],[Trim I]],Registro[[#This Row],[Trim II]],Registro[[#This Row],[Trim III]],Registro[[#This Row],[Trim IV]])</f>
        <v>0</v>
      </c>
      <c r="Y1339" s="22">
        <f>IFERROR((Registro[[#This Row],[Avance Total]]/Registro[[#This Row],[Meta]]),0)</f>
        <v>0</v>
      </c>
      <c r="Z1339" s="22">
        <f>IFERROR((Registro[[#This Row],[Avance Total]]-Registro[[#This Row],[Línea Base 2025]])/Registro[[#This Row],[Línea Base 2025]],0)</f>
        <v>0</v>
      </c>
      <c r="AA1339" s="20"/>
    </row>
    <row r="1340" spans="1:27" hidden="1">
      <c r="A1340" s="14">
        <v>1103</v>
      </c>
      <c r="B1340" s="15" t="s">
        <v>13</v>
      </c>
      <c r="C1340" s="16">
        <v>123</v>
      </c>
      <c r="D1340" s="16" t="s">
        <v>198</v>
      </c>
      <c r="E1340" s="17" t="s">
        <v>197</v>
      </c>
      <c r="F1340" s="24">
        <v>0</v>
      </c>
      <c r="G1340" s="19">
        <v>0</v>
      </c>
      <c r="H1340" s="19">
        <v>0</v>
      </c>
      <c r="I1340" s="19">
        <v>0</v>
      </c>
      <c r="T1340" s="20">
        <f>Registro[[#This Row],[Mes 1]]+Registro[[#This Row],[Mes 2]]+Registro[[#This Row],[Mes 3]]</f>
        <v>0</v>
      </c>
      <c r="U1340" s="20">
        <f>Registro[[#This Row],[Mes 4]]+Registro[[#This Row],[Mes 5]]+Registro[[#This Row],[Mes 6]]</f>
        <v>0</v>
      </c>
      <c r="V1340" s="20">
        <f>Registro[[#This Row],[Mes 7]]+Registro[[#This Row],[Mes 8]]+Registro[[#This Row],[Mes 9]]</f>
        <v>0</v>
      </c>
      <c r="W1340" s="20">
        <f>Registro[[#This Row],[Mes 10]]+Registro[[#This Row],[Mes 11]]+Registro[[#This Row],[Mes 12]]</f>
        <v>0</v>
      </c>
      <c r="X1340" s="20">
        <f>SUM(Registro[[#This Row],[Trim I]],Registro[[#This Row],[Trim II]],Registro[[#This Row],[Trim III]],Registro[[#This Row],[Trim IV]])</f>
        <v>0</v>
      </c>
      <c r="Y1340" s="22">
        <f>IFERROR((Registro[[#This Row],[Avance Total]]/Registro[[#This Row],[Meta]]),0)</f>
        <v>0</v>
      </c>
      <c r="Z1340" s="22">
        <f>IFERROR((Registro[[#This Row],[Avance Total]]-Registro[[#This Row],[Línea Base 2025]])/Registro[[#This Row],[Línea Base 2025]],0)</f>
        <v>0</v>
      </c>
      <c r="AA1340" s="20"/>
    </row>
    <row r="1341" spans="1:27" hidden="1">
      <c r="A1341" s="14">
        <v>1104</v>
      </c>
      <c r="B1341" s="15" t="s">
        <v>124</v>
      </c>
      <c r="C1341" s="16">
        <v>111</v>
      </c>
      <c r="D1341" s="16" t="s">
        <v>171</v>
      </c>
      <c r="E1341" s="17" t="s">
        <v>172</v>
      </c>
      <c r="F1341" s="24">
        <v>4</v>
      </c>
      <c r="G1341" s="19">
        <v>64</v>
      </c>
      <c r="H1341" s="19">
        <v>3</v>
      </c>
      <c r="I1341" s="19">
        <v>42</v>
      </c>
      <c r="T1341" s="20">
        <f>Registro[[#This Row],[Mes 1]]+Registro[[#This Row],[Mes 2]]+Registro[[#This Row],[Mes 3]]</f>
        <v>45</v>
      </c>
      <c r="U1341" s="20">
        <f>Registro[[#This Row],[Mes 4]]+Registro[[#This Row],[Mes 5]]+Registro[[#This Row],[Mes 6]]</f>
        <v>0</v>
      </c>
      <c r="V1341" s="20">
        <f>Registro[[#This Row],[Mes 7]]+Registro[[#This Row],[Mes 8]]+Registro[[#This Row],[Mes 9]]</f>
        <v>0</v>
      </c>
      <c r="W1341" s="20">
        <f>Registro[[#This Row],[Mes 10]]+Registro[[#This Row],[Mes 11]]+Registro[[#This Row],[Mes 12]]</f>
        <v>0</v>
      </c>
      <c r="X1341" s="20">
        <f>SUM(Registro[[#This Row],[Trim I]],Registro[[#This Row],[Trim II]],Registro[[#This Row],[Trim III]],Registro[[#This Row],[Trim IV]])</f>
        <v>45</v>
      </c>
      <c r="Y1341" s="22">
        <f>IFERROR((Registro[[#This Row],[Avance Total]]/Registro[[#This Row],[Meta]]),0)</f>
        <v>0.703125</v>
      </c>
      <c r="Z1341" s="22">
        <f>IFERROR((Registro[[#This Row],[Avance Total]]-Registro[[#This Row],[Línea Base 2025]])/Registro[[#This Row],[Línea Base 2025]],0)</f>
        <v>10.25</v>
      </c>
      <c r="AA1341" s="20"/>
    </row>
    <row r="1342" spans="1:27" hidden="1">
      <c r="A1342" s="14">
        <v>1104</v>
      </c>
      <c r="B1342" s="15" t="s">
        <v>124</v>
      </c>
      <c r="C1342" s="16">
        <v>112</v>
      </c>
      <c r="D1342" s="16" t="s">
        <v>173</v>
      </c>
      <c r="E1342" s="17" t="s">
        <v>7</v>
      </c>
      <c r="F1342" s="24">
        <v>0</v>
      </c>
      <c r="G1342" s="19">
        <v>6</v>
      </c>
      <c r="H1342" s="19">
        <v>0</v>
      </c>
      <c r="I1342" s="19">
        <v>0</v>
      </c>
      <c r="T1342" s="20">
        <f>Registro[[#This Row],[Mes 1]]+Registro[[#This Row],[Mes 2]]+Registro[[#This Row],[Mes 3]]</f>
        <v>0</v>
      </c>
      <c r="U1342" s="20">
        <f>Registro[[#This Row],[Mes 4]]+Registro[[#This Row],[Mes 5]]+Registro[[#This Row],[Mes 6]]</f>
        <v>0</v>
      </c>
      <c r="V1342" s="20">
        <f>Registro[[#This Row],[Mes 7]]+Registro[[#This Row],[Mes 8]]+Registro[[#This Row],[Mes 9]]</f>
        <v>0</v>
      </c>
      <c r="W1342" s="20">
        <f>Registro[[#This Row],[Mes 10]]+Registro[[#This Row],[Mes 11]]+Registro[[#This Row],[Mes 12]]</f>
        <v>0</v>
      </c>
      <c r="X1342" s="20">
        <f>SUM(Registro[[#This Row],[Trim I]],Registro[[#This Row],[Trim II]],Registro[[#This Row],[Trim III]],Registro[[#This Row],[Trim IV]])</f>
        <v>0</v>
      </c>
      <c r="Y1342" s="22">
        <f>IFERROR((Registro[[#This Row],[Avance Total]]/Registro[[#This Row],[Meta]]),0)</f>
        <v>0</v>
      </c>
      <c r="Z1342" s="22">
        <f>IFERROR((Registro[[#This Row],[Avance Total]]-Registro[[#This Row],[Línea Base 2025]])/Registro[[#This Row],[Línea Base 2025]],0)</f>
        <v>0</v>
      </c>
      <c r="AA1342" s="20"/>
    </row>
    <row r="1343" spans="1:27" hidden="1">
      <c r="A1343" s="14">
        <v>1104</v>
      </c>
      <c r="B1343" s="15" t="s">
        <v>124</v>
      </c>
      <c r="C1343" s="16">
        <v>113</v>
      </c>
      <c r="D1343" s="16" t="s">
        <v>179</v>
      </c>
      <c r="E1343" s="17" t="s">
        <v>178</v>
      </c>
      <c r="F1343" s="24">
        <v>1</v>
      </c>
      <c r="G1343" s="19">
        <v>5</v>
      </c>
      <c r="H1343" s="19">
        <v>0</v>
      </c>
      <c r="I1343" s="19">
        <v>3</v>
      </c>
      <c r="T1343" s="20">
        <f>Registro[[#This Row],[Mes 1]]+Registro[[#This Row],[Mes 2]]+Registro[[#This Row],[Mes 3]]</f>
        <v>3</v>
      </c>
      <c r="U1343" s="20">
        <f>Registro[[#This Row],[Mes 4]]+Registro[[#This Row],[Mes 5]]+Registro[[#This Row],[Mes 6]]</f>
        <v>0</v>
      </c>
      <c r="V1343" s="20">
        <f>Registro[[#This Row],[Mes 7]]+Registro[[#This Row],[Mes 8]]+Registro[[#This Row],[Mes 9]]</f>
        <v>0</v>
      </c>
      <c r="W1343" s="20">
        <f>Registro[[#This Row],[Mes 10]]+Registro[[#This Row],[Mes 11]]+Registro[[#This Row],[Mes 12]]</f>
        <v>0</v>
      </c>
      <c r="X1343" s="20">
        <f>SUM(Registro[[#This Row],[Trim I]],Registro[[#This Row],[Trim II]],Registro[[#This Row],[Trim III]],Registro[[#This Row],[Trim IV]])</f>
        <v>3</v>
      </c>
      <c r="Y1343" s="22">
        <f>IFERROR((Registro[[#This Row],[Avance Total]]/Registro[[#This Row],[Meta]]),0)</f>
        <v>0.6</v>
      </c>
      <c r="Z1343" s="22">
        <f>IFERROR((Registro[[#This Row],[Avance Total]]-Registro[[#This Row],[Línea Base 2025]])/Registro[[#This Row],[Línea Base 2025]],0)</f>
        <v>2</v>
      </c>
      <c r="AA1343" s="20"/>
    </row>
    <row r="1344" spans="1:27" hidden="1">
      <c r="A1344" s="14">
        <v>1104</v>
      </c>
      <c r="B1344" s="15" t="s">
        <v>124</v>
      </c>
      <c r="C1344" s="16">
        <v>114</v>
      </c>
      <c r="D1344" s="16" t="s">
        <v>181</v>
      </c>
      <c r="E1344" s="17" t="s">
        <v>180</v>
      </c>
      <c r="F1344" s="24">
        <v>0</v>
      </c>
      <c r="G1344" s="19">
        <v>25</v>
      </c>
      <c r="H1344" s="19">
        <v>14</v>
      </c>
      <c r="I1344" s="19">
        <v>0</v>
      </c>
      <c r="T1344" s="20">
        <f>Registro[[#This Row],[Mes 1]]+Registro[[#This Row],[Mes 2]]+Registro[[#This Row],[Mes 3]]</f>
        <v>14</v>
      </c>
      <c r="U1344" s="20">
        <f>Registro[[#This Row],[Mes 4]]+Registro[[#This Row],[Mes 5]]+Registro[[#This Row],[Mes 6]]</f>
        <v>0</v>
      </c>
      <c r="V1344" s="20">
        <f>Registro[[#This Row],[Mes 7]]+Registro[[#This Row],[Mes 8]]+Registro[[#This Row],[Mes 9]]</f>
        <v>0</v>
      </c>
      <c r="W1344" s="20">
        <f>Registro[[#This Row],[Mes 10]]+Registro[[#This Row],[Mes 11]]+Registro[[#This Row],[Mes 12]]</f>
        <v>0</v>
      </c>
      <c r="X1344" s="20">
        <f>SUM(Registro[[#This Row],[Trim I]],Registro[[#This Row],[Trim II]],Registro[[#This Row],[Trim III]],Registro[[#This Row],[Trim IV]])</f>
        <v>14</v>
      </c>
      <c r="Y1344" s="22">
        <f>IFERROR((Registro[[#This Row],[Avance Total]]/Registro[[#This Row],[Meta]]),0)</f>
        <v>0.56000000000000005</v>
      </c>
      <c r="Z1344" s="22">
        <f>IFERROR((Registro[[#This Row],[Avance Total]]-Registro[[#This Row],[Línea Base 2025]])/Registro[[#This Row],[Línea Base 2025]],0)</f>
        <v>0</v>
      </c>
      <c r="AA1344" s="20"/>
    </row>
    <row r="1345" spans="1:27" hidden="1">
      <c r="A1345" s="14">
        <v>1104</v>
      </c>
      <c r="B1345" s="15" t="s">
        <v>124</v>
      </c>
      <c r="C1345" s="16">
        <v>115</v>
      </c>
      <c r="D1345" s="16" t="s">
        <v>183</v>
      </c>
      <c r="E1345" s="17" t="s">
        <v>182</v>
      </c>
      <c r="F1345" s="24">
        <v>0</v>
      </c>
      <c r="G1345" s="19">
        <v>18</v>
      </c>
      <c r="H1345" s="19">
        <v>0</v>
      </c>
      <c r="I1345" s="19">
        <v>11</v>
      </c>
      <c r="T1345" s="20">
        <f>Registro[[#This Row],[Mes 1]]+Registro[[#This Row],[Mes 2]]+Registro[[#This Row],[Mes 3]]</f>
        <v>11</v>
      </c>
      <c r="U1345" s="20">
        <f>Registro[[#This Row],[Mes 4]]+Registro[[#This Row],[Mes 5]]+Registro[[#This Row],[Mes 6]]</f>
        <v>0</v>
      </c>
      <c r="V1345" s="20">
        <f>Registro[[#This Row],[Mes 7]]+Registro[[#This Row],[Mes 8]]+Registro[[#This Row],[Mes 9]]</f>
        <v>0</v>
      </c>
      <c r="W1345" s="20">
        <f>Registro[[#This Row],[Mes 10]]+Registro[[#This Row],[Mes 11]]+Registro[[#This Row],[Mes 12]]</f>
        <v>0</v>
      </c>
      <c r="X1345" s="20">
        <f>SUM(Registro[[#This Row],[Trim I]],Registro[[#This Row],[Trim II]],Registro[[#This Row],[Trim III]],Registro[[#This Row],[Trim IV]])</f>
        <v>11</v>
      </c>
      <c r="Y1345" s="22">
        <f>IFERROR((Registro[[#This Row],[Avance Total]]/Registro[[#This Row],[Meta]]),0)</f>
        <v>0.61111111111111116</v>
      </c>
      <c r="Z1345" s="22">
        <f>IFERROR((Registro[[#This Row],[Avance Total]]-Registro[[#This Row],[Línea Base 2025]])/Registro[[#This Row],[Línea Base 2025]],0)</f>
        <v>0</v>
      </c>
      <c r="AA1345" s="20"/>
    </row>
    <row r="1346" spans="1:27">
      <c r="A1346" s="14">
        <v>1104</v>
      </c>
      <c r="B1346" s="15" t="s">
        <v>124</v>
      </c>
      <c r="C1346" s="16">
        <v>116</v>
      </c>
      <c r="D1346" s="16" t="s">
        <v>185</v>
      </c>
      <c r="E1346" s="17" t="s">
        <v>184</v>
      </c>
      <c r="F1346" s="24">
        <v>0</v>
      </c>
      <c r="G1346" s="19">
        <v>1</v>
      </c>
      <c r="H1346" s="19">
        <v>0</v>
      </c>
      <c r="I1346" s="19">
        <v>0</v>
      </c>
      <c r="T1346" s="20">
        <f>Registro[[#This Row],[Mes 1]]+Registro[[#This Row],[Mes 2]]+Registro[[#This Row],[Mes 3]]</f>
        <v>0</v>
      </c>
      <c r="U1346" s="20">
        <f>Registro[[#This Row],[Mes 4]]+Registro[[#This Row],[Mes 5]]+Registro[[#This Row],[Mes 6]]</f>
        <v>0</v>
      </c>
      <c r="V1346" s="20">
        <f>Registro[[#This Row],[Mes 7]]+Registro[[#This Row],[Mes 8]]+Registro[[#This Row],[Mes 9]]</f>
        <v>0</v>
      </c>
      <c r="W1346" s="20">
        <f>Registro[[#This Row],[Mes 10]]+Registro[[#This Row],[Mes 11]]+Registro[[#This Row],[Mes 12]]</f>
        <v>0</v>
      </c>
      <c r="X1346" s="20">
        <f>SUM(Registro[[#This Row],[Trim I]],Registro[[#This Row],[Trim II]],Registro[[#This Row],[Trim III]],Registro[[#This Row],[Trim IV]])</f>
        <v>0</v>
      </c>
      <c r="Y1346" s="22">
        <f>IFERROR((Registro[[#This Row],[Avance Total]]/Registro[[#This Row],[Meta]]),0)</f>
        <v>0</v>
      </c>
      <c r="Z1346" s="22">
        <f>IFERROR((Registro[[#This Row],[Avance Total]]-Registro[[#This Row],[Línea Base 2025]])/Registro[[#This Row],[Línea Base 2025]],0)</f>
        <v>0</v>
      </c>
      <c r="AA1346" s="20"/>
    </row>
    <row r="1347" spans="1:27" hidden="1">
      <c r="A1347" s="14">
        <v>1104</v>
      </c>
      <c r="B1347" s="15" t="s">
        <v>124</v>
      </c>
      <c r="C1347" s="16">
        <v>117</v>
      </c>
      <c r="D1347" s="16" t="s">
        <v>187</v>
      </c>
      <c r="E1347" s="17" t="s">
        <v>186</v>
      </c>
      <c r="F1347" s="24">
        <v>0</v>
      </c>
      <c r="G1347" s="19">
        <v>1</v>
      </c>
      <c r="H1347" s="19">
        <v>0</v>
      </c>
      <c r="I1347" s="19">
        <v>0</v>
      </c>
      <c r="T1347" s="20">
        <f>Registro[[#This Row],[Mes 1]]+Registro[[#This Row],[Mes 2]]+Registro[[#This Row],[Mes 3]]</f>
        <v>0</v>
      </c>
      <c r="U1347" s="20">
        <f>Registro[[#This Row],[Mes 4]]+Registro[[#This Row],[Mes 5]]+Registro[[#This Row],[Mes 6]]</f>
        <v>0</v>
      </c>
      <c r="V1347" s="20">
        <f>Registro[[#This Row],[Mes 7]]+Registro[[#This Row],[Mes 8]]+Registro[[#This Row],[Mes 9]]</f>
        <v>0</v>
      </c>
      <c r="W1347" s="20">
        <f>Registro[[#This Row],[Mes 10]]+Registro[[#This Row],[Mes 11]]+Registro[[#This Row],[Mes 12]]</f>
        <v>0</v>
      </c>
      <c r="X1347" s="20">
        <f>SUM(Registro[[#This Row],[Trim I]],Registro[[#This Row],[Trim II]],Registro[[#This Row],[Trim III]],Registro[[#This Row],[Trim IV]])</f>
        <v>0</v>
      </c>
      <c r="Y1347" s="22">
        <f>IFERROR((Registro[[#This Row],[Avance Total]]/Registro[[#This Row],[Meta]]),0)</f>
        <v>0</v>
      </c>
      <c r="Z1347" s="22">
        <f>IFERROR((Registro[[#This Row],[Avance Total]]-Registro[[#This Row],[Línea Base 2025]])/Registro[[#This Row],[Línea Base 2025]],0)</f>
        <v>0</v>
      </c>
      <c r="AA1347" s="20"/>
    </row>
    <row r="1348" spans="1:27" hidden="1">
      <c r="A1348" s="14">
        <v>1104</v>
      </c>
      <c r="B1348" s="15" t="s">
        <v>124</v>
      </c>
      <c r="C1348" s="16">
        <v>118</v>
      </c>
      <c r="D1348" s="16" t="s">
        <v>188</v>
      </c>
      <c r="E1348" s="17" t="s">
        <v>9</v>
      </c>
      <c r="F1348" s="24">
        <v>0</v>
      </c>
      <c r="G1348" s="19">
        <v>0</v>
      </c>
      <c r="H1348" s="19">
        <v>0</v>
      </c>
      <c r="I1348" s="19">
        <v>0</v>
      </c>
      <c r="T1348" s="20">
        <f>Registro[[#This Row],[Mes 1]]+Registro[[#This Row],[Mes 2]]+Registro[[#This Row],[Mes 3]]</f>
        <v>0</v>
      </c>
      <c r="U1348" s="20">
        <f>Registro[[#This Row],[Mes 4]]+Registro[[#This Row],[Mes 5]]+Registro[[#This Row],[Mes 6]]</f>
        <v>0</v>
      </c>
      <c r="V1348" s="20">
        <f>Registro[[#This Row],[Mes 7]]+Registro[[#This Row],[Mes 8]]+Registro[[#This Row],[Mes 9]]</f>
        <v>0</v>
      </c>
      <c r="W1348" s="20">
        <f>Registro[[#This Row],[Mes 10]]+Registro[[#This Row],[Mes 11]]+Registro[[#This Row],[Mes 12]]</f>
        <v>0</v>
      </c>
      <c r="X1348" s="20">
        <f>SUM(Registro[[#This Row],[Trim I]],Registro[[#This Row],[Trim II]],Registro[[#This Row],[Trim III]],Registro[[#This Row],[Trim IV]])</f>
        <v>0</v>
      </c>
      <c r="Y1348" s="22">
        <f>IFERROR((Registro[[#This Row],[Avance Total]]/Registro[[#This Row],[Meta]]),0)</f>
        <v>0</v>
      </c>
      <c r="Z1348" s="22">
        <f>IFERROR((Registro[[#This Row],[Avance Total]]-Registro[[#This Row],[Línea Base 2025]])/Registro[[#This Row],[Línea Base 2025]],0)</f>
        <v>0</v>
      </c>
      <c r="AA1348" s="20"/>
    </row>
    <row r="1349" spans="1:27" hidden="1">
      <c r="A1349" s="14">
        <v>1104</v>
      </c>
      <c r="B1349" s="15" t="s">
        <v>124</v>
      </c>
      <c r="C1349" s="16">
        <v>119</v>
      </c>
      <c r="D1349" s="16" t="s">
        <v>190</v>
      </c>
      <c r="E1349" s="17" t="s">
        <v>189</v>
      </c>
      <c r="F1349" s="24">
        <v>0</v>
      </c>
      <c r="G1349" s="19">
        <v>1</v>
      </c>
      <c r="H1349" s="19">
        <v>0</v>
      </c>
      <c r="I1349" s="19">
        <v>0</v>
      </c>
      <c r="T1349" s="20">
        <f>Registro[[#This Row],[Mes 1]]+Registro[[#This Row],[Mes 2]]+Registro[[#This Row],[Mes 3]]</f>
        <v>0</v>
      </c>
      <c r="U1349" s="20">
        <f>Registro[[#This Row],[Mes 4]]+Registro[[#This Row],[Mes 5]]+Registro[[#This Row],[Mes 6]]</f>
        <v>0</v>
      </c>
      <c r="V1349" s="20">
        <f>Registro[[#This Row],[Mes 7]]+Registro[[#This Row],[Mes 8]]+Registro[[#This Row],[Mes 9]]</f>
        <v>0</v>
      </c>
      <c r="W1349" s="20">
        <f>Registro[[#This Row],[Mes 10]]+Registro[[#This Row],[Mes 11]]+Registro[[#This Row],[Mes 12]]</f>
        <v>0</v>
      </c>
      <c r="X1349" s="20">
        <f>SUM(Registro[[#This Row],[Trim I]],Registro[[#This Row],[Trim II]],Registro[[#This Row],[Trim III]],Registro[[#This Row],[Trim IV]])</f>
        <v>0</v>
      </c>
      <c r="Y1349" s="22">
        <f>IFERROR((Registro[[#This Row],[Avance Total]]/Registro[[#This Row],[Meta]]),0)</f>
        <v>0</v>
      </c>
      <c r="Z1349" s="22">
        <f>IFERROR((Registro[[#This Row],[Avance Total]]-Registro[[#This Row],[Línea Base 2025]])/Registro[[#This Row],[Línea Base 2025]],0)</f>
        <v>0</v>
      </c>
      <c r="AA1349" s="20"/>
    </row>
    <row r="1350" spans="1:27" hidden="1">
      <c r="A1350" s="14">
        <v>1104</v>
      </c>
      <c r="B1350" s="15" t="s">
        <v>124</v>
      </c>
      <c r="C1350" s="16">
        <v>120</v>
      </c>
      <c r="D1350" s="16" t="s">
        <v>192</v>
      </c>
      <c r="E1350" s="17" t="s">
        <v>191</v>
      </c>
      <c r="F1350" s="24">
        <v>0</v>
      </c>
      <c r="G1350" s="19">
        <v>2</v>
      </c>
      <c r="H1350" s="19">
        <v>0</v>
      </c>
      <c r="I1350" s="19">
        <v>0</v>
      </c>
      <c r="T1350" s="20">
        <f>Registro[[#This Row],[Mes 1]]+Registro[[#This Row],[Mes 2]]+Registro[[#This Row],[Mes 3]]</f>
        <v>0</v>
      </c>
      <c r="U1350" s="20">
        <f>Registro[[#This Row],[Mes 4]]+Registro[[#This Row],[Mes 5]]+Registro[[#This Row],[Mes 6]]</f>
        <v>0</v>
      </c>
      <c r="V1350" s="20">
        <f>Registro[[#This Row],[Mes 7]]+Registro[[#This Row],[Mes 8]]+Registro[[#This Row],[Mes 9]]</f>
        <v>0</v>
      </c>
      <c r="W1350" s="20">
        <f>Registro[[#This Row],[Mes 10]]+Registro[[#This Row],[Mes 11]]+Registro[[#This Row],[Mes 12]]</f>
        <v>0</v>
      </c>
      <c r="X1350" s="20">
        <f>SUM(Registro[[#This Row],[Trim I]],Registro[[#This Row],[Trim II]],Registro[[#This Row],[Trim III]],Registro[[#This Row],[Trim IV]])</f>
        <v>0</v>
      </c>
      <c r="Y1350" s="22">
        <f>IFERROR((Registro[[#This Row],[Avance Total]]/Registro[[#This Row],[Meta]]),0)</f>
        <v>0</v>
      </c>
      <c r="Z1350" s="22">
        <f>IFERROR((Registro[[#This Row],[Avance Total]]-Registro[[#This Row],[Línea Base 2025]])/Registro[[#This Row],[Línea Base 2025]],0)</f>
        <v>0</v>
      </c>
      <c r="AA1350" s="20"/>
    </row>
    <row r="1351" spans="1:27" hidden="1">
      <c r="A1351" s="14">
        <v>1104</v>
      </c>
      <c r="B1351" s="15" t="s">
        <v>124</v>
      </c>
      <c r="C1351" s="16">
        <v>121</v>
      </c>
      <c r="D1351" s="16" t="s">
        <v>194</v>
      </c>
      <c r="E1351" s="17" t="s">
        <v>193</v>
      </c>
      <c r="F1351" s="24">
        <v>0</v>
      </c>
      <c r="G1351" s="19">
        <v>0</v>
      </c>
      <c r="H1351" s="19">
        <v>0</v>
      </c>
      <c r="I1351" s="19">
        <v>0</v>
      </c>
      <c r="T1351" s="20">
        <f>Registro[[#This Row],[Mes 1]]+Registro[[#This Row],[Mes 2]]+Registro[[#This Row],[Mes 3]]</f>
        <v>0</v>
      </c>
      <c r="U1351" s="20">
        <f>Registro[[#This Row],[Mes 4]]+Registro[[#This Row],[Mes 5]]+Registro[[#This Row],[Mes 6]]</f>
        <v>0</v>
      </c>
      <c r="V1351" s="20">
        <f>Registro[[#This Row],[Mes 7]]+Registro[[#This Row],[Mes 8]]+Registro[[#This Row],[Mes 9]]</f>
        <v>0</v>
      </c>
      <c r="W1351" s="20">
        <f>Registro[[#This Row],[Mes 10]]+Registro[[#This Row],[Mes 11]]+Registro[[#This Row],[Mes 12]]</f>
        <v>0</v>
      </c>
      <c r="X1351" s="20">
        <f>SUM(Registro[[#This Row],[Trim I]],Registro[[#This Row],[Trim II]],Registro[[#This Row],[Trim III]],Registro[[#This Row],[Trim IV]])</f>
        <v>0</v>
      </c>
      <c r="Y1351" s="22">
        <f>IFERROR((Registro[[#This Row],[Avance Total]]/Registro[[#This Row],[Meta]]),0)</f>
        <v>0</v>
      </c>
      <c r="Z1351" s="22">
        <f>IFERROR((Registro[[#This Row],[Avance Total]]-Registro[[#This Row],[Línea Base 2025]])/Registro[[#This Row],[Línea Base 2025]],0)</f>
        <v>0</v>
      </c>
      <c r="AA1351" s="20"/>
    </row>
    <row r="1352" spans="1:27" hidden="1">
      <c r="A1352" s="14">
        <v>1104</v>
      </c>
      <c r="B1352" s="15" t="s">
        <v>124</v>
      </c>
      <c r="C1352" s="16">
        <v>122</v>
      </c>
      <c r="D1352" s="16" t="s">
        <v>196</v>
      </c>
      <c r="E1352" s="17" t="s">
        <v>195</v>
      </c>
      <c r="F1352" s="24">
        <v>0</v>
      </c>
      <c r="G1352" s="19">
        <v>1</v>
      </c>
      <c r="H1352" s="19">
        <v>0</v>
      </c>
      <c r="I1352" s="19">
        <v>0</v>
      </c>
      <c r="T1352" s="20">
        <f>Registro[[#This Row],[Mes 1]]+Registro[[#This Row],[Mes 2]]+Registro[[#This Row],[Mes 3]]</f>
        <v>0</v>
      </c>
      <c r="U1352" s="20">
        <f>Registro[[#This Row],[Mes 4]]+Registro[[#This Row],[Mes 5]]+Registro[[#This Row],[Mes 6]]</f>
        <v>0</v>
      </c>
      <c r="V1352" s="20">
        <f>Registro[[#This Row],[Mes 7]]+Registro[[#This Row],[Mes 8]]+Registro[[#This Row],[Mes 9]]</f>
        <v>0</v>
      </c>
      <c r="W1352" s="20">
        <f>Registro[[#This Row],[Mes 10]]+Registro[[#This Row],[Mes 11]]+Registro[[#This Row],[Mes 12]]</f>
        <v>0</v>
      </c>
      <c r="X1352" s="20">
        <f>SUM(Registro[[#This Row],[Trim I]],Registro[[#This Row],[Trim II]],Registro[[#This Row],[Trim III]],Registro[[#This Row],[Trim IV]])</f>
        <v>0</v>
      </c>
      <c r="Y1352" s="22">
        <f>IFERROR((Registro[[#This Row],[Avance Total]]/Registro[[#This Row],[Meta]]),0)</f>
        <v>0</v>
      </c>
      <c r="Z1352" s="22">
        <f>IFERROR((Registro[[#This Row],[Avance Total]]-Registro[[#This Row],[Línea Base 2025]])/Registro[[#This Row],[Línea Base 2025]],0)</f>
        <v>0</v>
      </c>
      <c r="AA1352" s="20"/>
    </row>
    <row r="1353" spans="1:27" hidden="1">
      <c r="A1353" s="14">
        <v>1104</v>
      </c>
      <c r="B1353" s="15" t="s">
        <v>124</v>
      </c>
      <c r="C1353" s="26">
        <v>123</v>
      </c>
      <c r="D1353" s="26" t="s">
        <v>198</v>
      </c>
      <c r="E1353" s="17" t="s">
        <v>197</v>
      </c>
      <c r="F1353" s="32">
        <v>0</v>
      </c>
      <c r="G1353" s="28">
        <v>1</v>
      </c>
      <c r="H1353" s="28">
        <v>0</v>
      </c>
      <c r="I1353" s="28">
        <v>0</v>
      </c>
      <c r="J1353" s="27"/>
      <c r="K1353" s="27"/>
      <c r="L1353" s="27"/>
      <c r="M1353" s="27"/>
      <c r="N1353" s="27"/>
      <c r="O1353" s="27"/>
      <c r="P1353" s="27"/>
      <c r="Q1353" s="27"/>
      <c r="R1353" s="27"/>
      <c r="S1353" s="27"/>
      <c r="T1353" s="29">
        <f>Registro[[#This Row],[Mes 1]]+Registro[[#This Row],[Mes 2]]+Registro[[#This Row],[Mes 3]]</f>
        <v>0</v>
      </c>
      <c r="U1353" s="29">
        <f>Registro[[#This Row],[Mes 4]]+Registro[[#This Row],[Mes 5]]+Registro[[#This Row],[Mes 6]]</f>
        <v>0</v>
      </c>
      <c r="V1353" s="29">
        <f>Registro[[#This Row],[Mes 7]]+Registro[[#This Row],[Mes 8]]+Registro[[#This Row],[Mes 9]]</f>
        <v>0</v>
      </c>
      <c r="W1353" s="29">
        <f>Registro[[#This Row],[Mes 10]]+Registro[[#This Row],[Mes 11]]+Registro[[#This Row],[Mes 12]]</f>
        <v>0</v>
      </c>
      <c r="X1353" s="29">
        <f>SUM(Registro[[#This Row],[Trim I]],Registro[[#This Row],[Trim II]],Registro[[#This Row],[Trim III]],Registro[[#This Row],[Trim IV]])</f>
        <v>0</v>
      </c>
      <c r="Y1353" s="30">
        <f>IFERROR((Registro[[#This Row],[Avance Total]]/Registro[[#This Row],[Meta]]),0)</f>
        <v>0</v>
      </c>
      <c r="Z1353" s="30">
        <f>IFERROR((Registro[[#This Row],[Avance Total]]-Registro[[#This Row],[Línea Base 2025]])/Registro[[#This Row],[Línea Base 2025]],0)</f>
        <v>0</v>
      </c>
      <c r="AA1353" s="29"/>
    </row>
    <row r="1354" spans="1:27" hidden="1">
      <c r="A1354" s="14">
        <v>1105</v>
      </c>
      <c r="B1354" s="15" t="s">
        <v>125</v>
      </c>
      <c r="C1354" s="16">
        <v>111</v>
      </c>
      <c r="D1354" s="16" t="s">
        <v>171</v>
      </c>
      <c r="E1354" s="17" t="s">
        <v>172</v>
      </c>
      <c r="F1354" s="24">
        <v>107</v>
      </c>
      <c r="G1354" s="19">
        <v>991</v>
      </c>
      <c r="H1354" s="19">
        <v>0</v>
      </c>
      <c r="I1354" s="19">
        <v>0</v>
      </c>
      <c r="T1354" s="20">
        <f>Registro[[#This Row],[Mes 1]]+Registro[[#This Row],[Mes 2]]+Registro[[#This Row],[Mes 3]]</f>
        <v>0</v>
      </c>
      <c r="U1354" s="20">
        <f>Registro[[#This Row],[Mes 4]]+Registro[[#This Row],[Mes 5]]+Registro[[#This Row],[Mes 6]]</f>
        <v>0</v>
      </c>
      <c r="V1354" s="20">
        <f>Registro[[#This Row],[Mes 7]]+Registro[[#This Row],[Mes 8]]+Registro[[#This Row],[Mes 9]]</f>
        <v>0</v>
      </c>
      <c r="W1354" s="20">
        <f>Registro[[#This Row],[Mes 10]]+Registro[[#This Row],[Mes 11]]+Registro[[#This Row],[Mes 12]]</f>
        <v>0</v>
      </c>
      <c r="X1354" s="20">
        <f>SUM(Registro[[#This Row],[Trim I]],Registro[[#This Row],[Trim II]],Registro[[#This Row],[Trim III]],Registro[[#This Row],[Trim IV]])</f>
        <v>0</v>
      </c>
      <c r="Y1354" s="22">
        <f>IFERROR((Registro[[#This Row],[Avance Total]]/Registro[[#This Row],[Meta]]),0)</f>
        <v>0</v>
      </c>
      <c r="Z1354" s="22">
        <f>IFERROR((Registro[[#This Row],[Avance Total]]-Registro[[#This Row],[Línea Base 2025]])/Registro[[#This Row],[Línea Base 2025]],0)</f>
        <v>-1</v>
      </c>
      <c r="AA1354" s="20"/>
    </row>
    <row r="1355" spans="1:27" hidden="1">
      <c r="A1355" s="14">
        <v>1105</v>
      </c>
      <c r="B1355" s="15" t="s">
        <v>125</v>
      </c>
      <c r="C1355" s="16">
        <v>112</v>
      </c>
      <c r="D1355" s="16" t="s">
        <v>173</v>
      </c>
      <c r="E1355" s="17" t="s">
        <v>7</v>
      </c>
      <c r="F1355" s="24">
        <v>43</v>
      </c>
      <c r="G1355" s="19">
        <v>207</v>
      </c>
      <c r="H1355" s="19">
        <v>0</v>
      </c>
      <c r="I1355" s="19">
        <v>0</v>
      </c>
      <c r="T1355" s="20">
        <f>Registro[[#This Row],[Mes 1]]+Registro[[#This Row],[Mes 2]]+Registro[[#This Row],[Mes 3]]</f>
        <v>0</v>
      </c>
      <c r="U1355" s="20">
        <f>Registro[[#This Row],[Mes 4]]+Registro[[#This Row],[Mes 5]]+Registro[[#This Row],[Mes 6]]</f>
        <v>0</v>
      </c>
      <c r="V1355" s="20">
        <f>Registro[[#This Row],[Mes 7]]+Registro[[#This Row],[Mes 8]]+Registro[[#This Row],[Mes 9]]</f>
        <v>0</v>
      </c>
      <c r="W1355" s="20">
        <f>Registro[[#This Row],[Mes 10]]+Registro[[#This Row],[Mes 11]]+Registro[[#This Row],[Mes 12]]</f>
        <v>0</v>
      </c>
      <c r="X1355" s="20">
        <f>SUM(Registro[[#This Row],[Trim I]],Registro[[#This Row],[Trim II]],Registro[[#This Row],[Trim III]],Registro[[#This Row],[Trim IV]])</f>
        <v>0</v>
      </c>
      <c r="Y1355" s="22">
        <f>IFERROR((Registro[[#This Row],[Avance Total]]/Registro[[#This Row],[Meta]]),0)</f>
        <v>0</v>
      </c>
      <c r="Z1355" s="22">
        <f>IFERROR((Registro[[#This Row],[Avance Total]]-Registro[[#This Row],[Línea Base 2025]])/Registro[[#This Row],[Línea Base 2025]],0)</f>
        <v>-1</v>
      </c>
      <c r="AA1355" s="20"/>
    </row>
    <row r="1356" spans="1:27" hidden="1">
      <c r="A1356" s="14">
        <v>1105</v>
      </c>
      <c r="B1356" s="15" t="s">
        <v>125</v>
      </c>
      <c r="C1356" s="16">
        <v>113</v>
      </c>
      <c r="D1356" s="16" t="s">
        <v>179</v>
      </c>
      <c r="E1356" s="17" t="s">
        <v>178</v>
      </c>
      <c r="F1356" s="24">
        <v>47</v>
      </c>
      <c r="G1356" s="19">
        <v>691</v>
      </c>
      <c r="H1356" s="19">
        <v>0</v>
      </c>
      <c r="I1356" s="19">
        <v>0</v>
      </c>
      <c r="T1356" s="20">
        <f>Registro[[#This Row],[Mes 1]]+Registro[[#This Row],[Mes 2]]+Registro[[#This Row],[Mes 3]]</f>
        <v>0</v>
      </c>
      <c r="U1356" s="20">
        <f>Registro[[#This Row],[Mes 4]]+Registro[[#This Row],[Mes 5]]+Registro[[#This Row],[Mes 6]]</f>
        <v>0</v>
      </c>
      <c r="V1356" s="20">
        <f>Registro[[#This Row],[Mes 7]]+Registro[[#This Row],[Mes 8]]+Registro[[#This Row],[Mes 9]]</f>
        <v>0</v>
      </c>
      <c r="W1356" s="20">
        <f>Registro[[#This Row],[Mes 10]]+Registro[[#This Row],[Mes 11]]+Registro[[#This Row],[Mes 12]]</f>
        <v>0</v>
      </c>
      <c r="X1356" s="20">
        <f>SUM(Registro[[#This Row],[Trim I]],Registro[[#This Row],[Trim II]],Registro[[#This Row],[Trim III]],Registro[[#This Row],[Trim IV]])</f>
        <v>0</v>
      </c>
      <c r="Y1356" s="22">
        <f>IFERROR((Registro[[#This Row],[Avance Total]]/Registro[[#This Row],[Meta]]),0)</f>
        <v>0</v>
      </c>
      <c r="Z1356" s="22">
        <f>IFERROR((Registro[[#This Row],[Avance Total]]-Registro[[#This Row],[Línea Base 2025]])/Registro[[#This Row],[Línea Base 2025]],0)</f>
        <v>-1</v>
      </c>
      <c r="AA1356" s="20"/>
    </row>
    <row r="1357" spans="1:27" hidden="1">
      <c r="A1357" s="14">
        <v>1105</v>
      </c>
      <c r="B1357" s="15" t="s">
        <v>125</v>
      </c>
      <c r="C1357" s="16">
        <v>114</v>
      </c>
      <c r="D1357" s="16" t="s">
        <v>181</v>
      </c>
      <c r="E1357" s="17" t="s">
        <v>180</v>
      </c>
      <c r="F1357" s="24">
        <v>0</v>
      </c>
      <c r="G1357" s="19">
        <v>37</v>
      </c>
      <c r="H1357" s="19">
        <v>0</v>
      </c>
      <c r="I1357" s="19">
        <v>0</v>
      </c>
      <c r="T1357" s="20">
        <f>Registro[[#This Row],[Mes 1]]+Registro[[#This Row],[Mes 2]]+Registro[[#This Row],[Mes 3]]</f>
        <v>0</v>
      </c>
      <c r="U1357" s="20">
        <f>Registro[[#This Row],[Mes 4]]+Registro[[#This Row],[Mes 5]]+Registro[[#This Row],[Mes 6]]</f>
        <v>0</v>
      </c>
      <c r="V1357" s="20">
        <f>Registro[[#This Row],[Mes 7]]+Registro[[#This Row],[Mes 8]]+Registro[[#This Row],[Mes 9]]</f>
        <v>0</v>
      </c>
      <c r="W1357" s="20">
        <f>Registro[[#This Row],[Mes 10]]+Registro[[#This Row],[Mes 11]]+Registro[[#This Row],[Mes 12]]</f>
        <v>0</v>
      </c>
      <c r="X1357" s="20">
        <f>SUM(Registro[[#This Row],[Trim I]],Registro[[#This Row],[Trim II]],Registro[[#This Row],[Trim III]],Registro[[#This Row],[Trim IV]])</f>
        <v>0</v>
      </c>
      <c r="Y1357" s="22">
        <f>IFERROR((Registro[[#This Row],[Avance Total]]/Registro[[#This Row],[Meta]]),0)</f>
        <v>0</v>
      </c>
      <c r="Z1357" s="22">
        <f>IFERROR((Registro[[#This Row],[Avance Total]]-Registro[[#This Row],[Línea Base 2025]])/Registro[[#This Row],[Línea Base 2025]],0)</f>
        <v>0</v>
      </c>
      <c r="AA1357" s="20"/>
    </row>
    <row r="1358" spans="1:27" hidden="1">
      <c r="A1358" s="14">
        <v>1105</v>
      </c>
      <c r="B1358" s="15" t="s">
        <v>125</v>
      </c>
      <c r="C1358" s="16">
        <v>115</v>
      </c>
      <c r="D1358" s="16" t="s">
        <v>183</v>
      </c>
      <c r="E1358" s="17" t="s">
        <v>182</v>
      </c>
      <c r="F1358" s="24">
        <v>45</v>
      </c>
      <c r="G1358" s="19">
        <v>33</v>
      </c>
      <c r="H1358" s="19">
        <v>0</v>
      </c>
      <c r="I1358" s="19">
        <v>0</v>
      </c>
      <c r="T1358" s="20">
        <f>Registro[[#This Row],[Mes 1]]+Registro[[#This Row],[Mes 2]]+Registro[[#This Row],[Mes 3]]</f>
        <v>0</v>
      </c>
      <c r="U1358" s="20">
        <f>Registro[[#This Row],[Mes 4]]+Registro[[#This Row],[Mes 5]]+Registro[[#This Row],[Mes 6]]</f>
        <v>0</v>
      </c>
      <c r="V1358" s="20">
        <f>Registro[[#This Row],[Mes 7]]+Registro[[#This Row],[Mes 8]]+Registro[[#This Row],[Mes 9]]</f>
        <v>0</v>
      </c>
      <c r="W1358" s="20">
        <f>Registro[[#This Row],[Mes 10]]+Registro[[#This Row],[Mes 11]]+Registro[[#This Row],[Mes 12]]</f>
        <v>0</v>
      </c>
      <c r="X1358" s="20">
        <f>SUM(Registro[[#This Row],[Trim I]],Registro[[#This Row],[Trim II]],Registro[[#This Row],[Trim III]],Registro[[#This Row],[Trim IV]])</f>
        <v>0</v>
      </c>
      <c r="Y1358" s="22">
        <f>IFERROR((Registro[[#This Row],[Avance Total]]/Registro[[#This Row],[Meta]]),0)</f>
        <v>0</v>
      </c>
      <c r="Z1358" s="22">
        <f>IFERROR((Registro[[#This Row],[Avance Total]]-Registro[[#This Row],[Línea Base 2025]])/Registro[[#This Row],[Línea Base 2025]],0)</f>
        <v>-1</v>
      </c>
      <c r="AA1358" s="20"/>
    </row>
    <row r="1359" spans="1:27">
      <c r="A1359" s="14">
        <v>1105</v>
      </c>
      <c r="B1359" s="15" t="s">
        <v>125</v>
      </c>
      <c r="C1359" s="16">
        <v>116</v>
      </c>
      <c r="D1359" s="16" t="s">
        <v>185</v>
      </c>
      <c r="E1359" s="17" t="s">
        <v>184</v>
      </c>
      <c r="F1359" s="24">
        <v>4</v>
      </c>
      <c r="G1359" s="19">
        <v>6</v>
      </c>
      <c r="H1359" s="19">
        <v>0</v>
      </c>
      <c r="I1359" s="19">
        <v>0</v>
      </c>
      <c r="T1359" s="20">
        <f>Registro[[#This Row],[Mes 1]]+Registro[[#This Row],[Mes 2]]+Registro[[#This Row],[Mes 3]]</f>
        <v>0</v>
      </c>
      <c r="U1359" s="20">
        <f>Registro[[#This Row],[Mes 4]]+Registro[[#This Row],[Mes 5]]+Registro[[#This Row],[Mes 6]]</f>
        <v>0</v>
      </c>
      <c r="V1359" s="20">
        <f>Registro[[#This Row],[Mes 7]]+Registro[[#This Row],[Mes 8]]+Registro[[#This Row],[Mes 9]]</f>
        <v>0</v>
      </c>
      <c r="W1359" s="20">
        <f>Registro[[#This Row],[Mes 10]]+Registro[[#This Row],[Mes 11]]+Registro[[#This Row],[Mes 12]]</f>
        <v>0</v>
      </c>
      <c r="X1359" s="20">
        <f>SUM(Registro[[#This Row],[Trim I]],Registro[[#This Row],[Trim II]],Registro[[#This Row],[Trim III]],Registro[[#This Row],[Trim IV]])</f>
        <v>0</v>
      </c>
      <c r="Y1359" s="22">
        <f>IFERROR((Registro[[#This Row],[Avance Total]]/Registro[[#This Row],[Meta]]),0)</f>
        <v>0</v>
      </c>
      <c r="Z1359" s="22">
        <f>IFERROR((Registro[[#This Row],[Avance Total]]-Registro[[#This Row],[Línea Base 2025]])/Registro[[#This Row],[Línea Base 2025]],0)</f>
        <v>-1</v>
      </c>
      <c r="AA1359" s="20"/>
    </row>
    <row r="1360" spans="1:27" hidden="1">
      <c r="A1360" s="14">
        <v>1105</v>
      </c>
      <c r="B1360" s="15" t="s">
        <v>125</v>
      </c>
      <c r="C1360" s="16">
        <v>117</v>
      </c>
      <c r="D1360" s="16" t="s">
        <v>187</v>
      </c>
      <c r="E1360" s="17" t="s">
        <v>186</v>
      </c>
      <c r="F1360" s="24">
        <v>2</v>
      </c>
      <c r="G1360" s="19">
        <v>8</v>
      </c>
      <c r="H1360" s="19">
        <v>0</v>
      </c>
      <c r="I1360" s="19">
        <v>0</v>
      </c>
      <c r="T1360" s="20">
        <f>Registro[[#This Row],[Mes 1]]+Registro[[#This Row],[Mes 2]]+Registro[[#This Row],[Mes 3]]</f>
        <v>0</v>
      </c>
      <c r="U1360" s="20">
        <f>Registro[[#This Row],[Mes 4]]+Registro[[#This Row],[Mes 5]]+Registro[[#This Row],[Mes 6]]</f>
        <v>0</v>
      </c>
      <c r="V1360" s="20">
        <f>Registro[[#This Row],[Mes 7]]+Registro[[#This Row],[Mes 8]]+Registro[[#This Row],[Mes 9]]</f>
        <v>0</v>
      </c>
      <c r="W1360" s="20">
        <f>Registro[[#This Row],[Mes 10]]+Registro[[#This Row],[Mes 11]]+Registro[[#This Row],[Mes 12]]</f>
        <v>0</v>
      </c>
      <c r="X1360" s="20">
        <f>SUM(Registro[[#This Row],[Trim I]],Registro[[#This Row],[Trim II]],Registro[[#This Row],[Trim III]],Registro[[#This Row],[Trim IV]])</f>
        <v>0</v>
      </c>
      <c r="Y1360" s="22">
        <f>IFERROR((Registro[[#This Row],[Avance Total]]/Registro[[#This Row],[Meta]]),0)</f>
        <v>0</v>
      </c>
      <c r="Z1360" s="22">
        <f>IFERROR((Registro[[#This Row],[Avance Total]]-Registro[[#This Row],[Línea Base 2025]])/Registro[[#This Row],[Línea Base 2025]],0)</f>
        <v>-1</v>
      </c>
      <c r="AA1360" s="20"/>
    </row>
    <row r="1361" spans="1:27" hidden="1">
      <c r="A1361" s="14">
        <v>1105</v>
      </c>
      <c r="B1361" s="15" t="s">
        <v>125</v>
      </c>
      <c r="C1361" s="16">
        <v>118</v>
      </c>
      <c r="D1361" s="16" t="s">
        <v>188</v>
      </c>
      <c r="E1361" s="17" t="s">
        <v>9</v>
      </c>
      <c r="F1361" s="24">
        <v>0</v>
      </c>
      <c r="G1361" s="19">
        <v>6</v>
      </c>
      <c r="H1361" s="19">
        <v>0</v>
      </c>
      <c r="I1361" s="19">
        <v>0</v>
      </c>
      <c r="T1361" s="20">
        <f>Registro[[#This Row],[Mes 1]]+Registro[[#This Row],[Mes 2]]+Registro[[#This Row],[Mes 3]]</f>
        <v>0</v>
      </c>
      <c r="U1361" s="20">
        <f>Registro[[#This Row],[Mes 4]]+Registro[[#This Row],[Mes 5]]+Registro[[#This Row],[Mes 6]]</f>
        <v>0</v>
      </c>
      <c r="V1361" s="20">
        <f>Registro[[#This Row],[Mes 7]]+Registro[[#This Row],[Mes 8]]+Registro[[#This Row],[Mes 9]]</f>
        <v>0</v>
      </c>
      <c r="W1361" s="20">
        <f>Registro[[#This Row],[Mes 10]]+Registro[[#This Row],[Mes 11]]+Registro[[#This Row],[Mes 12]]</f>
        <v>0</v>
      </c>
      <c r="X1361" s="20">
        <f>SUM(Registro[[#This Row],[Trim I]],Registro[[#This Row],[Trim II]],Registro[[#This Row],[Trim III]],Registro[[#This Row],[Trim IV]])</f>
        <v>0</v>
      </c>
      <c r="Y1361" s="22">
        <f>IFERROR((Registro[[#This Row],[Avance Total]]/Registro[[#This Row],[Meta]]),0)</f>
        <v>0</v>
      </c>
      <c r="Z1361" s="22">
        <f>IFERROR((Registro[[#This Row],[Avance Total]]-Registro[[#This Row],[Línea Base 2025]])/Registro[[#This Row],[Línea Base 2025]],0)</f>
        <v>0</v>
      </c>
      <c r="AA1361" s="20"/>
    </row>
    <row r="1362" spans="1:27" hidden="1">
      <c r="A1362" s="14">
        <v>1105</v>
      </c>
      <c r="B1362" s="15" t="s">
        <v>125</v>
      </c>
      <c r="C1362" s="16">
        <v>119</v>
      </c>
      <c r="D1362" s="16" t="s">
        <v>190</v>
      </c>
      <c r="E1362" s="17" t="s">
        <v>189</v>
      </c>
      <c r="F1362" s="24">
        <v>0</v>
      </c>
      <c r="G1362" s="19">
        <v>5</v>
      </c>
      <c r="H1362" s="19">
        <v>0</v>
      </c>
      <c r="I1362" s="19">
        <v>0</v>
      </c>
      <c r="T1362" s="20">
        <f>Registro[[#This Row],[Mes 1]]+Registro[[#This Row],[Mes 2]]+Registro[[#This Row],[Mes 3]]</f>
        <v>0</v>
      </c>
      <c r="U1362" s="20">
        <f>Registro[[#This Row],[Mes 4]]+Registro[[#This Row],[Mes 5]]+Registro[[#This Row],[Mes 6]]</f>
        <v>0</v>
      </c>
      <c r="V1362" s="20">
        <f>Registro[[#This Row],[Mes 7]]+Registro[[#This Row],[Mes 8]]+Registro[[#This Row],[Mes 9]]</f>
        <v>0</v>
      </c>
      <c r="W1362" s="20">
        <f>Registro[[#This Row],[Mes 10]]+Registro[[#This Row],[Mes 11]]+Registro[[#This Row],[Mes 12]]</f>
        <v>0</v>
      </c>
      <c r="X1362" s="20">
        <f>SUM(Registro[[#This Row],[Trim I]],Registro[[#This Row],[Trim II]],Registro[[#This Row],[Trim III]],Registro[[#This Row],[Trim IV]])</f>
        <v>0</v>
      </c>
      <c r="Y1362" s="22">
        <f>IFERROR((Registro[[#This Row],[Avance Total]]/Registro[[#This Row],[Meta]]),0)</f>
        <v>0</v>
      </c>
      <c r="Z1362" s="22">
        <f>IFERROR((Registro[[#This Row],[Avance Total]]-Registro[[#This Row],[Línea Base 2025]])/Registro[[#This Row],[Línea Base 2025]],0)</f>
        <v>0</v>
      </c>
      <c r="AA1362" s="20"/>
    </row>
    <row r="1363" spans="1:27" hidden="1">
      <c r="A1363" s="14">
        <v>1105</v>
      </c>
      <c r="B1363" s="15" t="s">
        <v>125</v>
      </c>
      <c r="C1363" s="16">
        <v>120</v>
      </c>
      <c r="D1363" s="16" t="s">
        <v>192</v>
      </c>
      <c r="E1363" s="17" t="s">
        <v>191</v>
      </c>
      <c r="F1363" s="24">
        <v>59</v>
      </c>
      <c r="G1363" s="19">
        <v>60</v>
      </c>
      <c r="H1363" s="19">
        <v>0</v>
      </c>
      <c r="I1363" s="19">
        <v>0</v>
      </c>
      <c r="T1363" s="20">
        <f>Registro[[#This Row],[Mes 1]]+Registro[[#This Row],[Mes 2]]+Registro[[#This Row],[Mes 3]]</f>
        <v>0</v>
      </c>
      <c r="U1363" s="20">
        <f>Registro[[#This Row],[Mes 4]]+Registro[[#This Row],[Mes 5]]+Registro[[#This Row],[Mes 6]]</f>
        <v>0</v>
      </c>
      <c r="V1363" s="20">
        <f>Registro[[#This Row],[Mes 7]]+Registro[[#This Row],[Mes 8]]+Registro[[#This Row],[Mes 9]]</f>
        <v>0</v>
      </c>
      <c r="W1363" s="20">
        <f>Registro[[#This Row],[Mes 10]]+Registro[[#This Row],[Mes 11]]+Registro[[#This Row],[Mes 12]]</f>
        <v>0</v>
      </c>
      <c r="X1363" s="20">
        <f>SUM(Registro[[#This Row],[Trim I]],Registro[[#This Row],[Trim II]],Registro[[#This Row],[Trim III]],Registro[[#This Row],[Trim IV]])</f>
        <v>0</v>
      </c>
      <c r="Y1363" s="22">
        <f>IFERROR((Registro[[#This Row],[Avance Total]]/Registro[[#This Row],[Meta]]),0)</f>
        <v>0</v>
      </c>
      <c r="Z1363" s="22">
        <f>IFERROR((Registro[[#This Row],[Avance Total]]-Registro[[#This Row],[Línea Base 2025]])/Registro[[#This Row],[Línea Base 2025]],0)</f>
        <v>-1</v>
      </c>
      <c r="AA1363" s="20"/>
    </row>
    <row r="1364" spans="1:27" hidden="1">
      <c r="A1364" s="14">
        <v>1105</v>
      </c>
      <c r="B1364" s="15" t="s">
        <v>125</v>
      </c>
      <c r="C1364" s="16">
        <v>121</v>
      </c>
      <c r="D1364" s="16" t="s">
        <v>194</v>
      </c>
      <c r="E1364" s="17" t="s">
        <v>193</v>
      </c>
      <c r="F1364" s="24">
        <v>38</v>
      </c>
      <c r="G1364" s="19">
        <v>20</v>
      </c>
      <c r="H1364" s="19">
        <v>0</v>
      </c>
      <c r="I1364" s="19">
        <v>0</v>
      </c>
      <c r="T1364" s="20">
        <f>Registro[[#This Row],[Mes 1]]+Registro[[#This Row],[Mes 2]]+Registro[[#This Row],[Mes 3]]</f>
        <v>0</v>
      </c>
      <c r="U1364" s="20">
        <f>Registro[[#This Row],[Mes 4]]+Registro[[#This Row],[Mes 5]]+Registro[[#This Row],[Mes 6]]</f>
        <v>0</v>
      </c>
      <c r="V1364" s="20">
        <f>Registro[[#This Row],[Mes 7]]+Registro[[#This Row],[Mes 8]]+Registro[[#This Row],[Mes 9]]</f>
        <v>0</v>
      </c>
      <c r="W1364" s="20">
        <f>Registro[[#This Row],[Mes 10]]+Registro[[#This Row],[Mes 11]]+Registro[[#This Row],[Mes 12]]</f>
        <v>0</v>
      </c>
      <c r="X1364" s="20">
        <f>SUM(Registro[[#This Row],[Trim I]],Registro[[#This Row],[Trim II]],Registro[[#This Row],[Trim III]],Registro[[#This Row],[Trim IV]])</f>
        <v>0</v>
      </c>
      <c r="Y1364" s="22">
        <f>IFERROR((Registro[[#This Row],[Avance Total]]/Registro[[#This Row],[Meta]]),0)</f>
        <v>0</v>
      </c>
      <c r="Z1364" s="22">
        <f>IFERROR((Registro[[#This Row],[Avance Total]]-Registro[[#This Row],[Línea Base 2025]])/Registro[[#This Row],[Línea Base 2025]],0)</f>
        <v>-1</v>
      </c>
      <c r="AA1364" s="20"/>
    </row>
    <row r="1365" spans="1:27" hidden="1">
      <c r="A1365" s="14">
        <v>1105</v>
      </c>
      <c r="B1365" s="15" t="s">
        <v>125</v>
      </c>
      <c r="C1365" s="16">
        <v>122</v>
      </c>
      <c r="D1365" s="16" t="s">
        <v>196</v>
      </c>
      <c r="E1365" s="17" t="s">
        <v>195</v>
      </c>
      <c r="F1365" s="24">
        <v>5</v>
      </c>
      <c r="G1365" s="19">
        <v>21</v>
      </c>
      <c r="H1365" s="19">
        <v>0</v>
      </c>
      <c r="I1365" s="19">
        <v>0</v>
      </c>
      <c r="T1365" s="20">
        <f>Registro[[#This Row],[Mes 1]]+Registro[[#This Row],[Mes 2]]+Registro[[#This Row],[Mes 3]]</f>
        <v>0</v>
      </c>
      <c r="U1365" s="20">
        <f>Registro[[#This Row],[Mes 4]]+Registro[[#This Row],[Mes 5]]+Registro[[#This Row],[Mes 6]]</f>
        <v>0</v>
      </c>
      <c r="V1365" s="20">
        <f>Registro[[#This Row],[Mes 7]]+Registro[[#This Row],[Mes 8]]+Registro[[#This Row],[Mes 9]]</f>
        <v>0</v>
      </c>
      <c r="W1365" s="20">
        <f>Registro[[#This Row],[Mes 10]]+Registro[[#This Row],[Mes 11]]+Registro[[#This Row],[Mes 12]]</f>
        <v>0</v>
      </c>
      <c r="X1365" s="20">
        <f>SUM(Registro[[#This Row],[Trim I]],Registro[[#This Row],[Trim II]],Registro[[#This Row],[Trim III]],Registro[[#This Row],[Trim IV]])</f>
        <v>0</v>
      </c>
      <c r="Y1365" s="22">
        <f>IFERROR((Registro[[#This Row],[Avance Total]]/Registro[[#This Row],[Meta]]),0)</f>
        <v>0</v>
      </c>
      <c r="Z1365" s="22">
        <f>IFERROR((Registro[[#This Row],[Avance Total]]-Registro[[#This Row],[Línea Base 2025]])/Registro[[#This Row],[Línea Base 2025]],0)</f>
        <v>-1</v>
      </c>
      <c r="AA1365" s="20"/>
    </row>
    <row r="1366" spans="1:27" hidden="1">
      <c r="A1366" s="14">
        <v>1105</v>
      </c>
      <c r="B1366" s="15" t="s">
        <v>125</v>
      </c>
      <c r="C1366" s="26">
        <v>123</v>
      </c>
      <c r="D1366" s="26" t="s">
        <v>198</v>
      </c>
      <c r="E1366" s="17" t="s">
        <v>197</v>
      </c>
      <c r="F1366" s="32">
        <v>0</v>
      </c>
      <c r="G1366" s="28">
        <v>3</v>
      </c>
      <c r="H1366" s="28">
        <v>0</v>
      </c>
      <c r="I1366" s="28">
        <v>0</v>
      </c>
      <c r="J1366" s="27"/>
      <c r="K1366" s="27"/>
      <c r="L1366" s="27"/>
      <c r="M1366" s="27"/>
      <c r="N1366" s="27"/>
      <c r="O1366" s="27"/>
      <c r="P1366" s="27"/>
      <c r="Q1366" s="27"/>
      <c r="R1366" s="27"/>
      <c r="S1366" s="27"/>
      <c r="T1366" s="29">
        <f>Registro[[#This Row],[Mes 1]]+Registro[[#This Row],[Mes 2]]+Registro[[#This Row],[Mes 3]]</f>
        <v>0</v>
      </c>
      <c r="U1366" s="29">
        <f>Registro[[#This Row],[Mes 4]]+Registro[[#This Row],[Mes 5]]+Registro[[#This Row],[Mes 6]]</f>
        <v>0</v>
      </c>
      <c r="V1366" s="29">
        <f>Registro[[#This Row],[Mes 7]]+Registro[[#This Row],[Mes 8]]+Registro[[#This Row],[Mes 9]]</f>
        <v>0</v>
      </c>
      <c r="W1366" s="29">
        <f>Registro[[#This Row],[Mes 10]]+Registro[[#This Row],[Mes 11]]+Registro[[#This Row],[Mes 12]]</f>
        <v>0</v>
      </c>
      <c r="X1366" s="29">
        <f>SUM(Registro[[#This Row],[Trim I]],Registro[[#This Row],[Trim II]],Registro[[#This Row],[Trim III]],Registro[[#This Row],[Trim IV]])</f>
        <v>0</v>
      </c>
      <c r="Y1366" s="30">
        <f>IFERROR((Registro[[#This Row],[Avance Total]]/Registro[[#This Row],[Meta]]),0)</f>
        <v>0</v>
      </c>
      <c r="Z1366" s="30">
        <f>IFERROR((Registro[[#This Row],[Avance Total]]-Registro[[#This Row],[Línea Base 2025]])/Registro[[#This Row],[Línea Base 2025]],0)</f>
        <v>0</v>
      </c>
      <c r="AA1366" s="29"/>
    </row>
    <row r="1367" spans="1:27" hidden="1">
      <c r="A1367" s="14">
        <v>1106</v>
      </c>
      <c r="B1367" s="15" t="s">
        <v>126</v>
      </c>
      <c r="C1367" s="16">
        <v>111</v>
      </c>
      <c r="D1367" s="16" t="s">
        <v>171</v>
      </c>
      <c r="E1367" s="17" t="s">
        <v>172</v>
      </c>
      <c r="F1367" s="24">
        <v>36</v>
      </c>
      <c r="G1367" s="19">
        <v>125</v>
      </c>
      <c r="H1367" s="19">
        <v>3</v>
      </c>
      <c r="I1367" s="19">
        <v>23</v>
      </c>
      <c r="T1367" s="20">
        <f>Registro[[#This Row],[Mes 1]]+Registro[[#This Row],[Mes 2]]+Registro[[#This Row],[Mes 3]]</f>
        <v>26</v>
      </c>
      <c r="U1367" s="20">
        <f>Registro[[#This Row],[Mes 4]]+Registro[[#This Row],[Mes 5]]+Registro[[#This Row],[Mes 6]]</f>
        <v>0</v>
      </c>
      <c r="V1367" s="20">
        <f>Registro[[#This Row],[Mes 7]]+Registro[[#This Row],[Mes 8]]+Registro[[#This Row],[Mes 9]]</f>
        <v>0</v>
      </c>
      <c r="W1367" s="20">
        <f>Registro[[#This Row],[Mes 10]]+Registro[[#This Row],[Mes 11]]+Registro[[#This Row],[Mes 12]]</f>
        <v>0</v>
      </c>
      <c r="X1367" s="20">
        <f>SUM(Registro[[#This Row],[Trim I]],Registro[[#This Row],[Trim II]],Registro[[#This Row],[Trim III]],Registro[[#This Row],[Trim IV]])</f>
        <v>26</v>
      </c>
      <c r="Y1367" s="22">
        <f>IFERROR((Registro[[#This Row],[Avance Total]]/Registro[[#This Row],[Meta]]),0)</f>
        <v>0.20799999999999999</v>
      </c>
      <c r="Z1367" s="22">
        <f>IFERROR((Registro[[#This Row],[Avance Total]]-Registro[[#This Row],[Línea Base 2025]])/Registro[[#This Row],[Línea Base 2025]],0)</f>
        <v>-0.27777777777777779</v>
      </c>
      <c r="AA1367" s="20"/>
    </row>
    <row r="1368" spans="1:27" hidden="1">
      <c r="A1368" s="14">
        <v>1106</v>
      </c>
      <c r="B1368" s="15" t="s">
        <v>126</v>
      </c>
      <c r="C1368" s="16">
        <v>112</v>
      </c>
      <c r="D1368" s="16" t="s">
        <v>173</v>
      </c>
      <c r="E1368" s="17" t="s">
        <v>7</v>
      </c>
      <c r="F1368" s="24">
        <v>11</v>
      </c>
      <c r="G1368" s="19">
        <v>68</v>
      </c>
      <c r="H1368" s="19">
        <v>0</v>
      </c>
      <c r="I1368" s="19">
        <v>0</v>
      </c>
      <c r="T1368" s="20">
        <f>Registro[[#This Row],[Mes 1]]+Registro[[#This Row],[Mes 2]]+Registro[[#This Row],[Mes 3]]</f>
        <v>0</v>
      </c>
      <c r="U1368" s="20">
        <f>Registro[[#This Row],[Mes 4]]+Registro[[#This Row],[Mes 5]]+Registro[[#This Row],[Mes 6]]</f>
        <v>0</v>
      </c>
      <c r="V1368" s="20">
        <f>Registro[[#This Row],[Mes 7]]+Registro[[#This Row],[Mes 8]]+Registro[[#This Row],[Mes 9]]</f>
        <v>0</v>
      </c>
      <c r="W1368" s="20">
        <f>Registro[[#This Row],[Mes 10]]+Registro[[#This Row],[Mes 11]]+Registro[[#This Row],[Mes 12]]</f>
        <v>0</v>
      </c>
      <c r="X1368" s="20">
        <f>SUM(Registro[[#This Row],[Trim I]],Registro[[#This Row],[Trim II]],Registro[[#This Row],[Trim III]],Registro[[#This Row],[Trim IV]])</f>
        <v>0</v>
      </c>
      <c r="Y1368" s="22">
        <f>IFERROR((Registro[[#This Row],[Avance Total]]/Registro[[#This Row],[Meta]]),0)</f>
        <v>0</v>
      </c>
      <c r="Z1368" s="22">
        <f>IFERROR((Registro[[#This Row],[Avance Total]]-Registro[[#This Row],[Línea Base 2025]])/Registro[[#This Row],[Línea Base 2025]],0)</f>
        <v>-1</v>
      </c>
      <c r="AA1368" s="20"/>
    </row>
    <row r="1369" spans="1:27" hidden="1">
      <c r="A1369" s="14">
        <v>1106</v>
      </c>
      <c r="B1369" s="15" t="s">
        <v>126</v>
      </c>
      <c r="C1369" s="16">
        <v>113</v>
      </c>
      <c r="D1369" s="16" t="s">
        <v>179</v>
      </c>
      <c r="E1369" s="17" t="s">
        <v>178</v>
      </c>
      <c r="F1369" s="24">
        <v>16</v>
      </c>
      <c r="G1369" s="19">
        <v>179</v>
      </c>
      <c r="H1369" s="19">
        <v>0</v>
      </c>
      <c r="I1369" s="19">
        <v>2</v>
      </c>
      <c r="T1369" s="20">
        <f>Registro[[#This Row],[Mes 1]]+Registro[[#This Row],[Mes 2]]+Registro[[#This Row],[Mes 3]]</f>
        <v>2</v>
      </c>
      <c r="U1369" s="20">
        <f>Registro[[#This Row],[Mes 4]]+Registro[[#This Row],[Mes 5]]+Registro[[#This Row],[Mes 6]]</f>
        <v>0</v>
      </c>
      <c r="V1369" s="20">
        <f>Registro[[#This Row],[Mes 7]]+Registro[[#This Row],[Mes 8]]+Registro[[#This Row],[Mes 9]]</f>
        <v>0</v>
      </c>
      <c r="W1369" s="20">
        <f>Registro[[#This Row],[Mes 10]]+Registro[[#This Row],[Mes 11]]+Registro[[#This Row],[Mes 12]]</f>
        <v>0</v>
      </c>
      <c r="X1369" s="20">
        <f>SUM(Registro[[#This Row],[Trim I]],Registro[[#This Row],[Trim II]],Registro[[#This Row],[Trim III]],Registro[[#This Row],[Trim IV]])</f>
        <v>2</v>
      </c>
      <c r="Y1369" s="22">
        <f>IFERROR((Registro[[#This Row],[Avance Total]]/Registro[[#This Row],[Meta]]),0)</f>
        <v>1.11731843575419E-2</v>
      </c>
      <c r="Z1369" s="22">
        <f>IFERROR((Registro[[#This Row],[Avance Total]]-Registro[[#This Row],[Línea Base 2025]])/Registro[[#This Row],[Línea Base 2025]],0)</f>
        <v>-0.875</v>
      </c>
      <c r="AA1369" s="20"/>
    </row>
    <row r="1370" spans="1:27" hidden="1">
      <c r="A1370" s="14">
        <v>1106</v>
      </c>
      <c r="B1370" s="15" t="s">
        <v>126</v>
      </c>
      <c r="C1370" s="16">
        <v>114</v>
      </c>
      <c r="D1370" s="16" t="s">
        <v>181</v>
      </c>
      <c r="E1370" s="17" t="s">
        <v>180</v>
      </c>
      <c r="F1370" s="24">
        <v>6</v>
      </c>
      <c r="G1370" s="19">
        <v>31</v>
      </c>
      <c r="H1370" s="19">
        <v>14</v>
      </c>
      <c r="I1370" s="19">
        <v>0</v>
      </c>
      <c r="T1370" s="20">
        <f>Registro[[#This Row],[Mes 1]]+Registro[[#This Row],[Mes 2]]+Registro[[#This Row],[Mes 3]]</f>
        <v>14</v>
      </c>
      <c r="U1370" s="20">
        <f>Registro[[#This Row],[Mes 4]]+Registro[[#This Row],[Mes 5]]+Registro[[#This Row],[Mes 6]]</f>
        <v>0</v>
      </c>
      <c r="V1370" s="20">
        <f>Registro[[#This Row],[Mes 7]]+Registro[[#This Row],[Mes 8]]+Registro[[#This Row],[Mes 9]]</f>
        <v>0</v>
      </c>
      <c r="W1370" s="20">
        <f>Registro[[#This Row],[Mes 10]]+Registro[[#This Row],[Mes 11]]+Registro[[#This Row],[Mes 12]]</f>
        <v>0</v>
      </c>
      <c r="X1370" s="20">
        <f>SUM(Registro[[#This Row],[Trim I]],Registro[[#This Row],[Trim II]],Registro[[#This Row],[Trim III]],Registro[[#This Row],[Trim IV]])</f>
        <v>14</v>
      </c>
      <c r="Y1370" s="22">
        <f>IFERROR((Registro[[#This Row],[Avance Total]]/Registro[[#This Row],[Meta]]),0)</f>
        <v>0.45161290322580644</v>
      </c>
      <c r="Z1370" s="22">
        <f>IFERROR((Registro[[#This Row],[Avance Total]]-Registro[[#This Row],[Línea Base 2025]])/Registro[[#This Row],[Línea Base 2025]],0)</f>
        <v>1.3333333333333333</v>
      </c>
      <c r="AA1370" s="20"/>
    </row>
    <row r="1371" spans="1:27" hidden="1">
      <c r="A1371" s="14">
        <v>1106</v>
      </c>
      <c r="B1371" s="15" t="s">
        <v>126</v>
      </c>
      <c r="C1371" s="16">
        <v>115</v>
      </c>
      <c r="D1371" s="16" t="s">
        <v>183</v>
      </c>
      <c r="E1371" s="17" t="s">
        <v>182</v>
      </c>
      <c r="F1371" s="24">
        <v>0</v>
      </c>
      <c r="G1371" s="19">
        <v>18</v>
      </c>
      <c r="H1371" s="19">
        <v>0</v>
      </c>
      <c r="I1371" s="19">
        <v>11</v>
      </c>
      <c r="T1371" s="20">
        <f>Registro[[#This Row],[Mes 1]]+Registro[[#This Row],[Mes 2]]+Registro[[#This Row],[Mes 3]]</f>
        <v>11</v>
      </c>
      <c r="U1371" s="20">
        <f>Registro[[#This Row],[Mes 4]]+Registro[[#This Row],[Mes 5]]+Registro[[#This Row],[Mes 6]]</f>
        <v>0</v>
      </c>
      <c r="V1371" s="20">
        <f>Registro[[#This Row],[Mes 7]]+Registro[[#This Row],[Mes 8]]+Registro[[#This Row],[Mes 9]]</f>
        <v>0</v>
      </c>
      <c r="W1371" s="20">
        <f>Registro[[#This Row],[Mes 10]]+Registro[[#This Row],[Mes 11]]+Registro[[#This Row],[Mes 12]]</f>
        <v>0</v>
      </c>
      <c r="X1371" s="20">
        <f>SUM(Registro[[#This Row],[Trim I]],Registro[[#This Row],[Trim II]],Registro[[#This Row],[Trim III]],Registro[[#This Row],[Trim IV]])</f>
        <v>11</v>
      </c>
      <c r="Y1371" s="22">
        <f>IFERROR((Registro[[#This Row],[Avance Total]]/Registro[[#This Row],[Meta]]),0)</f>
        <v>0.61111111111111116</v>
      </c>
      <c r="Z1371" s="22">
        <f>IFERROR((Registro[[#This Row],[Avance Total]]-Registro[[#This Row],[Línea Base 2025]])/Registro[[#This Row],[Línea Base 2025]],0)</f>
        <v>0</v>
      </c>
      <c r="AA1371" s="20"/>
    </row>
    <row r="1372" spans="1:27">
      <c r="A1372" s="14">
        <v>1106</v>
      </c>
      <c r="B1372" s="15" t="s">
        <v>126</v>
      </c>
      <c r="C1372" s="16">
        <v>116</v>
      </c>
      <c r="D1372" s="16" t="s">
        <v>185</v>
      </c>
      <c r="E1372" s="17" t="s">
        <v>184</v>
      </c>
      <c r="F1372" s="24">
        <v>0</v>
      </c>
      <c r="G1372" s="19">
        <v>1</v>
      </c>
      <c r="H1372" s="19">
        <v>0</v>
      </c>
      <c r="I1372" s="19">
        <v>0</v>
      </c>
      <c r="T1372" s="20">
        <f>Registro[[#This Row],[Mes 1]]+Registro[[#This Row],[Mes 2]]+Registro[[#This Row],[Mes 3]]</f>
        <v>0</v>
      </c>
      <c r="U1372" s="20">
        <f>Registro[[#This Row],[Mes 4]]+Registro[[#This Row],[Mes 5]]+Registro[[#This Row],[Mes 6]]</f>
        <v>0</v>
      </c>
      <c r="V1372" s="20">
        <f>Registro[[#This Row],[Mes 7]]+Registro[[#This Row],[Mes 8]]+Registro[[#This Row],[Mes 9]]</f>
        <v>0</v>
      </c>
      <c r="W1372" s="20">
        <f>Registro[[#This Row],[Mes 10]]+Registro[[#This Row],[Mes 11]]+Registro[[#This Row],[Mes 12]]</f>
        <v>0</v>
      </c>
      <c r="X1372" s="20">
        <f>SUM(Registro[[#This Row],[Trim I]],Registro[[#This Row],[Trim II]],Registro[[#This Row],[Trim III]],Registro[[#This Row],[Trim IV]])</f>
        <v>0</v>
      </c>
      <c r="Y1372" s="22">
        <f>IFERROR((Registro[[#This Row],[Avance Total]]/Registro[[#This Row],[Meta]]),0)</f>
        <v>0</v>
      </c>
      <c r="Z1372" s="22">
        <f>IFERROR((Registro[[#This Row],[Avance Total]]-Registro[[#This Row],[Línea Base 2025]])/Registro[[#This Row],[Línea Base 2025]],0)</f>
        <v>0</v>
      </c>
      <c r="AA1372" s="20"/>
    </row>
    <row r="1373" spans="1:27" hidden="1">
      <c r="A1373" s="14">
        <v>1106</v>
      </c>
      <c r="B1373" s="15" t="s">
        <v>126</v>
      </c>
      <c r="C1373" s="16">
        <v>117</v>
      </c>
      <c r="D1373" s="16" t="s">
        <v>187</v>
      </c>
      <c r="E1373" s="17" t="s">
        <v>186</v>
      </c>
      <c r="F1373" s="24">
        <v>0</v>
      </c>
      <c r="G1373" s="19">
        <v>3</v>
      </c>
      <c r="H1373" s="19">
        <v>0</v>
      </c>
      <c r="I1373" s="19">
        <v>0</v>
      </c>
      <c r="T1373" s="20">
        <f>Registro[[#This Row],[Mes 1]]+Registro[[#This Row],[Mes 2]]+Registro[[#This Row],[Mes 3]]</f>
        <v>0</v>
      </c>
      <c r="U1373" s="20">
        <f>Registro[[#This Row],[Mes 4]]+Registro[[#This Row],[Mes 5]]+Registro[[#This Row],[Mes 6]]</f>
        <v>0</v>
      </c>
      <c r="V1373" s="20">
        <f>Registro[[#This Row],[Mes 7]]+Registro[[#This Row],[Mes 8]]+Registro[[#This Row],[Mes 9]]</f>
        <v>0</v>
      </c>
      <c r="W1373" s="20">
        <f>Registro[[#This Row],[Mes 10]]+Registro[[#This Row],[Mes 11]]+Registro[[#This Row],[Mes 12]]</f>
        <v>0</v>
      </c>
      <c r="X1373" s="20">
        <f>SUM(Registro[[#This Row],[Trim I]],Registro[[#This Row],[Trim II]],Registro[[#This Row],[Trim III]],Registro[[#This Row],[Trim IV]])</f>
        <v>0</v>
      </c>
      <c r="Y1373" s="22">
        <f>IFERROR((Registro[[#This Row],[Avance Total]]/Registro[[#This Row],[Meta]]),0)</f>
        <v>0</v>
      </c>
      <c r="Z1373" s="22">
        <f>IFERROR((Registro[[#This Row],[Avance Total]]-Registro[[#This Row],[Línea Base 2025]])/Registro[[#This Row],[Línea Base 2025]],0)</f>
        <v>0</v>
      </c>
      <c r="AA1373" s="20"/>
    </row>
    <row r="1374" spans="1:27" hidden="1">
      <c r="A1374" s="14">
        <v>1106</v>
      </c>
      <c r="B1374" s="15" t="s">
        <v>126</v>
      </c>
      <c r="C1374" s="16">
        <v>118</v>
      </c>
      <c r="D1374" s="16" t="s">
        <v>188</v>
      </c>
      <c r="E1374" s="17" t="s">
        <v>9</v>
      </c>
      <c r="F1374" s="24">
        <v>0</v>
      </c>
      <c r="G1374" s="19">
        <v>3</v>
      </c>
      <c r="H1374" s="19">
        <v>0</v>
      </c>
      <c r="I1374" s="19">
        <v>0</v>
      </c>
      <c r="T1374" s="20">
        <f>Registro[[#This Row],[Mes 1]]+Registro[[#This Row],[Mes 2]]+Registro[[#This Row],[Mes 3]]</f>
        <v>0</v>
      </c>
      <c r="U1374" s="20">
        <f>Registro[[#This Row],[Mes 4]]+Registro[[#This Row],[Mes 5]]+Registro[[#This Row],[Mes 6]]</f>
        <v>0</v>
      </c>
      <c r="V1374" s="20">
        <f>Registro[[#This Row],[Mes 7]]+Registro[[#This Row],[Mes 8]]+Registro[[#This Row],[Mes 9]]</f>
        <v>0</v>
      </c>
      <c r="W1374" s="20">
        <f>Registro[[#This Row],[Mes 10]]+Registro[[#This Row],[Mes 11]]+Registro[[#This Row],[Mes 12]]</f>
        <v>0</v>
      </c>
      <c r="X1374" s="20">
        <f>SUM(Registro[[#This Row],[Trim I]],Registro[[#This Row],[Trim II]],Registro[[#This Row],[Trim III]],Registro[[#This Row],[Trim IV]])</f>
        <v>0</v>
      </c>
      <c r="Y1374" s="22">
        <f>IFERROR((Registro[[#This Row],[Avance Total]]/Registro[[#This Row],[Meta]]),0)</f>
        <v>0</v>
      </c>
      <c r="Z1374" s="22">
        <f>IFERROR((Registro[[#This Row],[Avance Total]]-Registro[[#This Row],[Línea Base 2025]])/Registro[[#This Row],[Línea Base 2025]],0)</f>
        <v>0</v>
      </c>
      <c r="AA1374" s="20"/>
    </row>
    <row r="1375" spans="1:27" hidden="1">
      <c r="A1375" s="14">
        <v>1106</v>
      </c>
      <c r="B1375" s="15" t="s">
        <v>126</v>
      </c>
      <c r="C1375" s="16">
        <v>119</v>
      </c>
      <c r="D1375" s="16" t="s">
        <v>190</v>
      </c>
      <c r="E1375" s="17" t="s">
        <v>189</v>
      </c>
      <c r="F1375" s="24">
        <v>0</v>
      </c>
      <c r="G1375" s="19">
        <v>1</v>
      </c>
      <c r="H1375" s="19">
        <v>0</v>
      </c>
      <c r="I1375" s="19">
        <v>0</v>
      </c>
      <c r="T1375" s="20">
        <f>Registro[[#This Row],[Mes 1]]+Registro[[#This Row],[Mes 2]]+Registro[[#This Row],[Mes 3]]</f>
        <v>0</v>
      </c>
      <c r="U1375" s="20">
        <f>Registro[[#This Row],[Mes 4]]+Registro[[#This Row],[Mes 5]]+Registro[[#This Row],[Mes 6]]</f>
        <v>0</v>
      </c>
      <c r="V1375" s="20">
        <f>Registro[[#This Row],[Mes 7]]+Registro[[#This Row],[Mes 8]]+Registro[[#This Row],[Mes 9]]</f>
        <v>0</v>
      </c>
      <c r="W1375" s="20">
        <f>Registro[[#This Row],[Mes 10]]+Registro[[#This Row],[Mes 11]]+Registro[[#This Row],[Mes 12]]</f>
        <v>0</v>
      </c>
      <c r="X1375" s="20">
        <f>SUM(Registro[[#This Row],[Trim I]],Registro[[#This Row],[Trim II]],Registro[[#This Row],[Trim III]],Registro[[#This Row],[Trim IV]])</f>
        <v>0</v>
      </c>
      <c r="Y1375" s="22">
        <f>IFERROR((Registro[[#This Row],[Avance Total]]/Registro[[#This Row],[Meta]]),0)</f>
        <v>0</v>
      </c>
      <c r="Z1375" s="22">
        <f>IFERROR((Registro[[#This Row],[Avance Total]]-Registro[[#This Row],[Línea Base 2025]])/Registro[[#This Row],[Línea Base 2025]],0)</f>
        <v>0</v>
      </c>
      <c r="AA1375" s="20"/>
    </row>
    <row r="1376" spans="1:27" hidden="1">
      <c r="A1376" s="14">
        <v>1106</v>
      </c>
      <c r="B1376" s="15" t="s">
        <v>126</v>
      </c>
      <c r="C1376" s="16">
        <v>120</v>
      </c>
      <c r="D1376" s="16" t="s">
        <v>192</v>
      </c>
      <c r="E1376" s="17" t="s">
        <v>191</v>
      </c>
      <c r="F1376" s="24">
        <v>0</v>
      </c>
      <c r="G1376" s="19">
        <v>20</v>
      </c>
      <c r="H1376" s="19">
        <v>0</v>
      </c>
      <c r="I1376" s="19">
        <v>15</v>
      </c>
      <c r="T1376" s="20">
        <f>Registro[[#This Row],[Mes 1]]+Registro[[#This Row],[Mes 2]]+Registro[[#This Row],[Mes 3]]</f>
        <v>15</v>
      </c>
      <c r="U1376" s="20">
        <f>Registro[[#This Row],[Mes 4]]+Registro[[#This Row],[Mes 5]]+Registro[[#This Row],[Mes 6]]</f>
        <v>0</v>
      </c>
      <c r="V1376" s="20">
        <f>Registro[[#This Row],[Mes 7]]+Registro[[#This Row],[Mes 8]]+Registro[[#This Row],[Mes 9]]</f>
        <v>0</v>
      </c>
      <c r="W1376" s="20">
        <f>Registro[[#This Row],[Mes 10]]+Registro[[#This Row],[Mes 11]]+Registro[[#This Row],[Mes 12]]</f>
        <v>0</v>
      </c>
      <c r="X1376" s="20">
        <f>SUM(Registro[[#This Row],[Trim I]],Registro[[#This Row],[Trim II]],Registro[[#This Row],[Trim III]],Registro[[#This Row],[Trim IV]])</f>
        <v>15</v>
      </c>
      <c r="Y1376" s="22">
        <f>IFERROR((Registro[[#This Row],[Avance Total]]/Registro[[#This Row],[Meta]]),0)</f>
        <v>0.75</v>
      </c>
      <c r="Z1376" s="22">
        <f>IFERROR((Registro[[#This Row],[Avance Total]]-Registro[[#This Row],[Línea Base 2025]])/Registro[[#This Row],[Línea Base 2025]],0)</f>
        <v>0</v>
      </c>
      <c r="AA1376" s="20"/>
    </row>
    <row r="1377" spans="1:27" hidden="1">
      <c r="A1377" s="14">
        <v>1106</v>
      </c>
      <c r="B1377" s="15" t="s">
        <v>126</v>
      </c>
      <c r="C1377" s="16">
        <v>121</v>
      </c>
      <c r="D1377" s="16" t="s">
        <v>194</v>
      </c>
      <c r="E1377" s="17" t="s">
        <v>193</v>
      </c>
      <c r="F1377" s="24">
        <v>9</v>
      </c>
      <c r="G1377" s="19">
        <v>3</v>
      </c>
      <c r="H1377" s="19">
        <v>0</v>
      </c>
      <c r="I1377" s="19">
        <v>0</v>
      </c>
      <c r="T1377" s="20">
        <f>Registro[[#This Row],[Mes 1]]+Registro[[#This Row],[Mes 2]]+Registro[[#This Row],[Mes 3]]</f>
        <v>0</v>
      </c>
      <c r="U1377" s="20">
        <f>Registro[[#This Row],[Mes 4]]+Registro[[#This Row],[Mes 5]]+Registro[[#This Row],[Mes 6]]</f>
        <v>0</v>
      </c>
      <c r="V1377" s="20">
        <f>Registro[[#This Row],[Mes 7]]+Registro[[#This Row],[Mes 8]]+Registro[[#This Row],[Mes 9]]</f>
        <v>0</v>
      </c>
      <c r="W1377" s="20">
        <f>Registro[[#This Row],[Mes 10]]+Registro[[#This Row],[Mes 11]]+Registro[[#This Row],[Mes 12]]</f>
        <v>0</v>
      </c>
      <c r="X1377" s="20">
        <f>SUM(Registro[[#This Row],[Trim I]],Registro[[#This Row],[Trim II]],Registro[[#This Row],[Trim III]],Registro[[#This Row],[Trim IV]])</f>
        <v>0</v>
      </c>
      <c r="Y1377" s="22">
        <f>IFERROR((Registro[[#This Row],[Avance Total]]/Registro[[#This Row],[Meta]]),0)</f>
        <v>0</v>
      </c>
      <c r="Z1377" s="22">
        <f>IFERROR((Registro[[#This Row],[Avance Total]]-Registro[[#This Row],[Línea Base 2025]])/Registro[[#This Row],[Línea Base 2025]],0)</f>
        <v>-1</v>
      </c>
      <c r="AA1377" s="20"/>
    </row>
    <row r="1378" spans="1:27" hidden="1">
      <c r="A1378" s="14">
        <v>1106</v>
      </c>
      <c r="B1378" s="15" t="s">
        <v>126</v>
      </c>
      <c r="C1378" s="16">
        <v>122</v>
      </c>
      <c r="D1378" s="16" t="s">
        <v>196</v>
      </c>
      <c r="E1378" s="17" t="s">
        <v>195</v>
      </c>
      <c r="F1378" s="24">
        <v>3</v>
      </c>
      <c r="G1378" s="19">
        <v>3</v>
      </c>
      <c r="H1378" s="19">
        <v>0</v>
      </c>
      <c r="I1378" s="19">
        <v>0</v>
      </c>
      <c r="T1378" s="20">
        <f>Registro[[#This Row],[Mes 1]]+Registro[[#This Row],[Mes 2]]+Registro[[#This Row],[Mes 3]]</f>
        <v>0</v>
      </c>
      <c r="U1378" s="20">
        <f>Registro[[#This Row],[Mes 4]]+Registro[[#This Row],[Mes 5]]+Registro[[#This Row],[Mes 6]]</f>
        <v>0</v>
      </c>
      <c r="V1378" s="20">
        <f>Registro[[#This Row],[Mes 7]]+Registro[[#This Row],[Mes 8]]+Registro[[#This Row],[Mes 9]]</f>
        <v>0</v>
      </c>
      <c r="W1378" s="20">
        <f>Registro[[#This Row],[Mes 10]]+Registro[[#This Row],[Mes 11]]+Registro[[#This Row],[Mes 12]]</f>
        <v>0</v>
      </c>
      <c r="X1378" s="20">
        <f>SUM(Registro[[#This Row],[Trim I]],Registro[[#This Row],[Trim II]],Registro[[#This Row],[Trim III]],Registro[[#This Row],[Trim IV]])</f>
        <v>0</v>
      </c>
      <c r="Y1378" s="22">
        <f>IFERROR((Registro[[#This Row],[Avance Total]]/Registro[[#This Row],[Meta]]),0)</f>
        <v>0</v>
      </c>
      <c r="Z1378" s="22">
        <f>IFERROR((Registro[[#This Row],[Avance Total]]-Registro[[#This Row],[Línea Base 2025]])/Registro[[#This Row],[Línea Base 2025]],0)</f>
        <v>-1</v>
      </c>
      <c r="AA1378" s="20"/>
    </row>
    <row r="1379" spans="1:27" hidden="1">
      <c r="A1379" s="14">
        <v>1106</v>
      </c>
      <c r="B1379" s="15" t="s">
        <v>126</v>
      </c>
      <c r="C1379" s="26">
        <v>123</v>
      </c>
      <c r="D1379" s="26" t="s">
        <v>198</v>
      </c>
      <c r="E1379" s="17" t="s">
        <v>197</v>
      </c>
      <c r="F1379" s="32">
        <v>0</v>
      </c>
      <c r="G1379" s="28">
        <v>1</v>
      </c>
      <c r="H1379" s="28">
        <v>0</v>
      </c>
      <c r="I1379" s="28">
        <v>0</v>
      </c>
      <c r="J1379" s="27"/>
      <c r="K1379" s="27"/>
      <c r="L1379" s="27"/>
      <c r="M1379" s="27"/>
      <c r="N1379" s="27"/>
      <c r="O1379" s="27"/>
      <c r="P1379" s="27"/>
      <c r="Q1379" s="27"/>
      <c r="R1379" s="27"/>
      <c r="S1379" s="27"/>
      <c r="T1379" s="29">
        <f>Registro[[#This Row],[Mes 1]]+Registro[[#This Row],[Mes 2]]+Registro[[#This Row],[Mes 3]]</f>
        <v>0</v>
      </c>
      <c r="U1379" s="29">
        <f>Registro[[#This Row],[Mes 4]]+Registro[[#This Row],[Mes 5]]+Registro[[#This Row],[Mes 6]]</f>
        <v>0</v>
      </c>
      <c r="V1379" s="29">
        <f>Registro[[#This Row],[Mes 7]]+Registro[[#This Row],[Mes 8]]+Registro[[#This Row],[Mes 9]]</f>
        <v>0</v>
      </c>
      <c r="W1379" s="29">
        <f>Registro[[#This Row],[Mes 10]]+Registro[[#This Row],[Mes 11]]+Registro[[#This Row],[Mes 12]]</f>
        <v>0</v>
      </c>
      <c r="X1379" s="29">
        <f>SUM(Registro[[#This Row],[Trim I]],Registro[[#This Row],[Trim II]],Registro[[#This Row],[Trim III]],Registro[[#This Row],[Trim IV]])</f>
        <v>0</v>
      </c>
      <c r="Y1379" s="30">
        <f>IFERROR((Registro[[#This Row],[Avance Total]]/Registro[[#This Row],[Meta]]),0)</f>
        <v>0</v>
      </c>
      <c r="Z1379" s="30">
        <f>IFERROR((Registro[[#This Row],[Avance Total]]-Registro[[#This Row],[Línea Base 2025]])/Registro[[#This Row],[Línea Base 2025]],0)</f>
        <v>0</v>
      </c>
      <c r="AA1379" s="29"/>
    </row>
    <row r="1380" spans="1:27" hidden="1">
      <c r="A1380" s="14">
        <v>1107</v>
      </c>
      <c r="B1380" s="15" t="s">
        <v>13</v>
      </c>
      <c r="C1380" s="16">
        <v>111</v>
      </c>
      <c r="D1380" s="16" t="s">
        <v>171</v>
      </c>
      <c r="E1380" s="17" t="s">
        <v>172</v>
      </c>
      <c r="F1380" s="24">
        <v>3</v>
      </c>
      <c r="G1380" s="19">
        <v>120</v>
      </c>
      <c r="H1380" s="19">
        <v>0</v>
      </c>
      <c r="I1380" s="19">
        <v>3</v>
      </c>
      <c r="T1380" s="20">
        <f>Registro[[#This Row],[Mes 1]]+Registro[[#This Row],[Mes 2]]+Registro[[#This Row],[Mes 3]]</f>
        <v>3</v>
      </c>
      <c r="U1380" s="20">
        <f>Registro[[#This Row],[Mes 4]]+Registro[[#This Row],[Mes 5]]+Registro[[#This Row],[Mes 6]]</f>
        <v>0</v>
      </c>
      <c r="V1380" s="20">
        <f>Registro[[#This Row],[Mes 7]]+Registro[[#This Row],[Mes 8]]+Registro[[#This Row],[Mes 9]]</f>
        <v>0</v>
      </c>
      <c r="W1380" s="20">
        <f>Registro[[#This Row],[Mes 10]]+Registro[[#This Row],[Mes 11]]+Registro[[#This Row],[Mes 12]]</f>
        <v>0</v>
      </c>
      <c r="X1380" s="20">
        <f>SUM(Registro[[#This Row],[Trim I]],Registro[[#This Row],[Trim II]],Registro[[#This Row],[Trim III]],Registro[[#This Row],[Trim IV]])</f>
        <v>3</v>
      </c>
      <c r="Y1380" s="22">
        <f>IFERROR((Registro[[#This Row],[Avance Total]]/Registro[[#This Row],[Meta]]),0)</f>
        <v>2.5000000000000001E-2</v>
      </c>
      <c r="Z1380" s="22">
        <f>IFERROR((Registro[[#This Row],[Avance Total]]-Registro[[#This Row],[Línea Base 2025]])/Registro[[#This Row],[Línea Base 2025]],0)</f>
        <v>0</v>
      </c>
      <c r="AA1380" s="20"/>
    </row>
    <row r="1381" spans="1:27" hidden="1">
      <c r="A1381" s="14">
        <v>1107</v>
      </c>
      <c r="B1381" s="15" t="s">
        <v>13</v>
      </c>
      <c r="C1381" s="16">
        <v>112</v>
      </c>
      <c r="D1381" s="16" t="s">
        <v>173</v>
      </c>
      <c r="E1381" s="17" t="s">
        <v>7</v>
      </c>
      <c r="F1381" s="24">
        <v>0</v>
      </c>
      <c r="G1381" s="19">
        <v>0</v>
      </c>
      <c r="H1381" s="19">
        <v>0</v>
      </c>
      <c r="I1381" s="19">
        <v>0</v>
      </c>
      <c r="T1381" s="20">
        <f>Registro[[#This Row],[Mes 1]]+Registro[[#This Row],[Mes 2]]+Registro[[#This Row],[Mes 3]]</f>
        <v>0</v>
      </c>
      <c r="U1381" s="20">
        <f>Registro[[#This Row],[Mes 4]]+Registro[[#This Row],[Mes 5]]+Registro[[#This Row],[Mes 6]]</f>
        <v>0</v>
      </c>
      <c r="V1381" s="20">
        <f>Registro[[#This Row],[Mes 7]]+Registro[[#This Row],[Mes 8]]+Registro[[#This Row],[Mes 9]]</f>
        <v>0</v>
      </c>
      <c r="W1381" s="20">
        <f>Registro[[#This Row],[Mes 10]]+Registro[[#This Row],[Mes 11]]+Registro[[#This Row],[Mes 12]]</f>
        <v>0</v>
      </c>
      <c r="X1381" s="20">
        <f>SUM(Registro[[#This Row],[Trim I]],Registro[[#This Row],[Trim II]],Registro[[#This Row],[Trim III]],Registro[[#This Row],[Trim IV]])</f>
        <v>0</v>
      </c>
      <c r="Y1381" s="22">
        <f>IFERROR((Registro[[#This Row],[Avance Total]]/Registro[[#This Row],[Meta]]),0)</f>
        <v>0</v>
      </c>
      <c r="Z1381" s="22">
        <f>IFERROR((Registro[[#This Row],[Avance Total]]-Registro[[#This Row],[Línea Base 2025]])/Registro[[#This Row],[Línea Base 2025]],0)</f>
        <v>0</v>
      </c>
      <c r="AA1381" s="20"/>
    </row>
    <row r="1382" spans="1:27" hidden="1">
      <c r="A1382" s="14">
        <v>1107</v>
      </c>
      <c r="B1382" s="15" t="s">
        <v>13</v>
      </c>
      <c r="C1382" s="16">
        <v>113</v>
      </c>
      <c r="D1382" s="16" t="s">
        <v>179</v>
      </c>
      <c r="E1382" s="17" t="s">
        <v>178</v>
      </c>
      <c r="F1382" s="24">
        <v>7</v>
      </c>
      <c r="G1382" s="19">
        <v>70</v>
      </c>
      <c r="H1382" s="19">
        <v>0</v>
      </c>
      <c r="I1382" s="19">
        <v>0</v>
      </c>
      <c r="T1382" s="20">
        <f>Registro[[#This Row],[Mes 1]]+Registro[[#This Row],[Mes 2]]+Registro[[#This Row],[Mes 3]]</f>
        <v>0</v>
      </c>
      <c r="U1382" s="20">
        <f>Registro[[#This Row],[Mes 4]]+Registro[[#This Row],[Mes 5]]+Registro[[#This Row],[Mes 6]]</f>
        <v>0</v>
      </c>
      <c r="V1382" s="20">
        <f>Registro[[#This Row],[Mes 7]]+Registro[[#This Row],[Mes 8]]+Registro[[#This Row],[Mes 9]]</f>
        <v>0</v>
      </c>
      <c r="W1382" s="20">
        <f>Registro[[#This Row],[Mes 10]]+Registro[[#This Row],[Mes 11]]+Registro[[#This Row],[Mes 12]]</f>
        <v>0</v>
      </c>
      <c r="X1382" s="20">
        <f>SUM(Registro[[#This Row],[Trim I]],Registro[[#This Row],[Trim II]],Registro[[#This Row],[Trim III]],Registro[[#This Row],[Trim IV]])</f>
        <v>0</v>
      </c>
      <c r="Y1382" s="22">
        <f>IFERROR((Registro[[#This Row],[Avance Total]]/Registro[[#This Row],[Meta]]),0)</f>
        <v>0</v>
      </c>
      <c r="Z1382" s="22">
        <f>IFERROR((Registro[[#This Row],[Avance Total]]-Registro[[#This Row],[Línea Base 2025]])/Registro[[#This Row],[Línea Base 2025]],0)</f>
        <v>-1</v>
      </c>
      <c r="AA1382" s="20"/>
    </row>
    <row r="1383" spans="1:27" hidden="1">
      <c r="A1383" s="14">
        <v>1107</v>
      </c>
      <c r="B1383" s="15" t="s">
        <v>13</v>
      </c>
      <c r="C1383" s="16">
        <v>114</v>
      </c>
      <c r="D1383" s="16" t="s">
        <v>181</v>
      </c>
      <c r="E1383" s="17" t="s">
        <v>180</v>
      </c>
      <c r="F1383" s="24">
        <v>0</v>
      </c>
      <c r="G1383" s="19">
        <v>0</v>
      </c>
      <c r="H1383" s="19">
        <v>0</v>
      </c>
      <c r="I1383" s="19">
        <v>0</v>
      </c>
      <c r="T1383" s="20">
        <f>Registro[[#This Row],[Mes 1]]+Registro[[#This Row],[Mes 2]]+Registro[[#This Row],[Mes 3]]</f>
        <v>0</v>
      </c>
      <c r="U1383" s="20">
        <f>Registro[[#This Row],[Mes 4]]+Registro[[#This Row],[Mes 5]]+Registro[[#This Row],[Mes 6]]</f>
        <v>0</v>
      </c>
      <c r="V1383" s="20">
        <f>Registro[[#This Row],[Mes 7]]+Registro[[#This Row],[Mes 8]]+Registro[[#This Row],[Mes 9]]</f>
        <v>0</v>
      </c>
      <c r="W1383" s="20">
        <f>Registro[[#This Row],[Mes 10]]+Registro[[#This Row],[Mes 11]]+Registro[[#This Row],[Mes 12]]</f>
        <v>0</v>
      </c>
      <c r="X1383" s="20">
        <f>SUM(Registro[[#This Row],[Trim I]],Registro[[#This Row],[Trim II]],Registro[[#This Row],[Trim III]],Registro[[#This Row],[Trim IV]])</f>
        <v>0</v>
      </c>
      <c r="Y1383" s="22">
        <f>IFERROR((Registro[[#This Row],[Avance Total]]/Registro[[#This Row],[Meta]]),0)</f>
        <v>0</v>
      </c>
      <c r="Z1383" s="22">
        <f>IFERROR((Registro[[#This Row],[Avance Total]]-Registro[[#This Row],[Línea Base 2025]])/Registro[[#This Row],[Línea Base 2025]],0)</f>
        <v>0</v>
      </c>
      <c r="AA1383" s="20"/>
    </row>
    <row r="1384" spans="1:27" hidden="1">
      <c r="A1384" s="14">
        <v>1107</v>
      </c>
      <c r="B1384" s="15" t="s">
        <v>13</v>
      </c>
      <c r="C1384" s="16">
        <v>115</v>
      </c>
      <c r="D1384" s="16" t="s">
        <v>183</v>
      </c>
      <c r="E1384" s="17" t="s">
        <v>182</v>
      </c>
      <c r="F1384" s="24">
        <v>0</v>
      </c>
      <c r="G1384" s="19">
        <v>0</v>
      </c>
      <c r="H1384" s="19">
        <v>0</v>
      </c>
      <c r="I1384" s="19">
        <v>0</v>
      </c>
      <c r="T1384" s="20">
        <f>Registro[[#This Row],[Mes 1]]+Registro[[#This Row],[Mes 2]]+Registro[[#This Row],[Mes 3]]</f>
        <v>0</v>
      </c>
      <c r="U1384" s="20">
        <f>Registro[[#This Row],[Mes 4]]+Registro[[#This Row],[Mes 5]]+Registro[[#This Row],[Mes 6]]</f>
        <v>0</v>
      </c>
      <c r="V1384" s="20">
        <f>Registro[[#This Row],[Mes 7]]+Registro[[#This Row],[Mes 8]]+Registro[[#This Row],[Mes 9]]</f>
        <v>0</v>
      </c>
      <c r="W1384" s="20">
        <f>Registro[[#This Row],[Mes 10]]+Registro[[#This Row],[Mes 11]]+Registro[[#This Row],[Mes 12]]</f>
        <v>0</v>
      </c>
      <c r="X1384" s="20">
        <f>SUM(Registro[[#This Row],[Trim I]],Registro[[#This Row],[Trim II]],Registro[[#This Row],[Trim III]],Registro[[#This Row],[Trim IV]])</f>
        <v>0</v>
      </c>
      <c r="Y1384" s="22">
        <f>IFERROR((Registro[[#This Row],[Avance Total]]/Registro[[#This Row],[Meta]]),0)</f>
        <v>0</v>
      </c>
      <c r="Z1384" s="22">
        <f>IFERROR((Registro[[#This Row],[Avance Total]]-Registro[[#This Row],[Línea Base 2025]])/Registro[[#This Row],[Línea Base 2025]],0)</f>
        <v>0</v>
      </c>
      <c r="AA1384" s="20"/>
    </row>
    <row r="1385" spans="1:27">
      <c r="A1385" s="14">
        <v>1107</v>
      </c>
      <c r="B1385" s="15" t="s">
        <v>13</v>
      </c>
      <c r="C1385" s="16">
        <v>116</v>
      </c>
      <c r="D1385" s="16" t="s">
        <v>185</v>
      </c>
      <c r="E1385" s="17" t="s">
        <v>184</v>
      </c>
      <c r="F1385" s="24">
        <v>0</v>
      </c>
      <c r="G1385" s="19">
        <v>0</v>
      </c>
      <c r="H1385" s="19">
        <v>0</v>
      </c>
      <c r="I1385" s="19">
        <v>0</v>
      </c>
      <c r="T1385" s="20">
        <f>Registro[[#This Row],[Mes 1]]+Registro[[#This Row],[Mes 2]]+Registro[[#This Row],[Mes 3]]</f>
        <v>0</v>
      </c>
      <c r="U1385" s="20">
        <f>Registro[[#This Row],[Mes 4]]+Registro[[#This Row],[Mes 5]]+Registro[[#This Row],[Mes 6]]</f>
        <v>0</v>
      </c>
      <c r="V1385" s="20">
        <f>Registro[[#This Row],[Mes 7]]+Registro[[#This Row],[Mes 8]]+Registro[[#This Row],[Mes 9]]</f>
        <v>0</v>
      </c>
      <c r="W1385" s="20">
        <f>Registro[[#This Row],[Mes 10]]+Registro[[#This Row],[Mes 11]]+Registro[[#This Row],[Mes 12]]</f>
        <v>0</v>
      </c>
      <c r="X1385" s="20">
        <f>SUM(Registro[[#This Row],[Trim I]],Registro[[#This Row],[Trim II]],Registro[[#This Row],[Trim III]],Registro[[#This Row],[Trim IV]])</f>
        <v>0</v>
      </c>
      <c r="Y1385" s="22">
        <f>IFERROR((Registro[[#This Row],[Avance Total]]/Registro[[#This Row],[Meta]]),0)</f>
        <v>0</v>
      </c>
      <c r="Z1385" s="22">
        <f>IFERROR((Registro[[#This Row],[Avance Total]]-Registro[[#This Row],[Línea Base 2025]])/Registro[[#This Row],[Línea Base 2025]],0)</f>
        <v>0</v>
      </c>
      <c r="AA1385" s="20"/>
    </row>
    <row r="1386" spans="1:27" hidden="1">
      <c r="A1386" s="14">
        <v>1107</v>
      </c>
      <c r="B1386" s="15" t="s">
        <v>13</v>
      </c>
      <c r="C1386" s="16">
        <v>117</v>
      </c>
      <c r="D1386" s="16" t="s">
        <v>187</v>
      </c>
      <c r="E1386" s="17" t="s">
        <v>186</v>
      </c>
      <c r="F1386" s="24">
        <v>1</v>
      </c>
      <c r="G1386" s="19">
        <v>0</v>
      </c>
      <c r="H1386" s="19">
        <v>0</v>
      </c>
      <c r="I1386" s="19">
        <v>0</v>
      </c>
      <c r="T1386" s="20">
        <f>Registro[[#This Row],[Mes 1]]+Registro[[#This Row],[Mes 2]]+Registro[[#This Row],[Mes 3]]</f>
        <v>0</v>
      </c>
      <c r="U1386" s="20">
        <f>Registro[[#This Row],[Mes 4]]+Registro[[#This Row],[Mes 5]]+Registro[[#This Row],[Mes 6]]</f>
        <v>0</v>
      </c>
      <c r="V1386" s="20">
        <f>Registro[[#This Row],[Mes 7]]+Registro[[#This Row],[Mes 8]]+Registro[[#This Row],[Mes 9]]</f>
        <v>0</v>
      </c>
      <c r="W1386" s="20">
        <f>Registro[[#This Row],[Mes 10]]+Registro[[#This Row],[Mes 11]]+Registro[[#This Row],[Mes 12]]</f>
        <v>0</v>
      </c>
      <c r="X1386" s="20">
        <f>SUM(Registro[[#This Row],[Trim I]],Registro[[#This Row],[Trim II]],Registro[[#This Row],[Trim III]],Registro[[#This Row],[Trim IV]])</f>
        <v>0</v>
      </c>
      <c r="Y1386" s="22">
        <f>IFERROR((Registro[[#This Row],[Avance Total]]/Registro[[#This Row],[Meta]]),0)</f>
        <v>0</v>
      </c>
      <c r="Z1386" s="22">
        <f>IFERROR((Registro[[#This Row],[Avance Total]]-Registro[[#This Row],[Línea Base 2025]])/Registro[[#This Row],[Línea Base 2025]],0)</f>
        <v>-1</v>
      </c>
      <c r="AA1386" s="20"/>
    </row>
    <row r="1387" spans="1:27" hidden="1">
      <c r="A1387" s="14">
        <v>1107</v>
      </c>
      <c r="B1387" s="15" t="s">
        <v>13</v>
      </c>
      <c r="C1387" s="16">
        <v>118</v>
      </c>
      <c r="D1387" s="16" t="s">
        <v>188</v>
      </c>
      <c r="E1387" s="17" t="s">
        <v>9</v>
      </c>
      <c r="F1387" s="24">
        <v>0</v>
      </c>
      <c r="G1387" s="19">
        <v>0</v>
      </c>
      <c r="H1387" s="19">
        <v>0</v>
      </c>
      <c r="I1387" s="19">
        <v>0</v>
      </c>
      <c r="T1387" s="20">
        <f>Registro[[#This Row],[Mes 1]]+Registro[[#This Row],[Mes 2]]+Registro[[#This Row],[Mes 3]]</f>
        <v>0</v>
      </c>
      <c r="U1387" s="20">
        <f>Registro[[#This Row],[Mes 4]]+Registro[[#This Row],[Mes 5]]+Registro[[#This Row],[Mes 6]]</f>
        <v>0</v>
      </c>
      <c r="V1387" s="20">
        <f>Registro[[#This Row],[Mes 7]]+Registro[[#This Row],[Mes 8]]+Registro[[#This Row],[Mes 9]]</f>
        <v>0</v>
      </c>
      <c r="W1387" s="20">
        <f>Registro[[#This Row],[Mes 10]]+Registro[[#This Row],[Mes 11]]+Registro[[#This Row],[Mes 12]]</f>
        <v>0</v>
      </c>
      <c r="X1387" s="20">
        <f>SUM(Registro[[#This Row],[Trim I]],Registro[[#This Row],[Trim II]],Registro[[#This Row],[Trim III]],Registro[[#This Row],[Trim IV]])</f>
        <v>0</v>
      </c>
      <c r="Y1387" s="22">
        <f>IFERROR((Registro[[#This Row],[Avance Total]]/Registro[[#This Row],[Meta]]),0)</f>
        <v>0</v>
      </c>
      <c r="Z1387" s="22">
        <f>IFERROR((Registro[[#This Row],[Avance Total]]-Registro[[#This Row],[Línea Base 2025]])/Registro[[#This Row],[Línea Base 2025]],0)</f>
        <v>0</v>
      </c>
      <c r="AA1387" s="20"/>
    </row>
    <row r="1388" spans="1:27" hidden="1">
      <c r="A1388" s="14">
        <v>1107</v>
      </c>
      <c r="B1388" s="15" t="s">
        <v>13</v>
      </c>
      <c r="C1388" s="16">
        <v>119</v>
      </c>
      <c r="D1388" s="16" t="s">
        <v>190</v>
      </c>
      <c r="E1388" s="17" t="s">
        <v>189</v>
      </c>
      <c r="F1388" s="24">
        <v>0</v>
      </c>
      <c r="G1388" s="19">
        <v>0</v>
      </c>
      <c r="H1388" s="19">
        <v>0</v>
      </c>
      <c r="I1388" s="19">
        <v>0</v>
      </c>
      <c r="T1388" s="20">
        <f>Registro[[#This Row],[Mes 1]]+Registro[[#This Row],[Mes 2]]+Registro[[#This Row],[Mes 3]]</f>
        <v>0</v>
      </c>
      <c r="U1388" s="20">
        <f>Registro[[#This Row],[Mes 4]]+Registro[[#This Row],[Mes 5]]+Registro[[#This Row],[Mes 6]]</f>
        <v>0</v>
      </c>
      <c r="V1388" s="20">
        <f>Registro[[#This Row],[Mes 7]]+Registro[[#This Row],[Mes 8]]+Registro[[#This Row],[Mes 9]]</f>
        <v>0</v>
      </c>
      <c r="W1388" s="20">
        <f>Registro[[#This Row],[Mes 10]]+Registro[[#This Row],[Mes 11]]+Registro[[#This Row],[Mes 12]]</f>
        <v>0</v>
      </c>
      <c r="X1388" s="20">
        <f>SUM(Registro[[#This Row],[Trim I]],Registro[[#This Row],[Trim II]],Registro[[#This Row],[Trim III]],Registro[[#This Row],[Trim IV]])</f>
        <v>0</v>
      </c>
      <c r="Y1388" s="22">
        <f>IFERROR((Registro[[#This Row],[Avance Total]]/Registro[[#This Row],[Meta]]),0)</f>
        <v>0</v>
      </c>
      <c r="Z1388" s="22">
        <f>IFERROR((Registro[[#This Row],[Avance Total]]-Registro[[#This Row],[Línea Base 2025]])/Registro[[#This Row],[Línea Base 2025]],0)</f>
        <v>0</v>
      </c>
      <c r="AA1388" s="20"/>
    </row>
    <row r="1389" spans="1:27" hidden="1">
      <c r="A1389" s="14">
        <v>1107</v>
      </c>
      <c r="B1389" s="15" t="s">
        <v>13</v>
      </c>
      <c r="C1389" s="16">
        <v>120</v>
      </c>
      <c r="D1389" s="16" t="s">
        <v>192</v>
      </c>
      <c r="E1389" s="17" t="s">
        <v>191</v>
      </c>
      <c r="F1389" s="24">
        <v>0</v>
      </c>
      <c r="G1389" s="19">
        <v>0</v>
      </c>
      <c r="H1389" s="19">
        <v>0</v>
      </c>
      <c r="I1389" s="19">
        <v>0</v>
      </c>
      <c r="T1389" s="20">
        <f>Registro[[#This Row],[Mes 1]]+Registro[[#This Row],[Mes 2]]+Registro[[#This Row],[Mes 3]]</f>
        <v>0</v>
      </c>
      <c r="U1389" s="20">
        <f>Registro[[#This Row],[Mes 4]]+Registro[[#This Row],[Mes 5]]+Registro[[#This Row],[Mes 6]]</f>
        <v>0</v>
      </c>
      <c r="V1389" s="20">
        <f>Registro[[#This Row],[Mes 7]]+Registro[[#This Row],[Mes 8]]+Registro[[#This Row],[Mes 9]]</f>
        <v>0</v>
      </c>
      <c r="W1389" s="20">
        <f>Registro[[#This Row],[Mes 10]]+Registro[[#This Row],[Mes 11]]+Registro[[#This Row],[Mes 12]]</f>
        <v>0</v>
      </c>
      <c r="X1389" s="20">
        <f>SUM(Registro[[#This Row],[Trim I]],Registro[[#This Row],[Trim II]],Registro[[#This Row],[Trim III]],Registro[[#This Row],[Trim IV]])</f>
        <v>0</v>
      </c>
      <c r="Y1389" s="22">
        <f>IFERROR((Registro[[#This Row],[Avance Total]]/Registro[[#This Row],[Meta]]),0)</f>
        <v>0</v>
      </c>
      <c r="Z1389" s="22">
        <f>IFERROR((Registro[[#This Row],[Avance Total]]-Registro[[#This Row],[Línea Base 2025]])/Registro[[#This Row],[Línea Base 2025]],0)</f>
        <v>0</v>
      </c>
      <c r="AA1389" s="20"/>
    </row>
    <row r="1390" spans="1:27" hidden="1">
      <c r="A1390" s="14">
        <v>1107</v>
      </c>
      <c r="B1390" s="15" t="s">
        <v>13</v>
      </c>
      <c r="C1390" s="16">
        <v>121</v>
      </c>
      <c r="D1390" s="16" t="s">
        <v>194</v>
      </c>
      <c r="E1390" s="17" t="s">
        <v>193</v>
      </c>
      <c r="F1390" s="24">
        <v>0</v>
      </c>
      <c r="G1390" s="19">
        <v>0</v>
      </c>
      <c r="H1390" s="19">
        <v>0</v>
      </c>
      <c r="I1390" s="19">
        <v>0</v>
      </c>
      <c r="T1390" s="20">
        <f>Registro[[#This Row],[Mes 1]]+Registro[[#This Row],[Mes 2]]+Registro[[#This Row],[Mes 3]]</f>
        <v>0</v>
      </c>
      <c r="U1390" s="20">
        <f>Registro[[#This Row],[Mes 4]]+Registro[[#This Row],[Mes 5]]+Registro[[#This Row],[Mes 6]]</f>
        <v>0</v>
      </c>
      <c r="V1390" s="20">
        <f>Registro[[#This Row],[Mes 7]]+Registro[[#This Row],[Mes 8]]+Registro[[#This Row],[Mes 9]]</f>
        <v>0</v>
      </c>
      <c r="W1390" s="20">
        <f>Registro[[#This Row],[Mes 10]]+Registro[[#This Row],[Mes 11]]+Registro[[#This Row],[Mes 12]]</f>
        <v>0</v>
      </c>
      <c r="X1390" s="20">
        <f>SUM(Registro[[#This Row],[Trim I]],Registro[[#This Row],[Trim II]],Registro[[#This Row],[Trim III]],Registro[[#This Row],[Trim IV]])</f>
        <v>0</v>
      </c>
      <c r="Y1390" s="22">
        <f>IFERROR((Registro[[#This Row],[Avance Total]]/Registro[[#This Row],[Meta]]),0)</f>
        <v>0</v>
      </c>
      <c r="Z1390" s="22">
        <f>IFERROR((Registro[[#This Row],[Avance Total]]-Registro[[#This Row],[Línea Base 2025]])/Registro[[#This Row],[Línea Base 2025]],0)</f>
        <v>0</v>
      </c>
      <c r="AA1390" s="20"/>
    </row>
    <row r="1391" spans="1:27" hidden="1">
      <c r="A1391" s="14">
        <v>1107</v>
      </c>
      <c r="B1391" s="15" t="s">
        <v>13</v>
      </c>
      <c r="C1391" s="16">
        <v>122</v>
      </c>
      <c r="D1391" s="16" t="s">
        <v>196</v>
      </c>
      <c r="E1391" s="17" t="s">
        <v>195</v>
      </c>
      <c r="F1391" s="24">
        <v>0</v>
      </c>
      <c r="G1391" s="19">
        <v>0</v>
      </c>
      <c r="H1391" s="19">
        <v>0</v>
      </c>
      <c r="I1391" s="19">
        <v>0</v>
      </c>
      <c r="T1391" s="20">
        <f>Registro[[#This Row],[Mes 1]]+Registro[[#This Row],[Mes 2]]+Registro[[#This Row],[Mes 3]]</f>
        <v>0</v>
      </c>
      <c r="U1391" s="20">
        <f>Registro[[#This Row],[Mes 4]]+Registro[[#This Row],[Mes 5]]+Registro[[#This Row],[Mes 6]]</f>
        <v>0</v>
      </c>
      <c r="V1391" s="20">
        <f>Registro[[#This Row],[Mes 7]]+Registro[[#This Row],[Mes 8]]+Registro[[#This Row],[Mes 9]]</f>
        <v>0</v>
      </c>
      <c r="W1391" s="20">
        <f>Registro[[#This Row],[Mes 10]]+Registro[[#This Row],[Mes 11]]+Registro[[#This Row],[Mes 12]]</f>
        <v>0</v>
      </c>
      <c r="X1391" s="20">
        <f>SUM(Registro[[#This Row],[Trim I]],Registro[[#This Row],[Trim II]],Registro[[#This Row],[Trim III]],Registro[[#This Row],[Trim IV]])</f>
        <v>0</v>
      </c>
      <c r="Y1391" s="22">
        <f>IFERROR((Registro[[#This Row],[Avance Total]]/Registro[[#This Row],[Meta]]),0)</f>
        <v>0</v>
      </c>
      <c r="Z1391" s="22">
        <f>IFERROR((Registro[[#This Row],[Avance Total]]-Registro[[#This Row],[Línea Base 2025]])/Registro[[#This Row],[Línea Base 2025]],0)</f>
        <v>0</v>
      </c>
      <c r="AA1391" s="20"/>
    </row>
    <row r="1392" spans="1:27" hidden="1">
      <c r="A1392" s="14">
        <v>1107</v>
      </c>
      <c r="B1392" s="15" t="s">
        <v>13</v>
      </c>
      <c r="C1392" s="26">
        <v>123</v>
      </c>
      <c r="D1392" s="26" t="s">
        <v>198</v>
      </c>
      <c r="E1392" s="17" t="s">
        <v>197</v>
      </c>
      <c r="F1392" s="32">
        <v>0</v>
      </c>
      <c r="G1392" s="28">
        <v>0</v>
      </c>
      <c r="H1392" s="28">
        <v>0</v>
      </c>
      <c r="I1392" s="28">
        <v>0</v>
      </c>
      <c r="J1392" s="27"/>
      <c r="K1392" s="27"/>
      <c r="L1392" s="27"/>
      <c r="M1392" s="27"/>
      <c r="N1392" s="27"/>
      <c r="O1392" s="27"/>
      <c r="P1392" s="27"/>
      <c r="Q1392" s="27"/>
      <c r="R1392" s="27"/>
      <c r="S1392" s="27"/>
      <c r="T1392" s="29">
        <f>Registro[[#This Row],[Mes 1]]+Registro[[#This Row],[Mes 2]]+Registro[[#This Row],[Mes 3]]</f>
        <v>0</v>
      </c>
      <c r="U1392" s="29">
        <f>Registro[[#This Row],[Mes 4]]+Registro[[#This Row],[Mes 5]]+Registro[[#This Row],[Mes 6]]</f>
        <v>0</v>
      </c>
      <c r="V1392" s="29">
        <f>Registro[[#This Row],[Mes 7]]+Registro[[#This Row],[Mes 8]]+Registro[[#This Row],[Mes 9]]</f>
        <v>0</v>
      </c>
      <c r="W1392" s="29">
        <f>Registro[[#This Row],[Mes 10]]+Registro[[#This Row],[Mes 11]]+Registro[[#This Row],[Mes 12]]</f>
        <v>0</v>
      </c>
      <c r="X1392" s="29">
        <f>SUM(Registro[[#This Row],[Trim I]],Registro[[#This Row],[Trim II]],Registro[[#This Row],[Trim III]],Registro[[#This Row],[Trim IV]])</f>
        <v>0</v>
      </c>
      <c r="Y1392" s="30">
        <f>IFERROR((Registro[[#This Row],[Avance Total]]/Registro[[#This Row],[Meta]]),0)</f>
        <v>0</v>
      </c>
      <c r="Z1392" s="30">
        <f>IFERROR((Registro[[#This Row],[Avance Total]]-Registro[[#This Row],[Línea Base 2025]])/Registro[[#This Row],[Línea Base 2025]],0)</f>
        <v>0</v>
      </c>
      <c r="AA1392" s="29"/>
    </row>
    <row r="1393" spans="1:27" hidden="1">
      <c r="A1393" s="14">
        <v>1108</v>
      </c>
      <c r="B1393" s="15" t="s">
        <v>13</v>
      </c>
      <c r="C1393" s="16">
        <v>111</v>
      </c>
      <c r="D1393" s="16" t="s">
        <v>171</v>
      </c>
      <c r="E1393" s="17" t="s">
        <v>172</v>
      </c>
      <c r="F1393" s="24">
        <v>13</v>
      </c>
      <c r="G1393" s="19">
        <v>135</v>
      </c>
      <c r="H1393" s="19">
        <v>0</v>
      </c>
      <c r="I1393" s="19">
        <v>8</v>
      </c>
      <c r="T1393" s="20">
        <f>Registro[[#This Row],[Mes 1]]+Registro[[#This Row],[Mes 2]]+Registro[[#This Row],[Mes 3]]</f>
        <v>8</v>
      </c>
      <c r="U1393" s="20">
        <f>Registro[[#This Row],[Mes 4]]+Registro[[#This Row],[Mes 5]]+Registro[[#This Row],[Mes 6]]</f>
        <v>0</v>
      </c>
      <c r="V1393" s="20">
        <f>Registro[[#This Row],[Mes 7]]+Registro[[#This Row],[Mes 8]]+Registro[[#This Row],[Mes 9]]</f>
        <v>0</v>
      </c>
      <c r="W1393" s="20">
        <f>Registro[[#This Row],[Mes 10]]+Registro[[#This Row],[Mes 11]]+Registro[[#This Row],[Mes 12]]</f>
        <v>0</v>
      </c>
      <c r="X1393" s="20">
        <f>SUM(Registro[[#This Row],[Trim I]],Registro[[#This Row],[Trim II]],Registro[[#This Row],[Trim III]],Registro[[#This Row],[Trim IV]])</f>
        <v>8</v>
      </c>
      <c r="Y1393" s="22">
        <f>IFERROR((Registro[[#This Row],[Avance Total]]/Registro[[#This Row],[Meta]]),0)</f>
        <v>5.9259259259259262E-2</v>
      </c>
      <c r="Z1393" s="22">
        <f>IFERROR((Registro[[#This Row],[Avance Total]]-Registro[[#This Row],[Línea Base 2025]])/Registro[[#This Row],[Línea Base 2025]],0)</f>
        <v>-0.38461538461538464</v>
      </c>
      <c r="AA1393" s="20"/>
    </row>
    <row r="1394" spans="1:27" hidden="1">
      <c r="A1394" s="14">
        <v>1108</v>
      </c>
      <c r="B1394" s="15" t="s">
        <v>13</v>
      </c>
      <c r="C1394" s="16">
        <v>112</v>
      </c>
      <c r="D1394" s="16" t="s">
        <v>173</v>
      </c>
      <c r="E1394" s="17" t="s">
        <v>7</v>
      </c>
      <c r="F1394" s="24">
        <v>0</v>
      </c>
      <c r="G1394" s="19">
        <v>7</v>
      </c>
      <c r="H1394" s="19">
        <v>0</v>
      </c>
      <c r="I1394" s="19">
        <v>0</v>
      </c>
      <c r="T1394" s="20">
        <f>Registro[[#This Row],[Mes 1]]+Registro[[#This Row],[Mes 2]]+Registro[[#This Row],[Mes 3]]</f>
        <v>0</v>
      </c>
      <c r="U1394" s="20">
        <f>Registro[[#This Row],[Mes 4]]+Registro[[#This Row],[Mes 5]]+Registro[[#This Row],[Mes 6]]</f>
        <v>0</v>
      </c>
      <c r="V1394" s="20">
        <f>Registro[[#This Row],[Mes 7]]+Registro[[#This Row],[Mes 8]]+Registro[[#This Row],[Mes 9]]</f>
        <v>0</v>
      </c>
      <c r="W1394" s="20">
        <f>Registro[[#This Row],[Mes 10]]+Registro[[#This Row],[Mes 11]]+Registro[[#This Row],[Mes 12]]</f>
        <v>0</v>
      </c>
      <c r="X1394" s="20">
        <f>SUM(Registro[[#This Row],[Trim I]],Registro[[#This Row],[Trim II]],Registro[[#This Row],[Trim III]],Registro[[#This Row],[Trim IV]])</f>
        <v>0</v>
      </c>
      <c r="Y1394" s="22">
        <f>IFERROR((Registro[[#This Row],[Avance Total]]/Registro[[#This Row],[Meta]]),0)</f>
        <v>0</v>
      </c>
      <c r="Z1394" s="22">
        <f>IFERROR((Registro[[#This Row],[Avance Total]]-Registro[[#This Row],[Línea Base 2025]])/Registro[[#This Row],[Línea Base 2025]],0)</f>
        <v>0</v>
      </c>
      <c r="AA1394" s="20"/>
    </row>
    <row r="1395" spans="1:27" hidden="1">
      <c r="A1395" s="14">
        <v>1108</v>
      </c>
      <c r="B1395" s="15" t="s">
        <v>13</v>
      </c>
      <c r="C1395" s="16">
        <v>113</v>
      </c>
      <c r="D1395" s="16" t="s">
        <v>179</v>
      </c>
      <c r="E1395" s="17" t="s">
        <v>178</v>
      </c>
      <c r="F1395" s="24">
        <v>11</v>
      </c>
      <c r="G1395" s="19">
        <v>87</v>
      </c>
      <c r="H1395" s="19">
        <v>0</v>
      </c>
      <c r="I1395" s="19">
        <v>0</v>
      </c>
      <c r="T1395" s="20">
        <f>Registro[[#This Row],[Mes 1]]+Registro[[#This Row],[Mes 2]]+Registro[[#This Row],[Mes 3]]</f>
        <v>0</v>
      </c>
      <c r="U1395" s="20">
        <f>Registro[[#This Row],[Mes 4]]+Registro[[#This Row],[Mes 5]]+Registro[[#This Row],[Mes 6]]</f>
        <v>0</v>
      </c>
      <c r="V1395" s="20">
        <f>Registro[[#This Row],[Mes 7]]+Registro[[#This Row],[Mes 8]]+Registro[[#This Row],[Mes 9]]</f>
        <v>0</v>
      </c>
      <c r="W1395" s="20">
        <f>Registro[[#This Row],[Mes 10]]+Registro[[#This Row],[Mes 11]]+Registro[[#This Row],[Mes 12]]</f>
        <v>0</v>
      </c>
      <c r="X1395" s="20">
        <f>SUM(Registro[[#This Row],[Trim I]],Registro[[#This Row],[Trim II]],Registro[[#This Row],[Trim III]],Registro[[#This Row],[Trim IV]])</f>
        <v>0</v>
      </c>
      <c r="Y1395" s="22">
        <f>IFERROR((Registro[[#This Row],[Avance Total]]/Registro[[#This Row],[Meta]]),0)</f>
        <v>0</v>
      </c>
      <c r="Z1395" s="22">
        <f>IFERROR((Registro[[#This Row],[Avance Total]]-Registro[[#This Row],[Línea Base 2025]])/Registro[[#This Row],[Línea Base 2025]],0)</f>
        <v>-1</v>
      </c>
      <c r="AA1395" s="20"/>
    </row>
    <row r="1396" spans="1:27" hidden="1">
      <c r="A1396" s="14">
        <v>1108</v>
      </c>
      <c r="B1396" s="15" t="s">
        <v>13</v>
      </c>
      <c r="C1396" s="16">
        <v>114</v>
      </c>
      <c r="D1396" s="16" t="s">
        <v>181</v>
      </c>
      <c r="E1396" s="17" t="s">
        <v>180</v>
      </c>
      <c r="F1396" s="24">
        <v>0</v>
      </c>
      <c r="G1396" s="19">
        <v>0</v>
      </c>
      <c r="H1396" s="19">
        <v>3</v>
      </c>
      <c r="I1396" s="19">
        <v>5</v>
      </c>
      <c r="T1396" s="20">
        <f>Registro[[#This Row],[Mes 1]]+Registro[[#This Row],[Mes 2]]+Registro[[#This Row],[Mes 3]]</f>
        <v>8</v>
      </c>
      <c r="U1396" s="20">
        <f>Registro[[#This Row],[Mes 4]]+Registro[[#This Row],[Mes 5]]+Registro[[#This Row],[Mes 6]]</f>
        <v>0</v>
      </c>
      <c r="V1396" s="20">
        <f>Registro[[#This Row],[Mes 7]]+Registro[[#This Row],[Mes 8]]+Registro[[#This Row],[Mes 9]]</f>
        <v>0</v>
      </c>
      <c r="W1396" s="20">
        <f>Registro[[#This Row],[Mes 10]]+Registro[[#This Row],[Mes 11]]+Registro[[#This Row],[Mes 12]]</f>
        <v>0</v>
      </c>
      <c r="X1396" s="20">
        <f>SUM(Registro[[#This Row],[Trim I]],Registro[[#This Row],[Trim II]],Registro[[#This Row],[Trim III]],Registro[[#This Row],[Trim IV]])</f>
        <v>8</v>
      </c>
      <c r="Y1396" s="22">
        <f>IFERROR((Registro[[#This Row],[Avance Total]]/Registro[[#This Row],[Meta]]),0)</f>
        <v>0</v>
      </c>
      <c r="Z1396" s="22">
        <f>IFERROR((Registro[[#This Row],[Avance Total]]-Registro[[#This Row],[Línea Base 2025]])/Registro[[#This Row],[Línea Base 2025]],0)</f>
        <v>0</v>
      </c>
      <c r="AA1396" s="20"/>
    </row>
    <row r="1397" spans="1:27" hidden="1">
      <c r="A1397" s="14">
        <v>1108</v>
      </c>
      <c r="B1397" s="15" t="s">
        <v>13</v>
      </c>
      <c r="C1397" s="16">
        <v>115</v>
      </c>
      <c r="D1397" s="16" t="s">
        <v>183</v>
      </c>
      <c r="E1397" s="17" t="s">
        <v>182</v>
      </c>
      <c r="F1397" s="24">
        <v>0</v>
      </c>
      <c r="G1397" s="19">
        <v>0</v>
      </c>
      <c r="H1397" s="19">
        <v>0</v>
      </c>
      <c r="I1397" s="19">
        <v>0</v>
      </c>
      <c r="T1397" s="20">
        <f>Registro[[#This Row],[Mes 1]]+Registro[[#This Row],[Mes 2]]+Registro[[#This Row],[Mes 3]]</f>
        <v>0</v>
      </c>
      <c r="U1397" s="20">
        <f>Registro[[#This Row],[Mes 4]]+Registro[[#This Row],[Mes 5]]+Registro[[#This Row],[Mes 6]]</f>
        <v>0</v>
      </c>
      <c r="V1397" s="20">
        <f>Registro[[#This Row],[Mes 7]]+Registro[[#This Row],[Mes 8]]+Registro[[#This Row],[Mes 9]]</f>
        <v>0</v>
      </c>
      <c r="W1397" s="20">
        <f>Registro[[#This Row],[Mes 10]]+Registro[[#This Row],[Mes 11]]+Registro[[#This Row],[Mes 12]]</f>
        <v>0</v>
      </c>
      <c r="X1397" s="20">
        <f>SUM(Registro[[#This Row],[Trim I]],Registro[[#This Row],[Trim II]],Registro[[#This Row],[Trim III]],Registro[[#This Row],[Trim IV]])</f>
        <v>0</v>
      </c>
      <c r="Y1397" s="22">
        <f>IFERROR((Registro[[#This Row],[Avance Total]]/Registro[[#This Row],[Meta]]),0)</f>
        <v>0</v>
      </c>
      <c r="Z1397" s="22">
        <f>IFERROR((Registro[[#This Row],[Avance Total]]-Registro[[#This Row],[Línea Base 2025]])/Registro[[#This Row],[Línea Base 2025]],0)</f>
        <v>0</v>
      </c>
      <c r="AA1397" s="20"/>
    </row>
    <row r="1398" spans="1:27">
      <c r="A1398" s="14">
        <v>1108</v>
      </c>
      <c r="B1398" s="15" t="s">
        <v>13</v>
      </c>
      <c r="C1398" s="16">
        <v>116</v>
      </c>
      <c r="D1398" s="16" t="s">
        <v>185</v>
      </c>
      <c r="E1398" s="17" t="s">
        <v>184</v>
      </c>
      <c r="F1398" s="24">
        <v>1</v>
      </c>
      <c r="G1398" s="19">
        <v>1</v>
      </c>
      <c r="H1398" s="19">
        <v>0</v>
      </c>
      <c r="I1398" s="19">
        <v>0</v>
      </c>
      <c r="T1398" s="20">
        <f>Registro[[#This Row],[Mes 1]]+Registro[[#This Row],[Mes 2]]+Registro[[#This Row],[Mes 3]]</f>
        <v>0</v>
      </c>
      <c r="U1398" s="20">
        <f>Registro[[#This Row],[Mes 4]]+Registro[[#This Row],[Mes 5]]+Registro[[#This Row],[Mes 6]]</f>
        <v>0</v>
      </c>
      <c r="V1398" s="20">
        <f>Registro[[#This Row],[Mes 7]]+Registro[[#This Row],[Mes 8]]+Registro[[#This Row],[Mes 9]]</f>
        <v>0</v>
      </c>
      <c r="W1398" s="20">
        <f>Registro[[#This Row],[Mes 10]]+Registro[[#This Row],[Mes 11]]+Registro[[#This Row],[Mes 12]]</f>
        <v>0</v>
      </c>
      <c r="X1398" s="20">
        <f>SUM(Registro[[#This Row],[Trim I]],Registro[[#This Row],[Trim II]],Registro[[#This Row],[Trim III]],Registro[[#This Row],[Trim IV]])</f>
        <v>0</v>
      </c>
      <c r="Y1398" s="22">
        <f>IFERROR((Registro[[#This Row],[Avance Total]]/Registro[[#This Row],[Meta]]),0)</f>
        <v>0</v>
      </c>
      <c r="Z1398" s="22">
        <f>IFERROR((Registro[[#This Row],[Avance Total]]-Registro[[#This Row],[Línea Base 2025]])/Registro[[#This Row],[Línea Base 2025]],0)</f>
        <v>-1</v>
      </c>
      <c r="AA1398" s="20"/>
    </row>
    <row r="1399" spans="1:27" hidden="1">
      <c r="A1399" s="14">
        <v>1108</v>
      </c>
      <c r="B1399" s="15" t="s">
        <v>13</v>
      </c>
      <c r="C1399" s="16">
        <v>117</v>
      </c>
      <c r="D1399" s="16" t="s">
        <v>187</v>
      </c>
      <c r="E1399" s="17" t="s">
        <v>186</v>
      </c>
      <c r="F1399" s="24">
        <v>0</v>
      </c>
      <c r="G1399" s="19">
        <v>0</v>
      </c>
      <c r="H1399" s="19">
        <v>0</v>
      </c>
      <c r="I1399" s="19">
        <v>0</v>
      </c>
      <c r="T1399" s="20">
        <f>Registro[[#This Row],[Mes 1]]+Registro[[#This Row],[Mes 2]]+Registro[[#This Row],[Mes 3]]</f>
        <v>0</v>
      </c>
      <c r="U1399" s="20">
        <f>Registro[[#This Row],[Mes 4]]+Registro[[#This Row],[Mes 5]]+Registro[[#This Row],[Mes 6]]</f>
        <v>0</v>
      </c>
      <c r="V1399" s="20">
        <f>Registro[[#This Row],[Mes 7]]+Registro[[#This Row],[Mes 8]]+Registro[[#This Row],[Mes 9]]</f>
        <v>0</v>
      </c>
      <c r="W1399" s="20">
        <f>Registro[[#This Row],[Mes 10]]+Registro[[#This Row],[Mes 11]]+Registro[[#This Row],[Mes 12]]</f>
        <v>0</v>
      </c>
      <c r="X1399" s="20">
        <f>SUM(Registro[[#This Row],[Trim I]],Registro[[#This Row],[Trim II]],Registro[[#This Row],[Trim III]],Registro[[#This Row],[Trim IV]])</f>
        <v>0</v>
      </c>
      <c r="Y1399" s="22">
        <f>IFERROR((Registro[[#This Row],[Avance Total]]/Registro[[#This Row],[Meta]]),0)</f>
        <v>0</v>
      </c>
      <c r="Z1399" s="22">
        <f>IFERROR((Registro[[#This Row],[Avance Total]]-Registro[[#This Row],[Línea Base 2025]])/Registro[[#This Row],[Línea Base 2025]],0)</f>
        <v>0</v>
      </c>
      <c r="AA1399" s="20"/>
    </row>
    <row r="1400" spans="1:27" hidden="1">
      <c r="A1400" s="14">
        <v>1108</v>
      </c>
      <c r="B1400" s="15" t="s">
        <v>13</v>
      </c>
      <c r="C1400" s="16">
        <v>118</v>
      </c>
      <c r="D1400" s="16" t="s">
        <v>188</v>
      </c>
      <c r="E1400" s="17" t="s">
        <v>9</v>
      </c>
      <c r="F1400" s="24">
        <v>0</v>
      </c>
      <c r="G1400" s="19">
        <v>0</v>
      </c>
      <c r="H1400" s="19">
        <v>0</v>
      </c>
      <c r="I1400" s="19">
        <v>0</v>
      </c>
      <c r="T1400" s="20">
        <f>Registro[[#This Row],[Mes 1]]+Registro[[#This Row],[Mes 2]]+Registro[[#This Row],[Mes 3]]</f>
        <v>0</v>
      </c>
      <c r="U1400" s="20">
        <f>Registro[[#This Row],[Mes 4]]+Registro[[#This Row],[Mes 5]]+Registro[[#This Row],[Mes 6]]</f>
        <v>0</v>
      </c>
      <c r="V1400" s="20">
        <f>Registro[[#This Row],[Mes 7]]+Registro[[#This Row],[Mes 8]]+Registro[[#This Row],[Mes 9]]</f>
        <v>0</v>
      </c>
      <c r="W1400" s="20">
        <f>Registro[[#This Row],[Mes 10]]+Registro[[#This Row],[Mes 11]]+Registro[[#This Row],[Mes 12]]</f>
        <v>0</v>
      </c>
      <c r="X1400" s="20">
        <f>SUM(Registro[[#This Row],[Trim I]],Registro[[#This Row],[Trim II]],Registro[[#This Row],[Trim III]],Registro[[#This Row],[Trim IV]])</f>
        <v>0</v>
      </c>
      <c r="Y1400" s="22">
        <f>IFERROR((Registro[[#This Row],[Avance Total]]/Registro[[#This Row],[Meta]]),0)</f>
        <v>0</v>
      </c>
      <c r="Z1400" s="22">
        <f>IFERROR((Registro[[#This Row],[Avance Total]]-Registro[[#This Row],[Línea Base 2025]])/Registro[[#This Row],[Línea Base 2025]],0)</f>
        <v>0</v>
      </c>
      <c r="AA1400" s="20"/>
    </row>
    <row r="1401" spans="1:27" hidden="1">
      <c r="A1401" s="14">
        <v>1108</v>
      </c>
      <c r="B1401" s="15" t="s">
        <v>13</v>
      </c>
      <c r="C1401" s="16">
        <v>119</v>
      </c>
      <c r="D1401" s="16" t="s">
        <v>190</v>
      </c>
      <c r="E1401" s="17" t="s">
        <v>189</v>
      </c>
      <c r="F1401" s="24">
        <v>0</v>
      </c>
      <c r="G1401" s="19">
        <v>1</v>
      </c>
      <c r="H1401" s="19">
        <v>0</v>
      </c>
      <c r="I1401" s="19">
        <v>0</v>
      </c>
      <c r="T1401" s="20">
        <f>Registro[[#This Row],[Mes 1]]+Registro[[#This Row],[Mes 2]]+Registro[[#This Row],[Mes 3]]</f>
        <v>0</v>
      </c>
      <c r="U1401" s="20">
        <f>Registro[[#This Row],[Mes 4]]+Registro[[#This Row],[Mes 5]]+Registro[[#This Row],[Mes 6]]</f>
        <v>0</v>
      </c>
      <c r="V1401" s="20">
        <f>Registro[[#This Row],[Mes 7]]+Registro[[#This Row],[Mes 8]]+Registro[[#This Row],[Mes 9]]</f>
        <v>0</v>
      </c>
      <c r="W1401" s="20">
        <f>Registro[[#This Row],[Mes 10]]+Registro[[#This Row],[Mes 11]]+Registro[[#This Row],[Mes 12]]</f>
        <v>0</v>
      </c>
      <c r="X1401" s="20">
        <f>SUM(Registro[[#This Row],[Trim I]],Registro[[#This Row],[Trim II]],Registro[[#This Row],[Trim III]],Registro[[#This Row],[Trim IV]])</f>
        <v>0</v>
      </c>
      <c r="Y1401" s="22">
        <f>IFERROR((Registro[[#This Row],[Avance Total]]/Registro[[#This Row],[Meta]]),0)</f>
        <v>0</v>
      </c>
      <c r="Z1401" s="22">
        <f>IFERROR((Registro[[#This Row],[Avance Total]]-Registro[[#This Row],[Línea Base 2025]])/Registro[[#This Row],[Línea Base 2025]],0)</f>
        <v>0</v>
      </c>
      <c r="AA1401" s="20"/>
    </row>
    <row r="1402" spans="1:27" hidden="1">
      <c r="A1402" s="14">
        <v>1108</v>
      </c>
      <c r="B1402" s="15" t="s">
        <v>13</v>
      </c>
      <c r="C1402" s="16">
        <v>120</v>
      </c>
      <c r="D1402" s="16" t="s">
        <v>192</v>
      </c>
      <c r="E1402" s="17" t="s">
        <v>191</v>
      </c>
      <c r="F1402" s="24">
        <v>0</v>
      </c>
      <c r="G1402" s="19">
        <v>0</v>
      </c>
      <c r="H1402" s="19">
        <v>0</v>
      </c>
      <c r="I1402" s="19">
        <v>0</v>
      </c>
      <c r="T1402" s="20">
        <f>Registro[[#This Row],[Mes 1]]+Registro[[#This Row],[Mes 2]]+Registro[[#This Row],[Mes 3]]</f>
        <v>0</v>
      </c>
      <c r="U1402" s="20">
        <f>Registro[[#This Row],[Mes 4]]+Registro[[#This Row],[Mes 5]]+Registro[[#This Row],[Mes 6]]</f>
        <v>0</v>
      </c>
      <c r="V1402" s="20">
        <f>Registro[[#This Row],[Mes 7]]+Registro[[#This Row],[Mes 8]]+Registro[[#This Row],[Mes 9]]</f>
        <v>0</v>
      </c>
      <c r="W1402" s="20">
        <f>Registro[[#This Row],[Mes 10]]+Registro[[#This Row],[Mes 11]]+Registro[[#This Row],[Mes 12]]</f>
        <v>0</v>
      </c>
      <c r="X1402" s="20">
        <f>SUM(Registro[[#This Row],[Trim I]],Registro[[#This Row],[Trim II]],Registro[[#This Row],[Trim III]],Registro[[#This Row],[Trim IV]])</f>
        <v>0</v>
      </c>
      <c r="Y1402" s="22">
        <f>IFERROR((Registro[[#This Row],[Avance Total]]/Registro[[#This Row],[Meta]]),0)</f>
        <v>0</v>
      </c>
      <c r="Z1402" s="22">
        <f>IFERROR((Registro[[#This Row],[Avance Total]]-Registro[[#This Row],[Línea Base 2025]])/Registro[[#This Row],[Línea Base 2025]],0)</f>
        <v>0</v>
      </c>
      <c r="AA1402" s="20"/>
    </row>
    <row r="1403" spans="1:27" hidden="1">
      <c r="A1403" s="14">
        <v>1108</v>
      </c>
      <c r="B1403" s="15" t="s">
        <v>13</v>
      </c>
      <c r="C1403" s="16">
        <v>121</v>
      </c>
      <c r="D1403" s="16" t="s">
        <v>194</v>
      </c>
      <c r="E1403" s="17" t="s">
        <v>193</v>
      </c>
      <c r="F1403" s="24">
        <v>0</v>
      </c>
      <c r="G1403" s="19">
        <v>0</v>
      </c>
      <c r="H1403" s="19">
        <v>0</v>
      </c>
      <c r="I1403" s="19">
        <v>0</v>
      </c>
      <c r="T1403" s="20">
        <f>Registro[[#This Row],[Mes 1]]+Registro[[#This Row],[Mes 2]]+Registro[[#This Row],[Mes 3]]</f>
        <v>0</v>
      </c>
      <c r="U1403" s="20">
        <f>Registro[[#This Row],[Mes 4]]+Registro[[#This Row],[Mes 5]]+Registro[[#This Row],[Mes 6]]</f>
        <v>0</v>
      </c>
      <c r="V1403" s="20">
        <f>Registro[[#This Row],[Mes 7]]+Registro[[#This Row],[Mes 8]]+Registro[[#This Row],[Mes 9]]</f>
        <v>0</v>
      </c>
      <c r="W1403" s="20">
        <f>Registro[[#This Row],[Mes 10]]+Registro[[#This Row],[Mes 11]]+Registro[[#This Row],[Mes 12]]</f>
        <v>0</v>
      </c>
      <c r="X1403" s="20">
        <f>SUM(Registro[[#This Row],[Trim I]],Registro[[#This Row],[Trim II]],Registro[[#This Row],[Trim III]],Registro[[#This Row],[Trim IV]])</f>
        <v>0</v>
      </c>
      <c r="Y1403" s="22">
        <f>IFERROR((Registro[[#This Row],[Avance Total]]/Registro[[#This Row],[Meta]]),0)</f>
        <v>0</v>
      </c>
      <c r="Z1403" s="22">
        <f>IFERROR((Registro[[#This Row],[Avance Total]]-Registro[[#This Row],[Línea Base 2025]])/Registro[[#This Row],[Línea Base 2025]],0)</f>
        <v>0</v>
      </c>
      <c r="AA1403" s="20"/>
    </row>
    <row r="1404" spans="1:27" hidden="1">
      <c r="A1404" s="14">
        <v>1108</v>
      </c>
      <c r="B1404" s="15" t="s">
        <v>13</v>
      </c>
      <c r="C1404" s="16">
        <v>122</v>
      </c>
      <c r="D1404" s="16" t="s">
        <v>196</v>
      </c>
      <c r="E1404" s="17" t="s">
        <v>195</v>
      </c>
      <c r="F1404" s="24">
        <v>0</v>
      </c>
      <c r="G1404" s="19">
        <v>0</v>
      </c>
      <c r="H1404" s="19">
        <v>0</v>
      </c>
      <c r="I1404" s="19">
        <v>0</v>
      </c>
      <c r="T1404" s="20">
        <f>Registro[[#This Row],[Mes 1]]+Registro[[#This Row],[Mes 2]]+Registro[[#This Row],[Mes 3]]</f>
        <v>0</v>
      </c>
      <c r="U1404" s="20">
        <f>Registro[[#This Row],[Mes 4]]+Registro[[#This Row],[Mes 5]]+Registro[[#This Row],[Mes 6]]</f>
        <v>0</v>
      </c>
      <c r="V1404" s="20">
        <f>Registro[[#This Row],[Mes 7]]+Registro[[#This Row],[Mes 8]]+Registro[[#This Row],[Mes 9]]</f>
        <v>0</v>
      </c>
      <c r="W1404" s="20">
        <f>Registro[[#This Row],[Mes 10]]+Registro[[#This Row],[Mes 11]]+Registro[[#This Row],[Mes 12]]</f>
        <v>0</v>
      </c>
      <c r="X1404" s="20">
        <f>SUM(Registro[[#This Row],[Trim I]],Registro[[#This Row],[Trim II]],Registro[[#This Row],[Trim III]],Registro[[#This Row],[Trim IV]])</f>
        <v>0</v>
      </c>
      <c r="Y1404" s="22">
        <f>IFERROR((Registro[[#This Row],[Avance Total]]/Registro[[#This Row],[Meta]]),0)</f>
        <v>0</v>
      </c>
      <c r="Z1404" s="22">
        <f>IFERROR((Registro[[#This Row],[Avance Total]]-Registro[[#This Row],[Línea Base 2025]])/Registro[[#This Row],[Línea Base 2025]],0)</f>
        <v>0</v>
      </c>
      <c r="AA1404" s="20"/>
    </row>
    <row r="1405" spans="1:27" hidden="1">
      <c r="A1405" s="14">
        <v>1108</v>
      </c>
      <c r="B1405" s="15" t="s">
        <v>13</v>
      </c>
      <c r="C1405" s="26">
        <v>123</v>
      </c>
      <c r="D1405" s="26" t="s">
        <v>198</v>
      </c>
      <c r="E1405" s="17" t="s">
        <v>197</v>
      </c>
      <c r="F1405" s="32">
        <v>0</v>
      </c>
      <c r="G1405" s="28">
        <v>0</v>
      </c>
      <c r="H1405" s="28">
        <v>0</v>
      </c>
      <c r="I1405" s="28">
        <v>0</v>
      </c>
      <c r="J1405" s="27"/>
      <c r="K1405" s="27"/>
      <c r="L1405" s="27"/>
      <c r="M1405" s="27"/>
      <c r="N1405" s="27"/>
      <c r="O1405" s="27"/>
      <c r="P1405" s="27"/>
      <c r="Q1405" s="27"/>
      <c r="R1405" s="27"/>
      <c r="S1405" s="27"/>
      <c r="T1405" s="29">
        <f>Registro[[#This Row],[Mes 1]]+Registro[[#This Row],[Mes 2]]+Registro[[#This Row],[Mes 3]]</f>
        <v>0</v>
      </c>
      <c r="U1405" s="29">
        <f>Registro[[#This Row],[Mes 4]]+Registro[[#This Row],[Mes 5]]+Registro[[#This Row],[Mes 6]]</f>
        <v>0</v>
      </c>
      <c r="V1405" s="29">
        <f>Registro[[#This Row],[Mes 7]]+Registro[[#This Row],[Mes 8]]+Registro[[#This Row],[Mes 9]]</f>
        <v>0</v>
      </c>
      <c r="W1405" s="29">
        <f>Registro[[#This Row],[Mes 10]]+Registro[[#This Row],[Mes 11]]+Registro[[#This Row],[Mes 12]]</f>
        <v>0</v>
      </c>
      <c r="X1405" s="29">
        <f>SUM(Registro[[#This Row],[Trim I]],Registro[[#This Row],[Trim II]],Registro[[#This Row],[Trim III]],Registro[[#This Row],[Trim IV]])</f>
        <v>0</v>
      </c>
      <c r="Y1405" s="30">
        <f>IFERROR((Registro[[#This Row],[Avance Total]]/Registro[[#This Row],[Meta]]),0)</f>
        <v>0</v>
      </c>
      <c r="Z1405" s="30">
        <f>IFERROR((Registro[[#This Row],[Avance Total]]-Registro[[#This Row],[Línea Base 2025]])/Registro[[#This Row],[Línea Base 2025]],0)</f>
        <v>0</v>
      </c>
      <c r="AA1405" s="29"/>
    </row>
    <row r="1406" spans="1:27" hidden="1">
      <c r="A1406" s="14">
        <v>1109</v>
      </c>
      <c r="B1406" s="15" t="s">
        <v>127</v>
      </c>
      <c r="C1406" s="16">
        <v>111</v>
      </c>
      <c r="D1406" s="16" t="s">
        <v>171</v>
      </c>
      <c r="E1406" s="17" t="s">
        <v>172</v>
      </c>
      <c r="F1406" s="24">
        <v>43</v>
      </c>
      <c r="G1406" s="19">
        <v>73</v>
      </c>
      <c r="H1406" s="19">
        <v>0</v>
      </c>
      <c r="I1406" s="19">
        <v>16</v>
      </c>
      <c r="T1406" s="20">
        <f>Registro[[#This Row],[Mes 1]]+Registro[[#This Row],[Mes 2]]+Registro[[#This Row],[Mes 3]]</f>
        <v>16</v>
      </c>
      <c r="U1406" s="20">
        <f>Registro[[#This Row],[Mes 4]]+Registro[[#This Row],[Mes 5]]+Registro[[#This Row],[Mes 6]]</f>
        <v>0</v>
      </c>
      <c r="V1406" s="20">
        <f>Registro[[#This Row],[Mes 7]]+Registro[[#This Row],[Mes 8]]+Registro[[#This Row],[Mes 9]]</f>
        <v>0</v>
      </c>
      <c r="W1406" s="20">
        <f>Registro[[#This Row],[Mes 10]]+Registro[[#This Row],[Mes 11]]+Registro[[#This Row],[Mes 12]]</f>
        <v>0</v>
      </c>
      <c r="X1406" s="20">
        <f>SUM(Registro[[#This Row],[Trim I]],Registro[[#This Row],[Trim II]],Registro[[#This Row],[Trim III]],Registro[[#This Row],[Trim IV]])</f>
        <v>16</v>
      </c>
      <c r="Y1406" s="22">
        <f>IFERROR((Registro[[#This Row],[Avance Total]]/Registro[[#This Row],[Meta]]),0)</f>
        <v>0.21917808219178081</v>
      </c>
      <c r="Z1406" s="22">
        <f>IFERROR((Registro[[#This Row],[Avance Total]]-Registro[[#This Row],[Línea Base 2025]])/Registro[[#This Row],[Línea Base 2025]],0)</f>
        <v>-0.62790697674418605</v>
      </c>
      <c r="AA1406" s="20"/>
    </row>
    <row r="1407" spans="1:27" hidden="1">
      <c r="A1407" s="14">
        <v>1109</v>
      </c>
      <c r="B1407" s="15" t="s">
        <v>127</v>
      </c>
      <c r="C1407" s="16">
        <v>112</v>
      </c>
      <c r="D1407" s="16" t="s">
        <v>173</v>
      </c>
      <c r="E1407" s="17" t="s">
        <v>7</v>
      </c>
      <c r="F1407" s="24">
        <v>20</v>
      </c>
      <c r="G1407" s="19">
        <v>64</v>
      </c>
      <c r="H1407" s="19">
        <v>0</v>
      </c>
      <c r="I1407" s="19">
        <v>0</v>
      </c>
      <c r="T1407" s="20">
        <f>Registro[[#This Row],[Mes 1]]+Registro[[#This Row],[Mes 2]]+Registro[[#This Row],[Mes 3]]</f>
        <v>0</v>
      </c>
      <c r="U1407" s="20">
        <f>Registro[[#This Row],[Mes 4]]+Registro[[#This Row],[Mes 5]]+Registro[[#This Row],[Mes 6]]</f>
        <v>0</v>
      </c>
      <c r="V1407" s="20">
        <f>Registro[[#This Row],[Mes 7]]+Registro[[#This Row],[Mes 8]]+Registro[[#This Row],[Mes 9]]</f>
        <v>0</v>
      </c>
      <c r="W1407" s="20">
        <f>Registro[[#This Row],[Mes 10]]+Registro[[#This Row],[Mes 11]]+Registro[[#This Row],[Mes 12]]</f>
        <v>0</v>
      </c>
      <c r="X1407" s="20">
        <f>SUM(Registro[[#This Row],[Trim I]],Registro[[#This Row],[Trim II]],Registro[[#This Row],[Trim III]],Registro[[#This Row],[Trim IV]])</f>
        <v>0</v>
      </c>
      <c r="Y1407" s="22">
        <f>IFERROR((Registro[[#This Row],[Avance Total]]/Registro[[#This Row],[Meta]]),0)</f>
        <v>0</v>
      </c>
      <c r="Z1407" s="22">
        <f>IFERROR((Registro[[#This Row],[Avance Total]]-Registro[[#This Row],[Línea Base 2025]])/Registro[[#This Row],[Línea Base 2025]],0)</f>
        <v>-1</v>
      </c>
      <c r="AA1407" s="20"/>
    </row>
    <row r="1408" spans="1:27" hidden="1">
      <c r="A1408" s="14">
        <v>1109</v>
      </c>
      <c r="B1408" s="15" t="s">
        <v>127</v>
      </c>
      <c r="C1408" s="16">
        <v>113</v>
      </c>
      <c r="D1408" s="16" t="s">
        <v>179</v>
      </c>
      <c r="E1408" s="17" t="s">
        <v>178</v>
      </c>
      <c r="F1408" s="24">
        <v>35</v>
      </c>
      <c r="G1408" s="19">
        <v>162</v>
      </c>
      <c r="H1408" s="19">
        <v>2</v>
      </c>
      <c r="I1408" s="19">
        <v>3</v>
      </c>
      <c r="T1408" s="20">
        <f>Registro[[#This Row],[Mes 1]]+Registro[[#This Row],[Mes 2]]+Registro[[#This Row],[Mes 3]]</f>
        <v>5</v>
      </c>
      <c r="U1408" s="20">
        <f>Registro[[#This Row],[Mes 4]]+Registro[[#This Row],[Mes 5]]+Registro[[#This Row],[Mes 6]]</f>
        <v>0</v>
      </c>
      <c r="V1408" s="20">
        <f>Registro[[#This Row],[Mes 7]]+Registro[[#This Row],[Mes 8]]+Registro[[#This Row],[Mes 9]]</f>
        <v>0</v>
      </c>
      <c r="W1408" s="20">
        <f>Registro[[#This Row],[Mes 10]]+Registro[[#This Row],[Mes 11]]+Registro[[#This Row],[Mes 12]]</f>
        <v>0</v>
      </c>
      <c r="X1408" s="20">
        <f>SUM(Registro[[#This Row],[Trim I]],Registro[[#This Row],[Trim II]],Registro[[#This Row],[Trim III]],Registro[[#This Row],[Trim IV]])</f>
        <v>5</v>
      </c>
      <c r="Y1408" s="22">
        <f>IFERROR((Registro[[#This Row],[Avance Total]]/Registro[[#This Row],[Meta]]),0)</f>
        <v>3.0864197530864196E-2</v>
      </c>
      <c r="Z1408" s="22">
        <f>IFERROR((Registro[[#This Row],[Avance Total]]-Registro[[#This Row],[Línea Base 2025]])/Registro[[#This Row],[Línea Base 2025]],0)</f>
        <v>-0.8571428571428571</v>
      </c>
      <c r="AA1408" s="20"/>
    </row>
    <row r="1409" spans="1:27" hidden="1">
      <c r="A1409" s="14">
        <v>1109</v>
      </c>
      <c r="B1409" s="15" t="s">
        <v>127</v>
      </c>
      <c r="C1409" s="16">
        <v>114</v>
      </c>
      <c r="D1409" s="16" t="s">
        <v>181</v>
      </c>
      <c r="E1409" s="17" t="s">
        <v>180</v>
      </c>
      <c r="F1409" s="24">
        <v>0</v>
      </c>
      <c r="G1409" s="19">
        <v>17</v>
      </c>
      <c r="H1409" s="19">
        <v>10</v>
      </c>
      <c r="I1409" s="19">
        <v>0</v>
      </c>
      <c r="T1409" s="20">
        <f>Registro[[#This Row],[Mes 1]]+Registro[[#This Row],[Mes 2]]+Registro[[#This Row],[Mes 3]]</f>
        <v>10</v>
      </c>
      <c r="U1409" s="20">
        <f>Registro[[#This Row],[Mes 4]]+Registro[[#This Row],[Mes 5]]+Registro[[#This Row],[Mes 6]]</f>
        <v>0</v>
      </c>
      <c r="V1409" s="20">
        <f>Registro[[#This Row],[Mes 7]]+Registro[[#This Row],[Mes 8]]+Registro[[#This Row],[Mes 9]]</f>
        <v>0</v>
      </c>
      <c r="W1409" s="20">
        <f>Registro[[#This Row],[Mes 10]]+Registro[[#This Row],[Mes 11]]+Registro[[#This Row],[Mes 12]]</f>
        <v>0</v>
      </c>
      <c r="X1409" s="20">
        <f>SUM(Registro[[#This Row],[Trim I]],Registro[[#This Row],[Trim II]],Registro[[#This Row],[Trim III]],Registro[[#This Row],[Trim IV]])</f>
        <v>10</v>
      </c>
      <c r="Y1409" s="22">
        <f>IFERROR((Registro[[#This Row],[Avance Total]]/Registro[[#This Row],[Meta]]),0)</f>
        <v>0.58823529411764708</v>
      </c>
      <c r="Z1409" s="22">
        <f>IFERROR((Registro[[#This Row],[Avance Total]]-Registro[[#This Row],[Línea Base 2025]])/Registro[[#This Row],[Línea Base 2025]],0)</f>
        <v>0</v>
      </c>
      <c r="AA1409" s="20"/>
    </row>
    <row r="1410" spans="1:27" hidden="1">
      <c r="A1410" s="14">
        <v>1109</v>
      </c>
      <c r="B1410" s="15" t="s">
        <v>127</v>
      </c>
      <c r="C1410" s="16">
        <v>115</v>
      </c>
      <c r="D1410" s="16" t="s">
        <v>183</v>
      </c>
      <c r="E1410" s="17" t="s">
        <v>182</v>
      </c>
      <c r="F1410" s="24">
        <v>4</v>
      </c>
      <c r="G1410" s="19">
        <v>15</v>
      </c>
      <c r="H1410" s="19">
        <v>0</v>
      </c>
      <c r="I1410" s="19">
        <v>0</v>
      </c>
      <c r="T1410" s="20">
        <f>Registro[[#This Row],[Mes 1]]+Registro[[#This Row],[Mes 2]]+Registro[[#This Row],[Mes 3]]</f>
        <v>0</v>
      </c>
      <c r="U1410" s="20">
        <f>Registro[[#This Row],[Mes 4]]+Registro[[#This Row],[Mes 5]]+Registro[[#This Row],[Mes 6]]</f>
        <v>0</v>
      </c>
      <c r="V1410" s="20">
        <f>Registro[[#This Row],[Mes 7]]+Registro[[#This Row],[Mes 8]]+Registro[[#This Row],[Mes 9]]</f>
        <v>0</v>
      </c>
      <c r="W1410" s="20">
        <f>Registro[[#This Row],[Mes 10]]+Registro[[#This Row],[Mes 11]]+Registro[[#This Row],[Mes 12]]</f>
        <v>0</v>
      </c>
      <c r="X1410" s="20">
        <f>SUM(Registro[[#This Row],[Trim I]],Registro[[#This Row],[Trim II]],Registro[[#This Row],[Trim III]],Registro[[#This Row],[Trim IV]])</f>
        <v>0</v>
      </c>
      <c r="Y1410" s="22">
        <f>IFERROR((Registro[[#This Row],[Avance Total]]/Registro[[#This Row],[Meta]]),0)</f>
        <v>0</v>
      </c>
      <c r="Z1410" s="22">
        <f>IFERROR((Registro[[#This Row],[Avance Total]]-Registro[[#This Row],[Línea Base 2025]])/Registro[[#This Row],[Línea Base 2025]],0)</f>
        <v>-1</v>
      </c>
      <c r="AA1410" s="20"/>
    </row>
    <row r="1411" spans="1:27">
      <c r="A1411" s="14">
        <v>1109</v>
      </c>
      <c r="B1411" s="15" t="s">
        <v>127</v>
      </c>
      <c r="C1411" s="16">
        <v>116</v>
      </c>
      <c r="D1411" s="16" t="s">
        <v>185</v>
      </c>
      <c r="E1411" s="17" t="s">
        <v>184</v>
      </c>
      <c r="F1411" s="24">
        <v>1</v>
      </c>
      <c r="G1411" s="19">
        <v>3</v>
      </c>
      <c r="H1411" s="19">
        <v>0</v>
      </c>
      <c r="I1411" s="19">
        <v>0</v>
      </c>
      <c r="T1411" s="20">
        <f>Registro[[#This Row],[Mes 1]]+Registro[[#This Row],[Mes 2]]+Registro[[#This Row],[Mes 3]]</f>
        <v>0</v>
      </c>
      <c r="U1411" s="20">
        <f>Registro[[#This Row],[Mes 4]]+Registro[[#This Row],[Mes 5]]+Registro[[#This Row],[Mes 6]]</f>
        <v>0</v>
      </c>
      <c r="V1411" s="20">
        <f>Registro[[#This Row],[Mes 7]]+Registro[[#This Row],[Mes 8]]+Registro[[#This Row],[Mes 9]]</f>
        <v>0</v>
      </c>
      <c r="W1411" s="20">
        <f>Registro[[#This Row],[Mes 10]]+Registro[[#This Row],[Mes 11]]+Registro[[#This Row],[Mes 12]]</f>
        <v>0</v>
      </c>
      <c r="X1411" s="20">
        <f>SUM(Registro[[#This Row],[Trim I]],Registro[[#This Row],[Trim II]],Registro[[#This Row],[Trim III]],Registro[[#This Row],[Trim IV]])</f>
        <v>0</v>
      </c>
      <c r="Y1411" s="22">
        <f>IFERROR((Registro[[#This Row],[Avance Total]]/Registro[[#This Row],[Meta]]),0)</f>
        <v>0</v>
      </c>
      <c r="Z1411" s="22">
        <f>IFERROR((Registro[[#This Row],[Avance Total]]-Registro[[#This Row],[Línea Base 2025]])/Registro[[#This Row],[Línea Base 2025]],0)</f>
        <v>-1</v>
      </c>
      <c r="AA1411" s="20"/>
    </row>
    <row r="1412" spans="1:27" hidden="1">
      <c r="A1412" s="14">
        <v>1109</v>
      </c>
      <c r="B1412" s="15" t="s">
        <v>127</v>
      </c>
      <c r="C1412" s="16">
        <v>117</v>
      </c>
      <c r="D1412" s="16" t="s">
        <v>187</v>
      </c>
      <c r="E1412" s="17" t="s">
        <v>186</v>
      </c>
      <c r="F1412" s="24">
        <v>2</v>
      </c>
      <c r="G1412" s="19">
        <v>5</v>
      </c>
      <c r="H1412" s="19">
        <v>0</v>
      </c>
      <c r="I1412" s="19">
        <v>0</v>
      </c>
      <c r="T1412" s="20">
        <f>Registro[[#This Row],[Mes 1]]+Registro[[#This Row],[Mes 2]]+Registro[[#This Row],[Mes 3]]</f>
        <v>0</v>
      </c>
      <c r="U1412" s="20">
        <f>Registro[[#This Row],[Mes 4]]+Registro[[#This Row],[Mes 5]]+Registro[[#This Row],[Mes 6]]</f>
        <v>0</v>
      </c>
      <c r="V1412" s="20">
        <f>Registro[[#This Row],[Mes 7]]+Registro[[#This Row],[Mes 8]]+Registro[[#This Row],[Mes 9]]</f>
        <v>0</v>
      </c>
      <c r="W1412" s="20">
        <f>Registro[[#This Row],[Mes 10]]+Registro[[#This Row],[Mes 11]]+Registro[[#This Row],[Mes 12]]</f>
        <v>0</v>
      </c>
      <c r="X1412" s="20">
        <f>SUM(Registro[[#This Row],[Trim I]],Registro[[#This Row],[Trim II]],Registro[[#This Row],[Trim III]],Registro[[#This Row],[Trim IV]])</f>
        <v>0</v>
      </c>
      <c r="Y1412" s="22">
        <f>IFERROR((Registro[[#This Row],[Avance Total]]/Registro[[#This Row],[Meta]]),0)</f>
        <v>0</v>
      </c>
      <c r="Z1412" s="22">
        <f>IFERROR((Registro[[#This Row],[Avance Total]]-Registro[[#This Row],[Línea Base 2025]])/Registro[[#This Row],[Línea Base 2025]],0)</f>
        <v>-1</v>
      </c>
      <c r="AA1412" s="20"/>
    </row>
    <row r="1413" spans="1:27" hidden="1">
      <c r="A1413" s="14">
        <v>1109</v>
      </c>
      <c r="B1413" s="15" t="s">
        <v>127</v>
      </c>
      <c r="C1413" s="16">
        <v>118</v>
      </c>
      <c r="D1413" s="16" t="s">
        <v>188</v>
      </c>
      <c r="E1413" s="17" t="s">
        <v>9</v>
      </c>
      <c r="F1413" s="24">
        <v>0</v>
      </c>
      <c r="G1413" s="19">
        <v>1</v>
      </c>
      <c r="H1413" s="19">
        <v>0</v>
      </c>
      <c r="I1413" s="19">
        <v>0</v>
      </c>
      <c r="T1413" s="20">
        <f>Registro[[#This Row],[Mes 1]]+Registro[[#This Row],[Mes 2]]+Registro[[#This Row],[Mes 3]]</f>
        <v>0</v>
      </c>
      <c r="U1413" s="20">
        <f>Registro[[#This Row],[Mes 4]]+Registro[[#This Row],[Mes 5]]+Registro[[#This Row],[Mes 6]]</f>
        <v>0</v>
      </c>
      <c r="V1413" s="20">
        <f>Registro[[#This Row],[Mes 7]]+Registro[[#This Row],[Mes 8]]+Registro[[#This Row],[Mes 9]]</f>
        <v>0</v>
      </c>
      <c r="W1413" s="20">
        <f>Registro[[#This Row],[Mes 10]]+Registro[[#This Row],[Mes 11]]+Registro[[#This Row],[Mes 12]]</f>
        <v>0</v>
      </c>
      <c r="X1413" s="20">
        <f>SUM(Registro[[#This Row],[Trim I]],Registro[[#This Row],[Trim II]],Registro[[#This Row],[Trim III]],Registro[[#This Row],[Trim IV]])</f>
        <v>0</v>
      </c>
      <c r="Y1413" s="22">
        <f>IFERROR((Registro[[#This Row],[Avance Total]]/Registro[[#This Row],[Meta]]),0)</f>
        <v>0</v>
      </c>
      <c r="Z1413" s="22">
        <f>IFERROR((Registro[[#This Row],[Avance Total]]-Registro[[#This Row],[Línea Base 2025]])/Registro[[#This Row],[Línea Base 2025]],0)</f>
        <v>0</v>
      </c>
      <c r="AA1413" s="20"/>
    </row>
    <row r="1414" spans="1:27" hidden="1">
      <c r="A1414" s="14">
        <v>1109</v>
      </c>
      <c r="B1414" s="15" t="s">
        <v>127</v>
      </c>
      <c r="C1414" s="16">
        <v>119</v>
      </c>
      <c r="D1414" s="16" t="s">
        <v>190</v>
      </c>
      <c r="E1414" s="17" t="s">
        <v>189</v>
      </c>
      <c r="F1414" s="24">
        <v>0</v>
      </c>
      <c r="G1414" s="19">
        <v>3</v>
      </c>
      <c r="H1414" s="19">
        <v>0</v>
      </c>
      <c r="I1414" s="19">
        <v>0</v>
      </c>
      <c r="T1414" s="20">
        <f>Registro[[#This Row],[Mes 1]]+Registro[[#This Row],[Mes 2]]+Registro[[#This Row],[Mes 3]]</f>
        <v>0</v>
      </c>
      <c r="U1414" s="20">
        <f>Registro[[#This Row],[Mes 4]]+Registro[[#This Row],[Mes 5]]+Registro[[#This Row],[Mes 6]]</f>
        <v>0</v>
      </c>
      <c r="V1414" s="20">
        <f>Registro[[#This Row],[Mes 7]]+Registro[[#This Row],[Mes 8]]+Registro[[#This Row],[Mes 9]]</f>
        <v>0</v>
      </c>
      <c r="W1414" s="20">
        <f>Registro[[#This Row],[Mes 10]]+Registro[[#This Row],[Mes 11]]+Registro[[#This Row],[Mes 12]]</f>
        <v>0</v>
      </c>
      <c r="X1414" s="20">
        <f>SUM(Registro[[#This Row],[Trim I]],Registro[[#This Row],[Trim II]],Registro[[#This Row],[Trim III]],Registro[[#This Row],[Trim IV]])</f>
        <v>0</v>
      </c>
      <c r="Y1414" s="22">
        <f>IFERROR((Registro[[#This Row],[Avance Total]]/Registro[[#This Row],[Meta]]),0)</f>
        <v>0</v>
      </c>
      <c r="Z1414" s="22">
        <f>IFERROR((Registro[[#This Row],[Avance Total]]-Registro[[#This Row],[Línea Base 2025]])/Registro[[#This Row],[Línea Base 2025]],0)</f>
        <v>0</v>
      </c>
      <c r="AA1414" s="20"/>
    </row>
    <row r="1415" spans="1:27" hidden="1">
      <c r="A1415" s="14">
        <v>1109</v>
      </c>
      <c r="B1415" s="15" t="s">
        <v>127</v>
      </c>
      <c r="C1415" s="16">
        <v>120</v>
      </c>
      <c r="D1415" s="16" t="s">
        <v>192</v>
      </c>
      <c r="E1415" s="17" t="s">
        <v>191</v>
      </c>
      <c r="F1415" s="24">
        <v>25</v>
      </c>
      <c r="G1415" s="19">
        <v>40</v>
      </c>
      <c r="H1415" s="19">
        <v>10</v>
      </c>
      <c r="I1415" s="19">
        <v>2</v>
      </c>
      <c r="T1415" s="20">
        <f>Registro[[#This Row],[Mes 1]]+Registro[[#This Row],[Mes 2]]+Registro[[#This Row],[Mes 3]]</f>
        <v>12</v>
      </c>
      <c r="U1415" s="20">
        <f>Registro[[#This Row],[Mes 4]]+Registro[[#This Row],[Mes 5]]+Registro[[#This Row],[Mes 6]]</f>
        <v>0</v>
      </c>
      <c r="V1415" s="20">
        <f>Registro[[#This Row],[Mes 7]]+Registro[[#This Row],[Mes 8]]+Registro[[#This Row],[Mes 9]]</f>
        <v>0</v>
      </c>
      <c r="W1415" s="20">
        <f>Registro[[#This Row],[Mes 10]]+Registro[[#This Row],[Mes 11]]+Registro[[#This Row],[Mes 12]]</f>
        <v>0</v>
      </c>
      <c r="X1415" s="20">
        <f>SUM(Registro[[#This Row],[Trim I]],Registro[[#This Row],[Trim II]],Registro[[#This Row],[Trim III]],Registro[[#This Row],[Trim IV]])</f>
        <v>12</v>
      </c>
      <c r="Y1415" s="22">
        <f>IFERROR((Registro[[#This Row],[Avance Total]]/Registro[[#This Row],[Meta]]),0)</f>
        <v>0.3</v>
      </c>
      <c r="Z1415" s="22">
        <f>IFERROR((Registro[[#This Row],[Avance Total]]-Registro[[#This Row],[Línea Base 2025]])/Registro[[#This Row],[Línea Base 2025]],0)</f>
        <v>-0.52</v>
      </c>
      <c r="AA1415" s="20"/>
    </row>
    <row r="1416" spans="1:27" hidden="1">
      <c r="A1416" s="14">
        <v>1109</v>
      </c>
      <c r="B1416" s="15" t="s">
        <v>127</v>
      </c>
      <c r="C1416" s="16">
        <v>121</v>
      </c>
      <c r="D1416" s="16" t="s">
        <v>194</v>
      </c>
      <c r="E1416" s="17" t="s">
        <v>193</v>
      </c>
      <c r="F1416" s="24">
        <v>2</v>
      </c>
      <c r="G1416" s="19">
        <v>3</v>
      </c>
      <c r="H1416" s="19">
        <v>0</v>
      </c>
      <c r="I1416" s="19">
        <v>0</v>
      </c>
      <c r="T1416" s="20">
        <f>Registro[[#This Row],[Mes 1]]+Registro[[#This Row],[Mes 2]]+Registro[[#This Row],[Mes 3]]</f>
        <v>0</v>
      </c>
      <c r="U1416" s="20">
        <f>Registro[[#This Row],[Mes 4]]+Registro[[#This Row],[Mes 5]]+Registro[[#This Row],[Mes 6]]</f>
        <v>0</v>
      </c>
      <c r="V1416" s="20">
        <f>Registro[[#This Row],[Mes 7]]+Registro[[#This Row],[Mes 8]]+Registro[[#This Row],[Mes 9]]</f>
        <v>0</v>
      </c>
      <c r="W1416" s="20">
        <f>Registro[[#This Row],[Mes 10]]+Registro[[#This Row],[Mes 11]]+Registro[[#This Row],[Mes 12]]</f>
        <v>0</v>
      </c>
      <c r="X1416" s="20">
        <f>SUM(Registro[[#This Row],[Trim I]],Registro[[#This Row],[Trim II]],Registro[[#This Row],[Trim III]],Registro[[#This Row],[Trim IV]])</f>
        <v>0</v>
      </c>
      <c r="Y1416" s="22">
        <f>IFERROR((Registro[[#This Row],[Avance Total]]/Registro[[#This Row],[Meta]]),0)</f>
        <v>0</v>
      </c>
      <c r="Z1416" s="22">
        <f>IFERROR((Registro[[#This Row],[Avance Total]]-Registro[[#This Row],[Línea Base 2025]])/Registro[[#This Row],[Línea Base 2025]],0)</f>
        <v>-1</v>
      </c>
      <c r="AA1416" s="20"/>
    </row>
    <row r="1417" spans="1:27" hidden="1">
      <c r="A1417" s="14">
        <v>1109</v>
      </c>
      <c r="B1417" s="15" t="s">
        <v>127</v>
      </c>
      <c r="C1417" s="16">
        <v>122</v>
      </c>
      <c r="D1417" s="16" t="s">
        <v>196</v>
      </c>
      <c r="E1417" s="17" t="s">
        <v>195</v>
      </c>
      <c r="F1417" s="24">
        <v>6</v>
      </c>
      <c r="G1417" s="19">
        <v>7</v>
      </c>
      <c r="H1417" s="19">
        <v>0</v>
      </c>
      <c r="I1417" s="19">
        <v>0</v>
      </c>
      <c r="T1417" s="20">
        <f>Registro[[#This Row],[Mes 1]]+Registro[[#This Row],[Mes 2]]+Registro[[#This Row],[Mes 3]]</f>
        <v>0</v>
      </c>
      <c r="U1417" s="20">
        <f>Registro[[#This Row],[Mes 4]]+Registro[[#This Row],[Mes 5]]+Registro[[#This Row],[Mes 6]]</f>
        <v>0</v>
      </c>
      <c r="V1417" s="20">
        <f>Registro[[#This Row],[Mes 7]]+Registro[[#This Row],[Mes 8]]+Registro[[#This Row],[Mes 9]]</f>
        <v>0</v>
      </c>
      <c r="W1417" s="20">
        <f>Registro[[#This Row],[Mes 10]]+Registro[[#This Row],[Mes 11]]+Registro[[#This Row],[Mes 12]]</f>
        <v>0</v>
      </c>
      <c r="X1417" s="20">
        <f>SUM(Registro[[#This Row],[Trim I]],Registro[[#This Row],[Trim II]],Registro[[#This Row],[Trim III]],Registro[[#This Row],[Trim IV]])</f>
        <v>0</v>
      </c>
      <c r="Y1417" s="22">
        <f>IFERROR((Registro[[#This Row],[Avance Total]]/Registro[[#This Row],[Meta]]),0)</f>
        <v>0</v>
      </c>
      <c r="Z1417" s="22">
        <f>IFERROR((Registro[[#This Row],[Avance Total]]-Registro[[#This Row],[Línea Base 2025]])/Registro[[#This Row],[Línea Base 2025]],0)</f>
        <v>-1</v>
      </c>
      <c r="AA1417" s="20"/>
    </row>
    <row r="1418" spans="1:27" hidden="1">
      <c r="A1418" s="14">
        <v>1109</v>
      </c>
      <c r="B1418" s="15" t="s">
        <v>127</v>
      </c>
      <c r="C1418" s="26">
        <v>123</v>
      </c>
      <c r="D1418" s="26" t="s">
        <v>198</v>
      </c>
      <c r="E1418" s="17" t="s">
        <v>197</v>
      </c>
      <c r="F1418" s="32">
        <v>0</v>
      </c>
      <c r="G1418" s="28">
        <v>6</v>
      </c>
      <c r="H1418" s="28">
        <v>0</v>
      </c>
      <c r="I1418" s="28">
        <v>0</v>
      </c>
      <c r="J1418" s="27"/>
      <c r="K1418" s="27"/>
      <c r="L1418" s="27"/>
      <c r="M1418" s="27"/>
      <c r="N1418" s="27"/>
      <c r="O1418" s="27"/>
      <c r="P1418" s="27"/>
      <c r="Q1418" s="27"/>
      <c r="R1418" s="27"/>
      <c r="S1418" s="27"/>
      <c r="T1418" s="29">
        <f>Registro[[#This Row],[Mes 1]]+Registro[[#This Row],[Mes 2]]+Registro[[#This Row],[Mes 3]]</f>
        <v>0</v>
      </c>
      <c r="U1418" s="29">
        <f>Registro[[#This Row],[Mes 4]]+Registro[[#This Row],[Mes 5]]+Registro[[#This Row],[Mes 6]]</f>
        <v>0</v>
      </c>
      <c r="V1418" s="29">
        <f>Registro[[#This Row],[Mes 7]]+Registro[[#This Row],[Mes 8]]+Registro[[#This Row],[Mes 9]]</f>
        <v>0</v>
      </c>
      <c r="W1418" s="29">
        <f>Registro[[#This Row],[Mes 10]]+Registro[[#This Row],[Mes 11]]+Registro[[#This Row],[Mes 12]]</f>
        <v>0</v>
      </c>
      <c r="X1418" s="29">
        <f>SUM(Registro[[#This Row],[Trim I]],Registro[[#This Row],[Trim II]],Registro[[#This Row],[Trim III]],Registro[[#This Row],[Trim IV]])</f>
        <v>0</v>
      </c>
      <c r="Y1418" s="30">
        <f>IFERROR((Registro[[#This Row],[Avance Total]]/Registro[[#This Row],[Meta]]),0)</f>
        <v>0</v>
      </c>
      <c r="Z1418" s="30">
        <f>IFERROR((Registro[[#This Row],[Avance Total]]-Registro[[#This Row],[Línea Base 2025]])/Registro[[#This Row],[Línea Base 2025]],0)</f>
        <v>0</v>
      </c>
      <c r="AA1418" s="29"/>
    </row>
    <row r="1419" spans="1:27" hidden="1">
      <c r="A1419" s="14">
        <v>1110</v>
      </c>
      <c r="B1419" s="15" t="s">
        <v>128</v>
      </c>
      <c r="C1419" s="16">
        <v>111</v>
      </c>
      <c r="D1419" s="16" t="s">
        <v>171</v>
      </c>
      <c r="E1419" s="17" t="s">
        <v>172</v>
      </c>
      <c r="F1419" s="24">
        <v>36</v>
      </c>
      <c r="G1419" s="19">
        <v>108</v>
      </c>
      <c r="H1419" s="19">
        <v>0</v>
      </c>
      <c r="I1419" s="19">
        <v>9</v>
      </c>
      <c r="T1419" s="20">
        <f>Registro[[#This Row],[Mes 1]]+Registro[[#This Row],[Mes 2]]+Registro[[#This Row],[Mes 3]]</f>
        <v>9</v>
      </c>
      <c r="U1419" s="20">
        <f>Registro[[#This Row],[Mes 4]]+Registro[[#This Row],[Mes 5]]+Registro[[#This Row],[Mes 6]]</f>
        <v>0</v>
      </c>
      <c r="V1419" s="20">
        <f>Registro[[#This Row],[Mes 7]]+Registro[[#This Row],[Mes 8]]+Registro[[#This Row],[Mes 9]]</f>
        <v>0</v>
      </c>
      <c r="W1419" s="20">
        <f>Registro[[#This Row],[Mes 10]]+Registro[[#This Row],[Mes 11]]+Registro[[#This Row],[Mes 12]]</f>
        <v>0</v>
      </c>
      <c r="X1419" s="20">
        <f>SUM(Registro[[#This Row],[Trim I]],Registro[[#This Row],[Trim II]],Registro[[#This Row],[Trim III]],Registro[[#This Row],[Trim IV]])</f>
        <v>9</v>
      </c>
      <c r="Y1419" s="22">
        <f>IFERROR((Registro[[#This Row],[Avance Total]]/Registro[[#This Row],[Meta]]),0)</f>
        <v>8.3333333333333329E-2</v>
      </c>
      <c r="Z1419" s="22">
        <f>IFERROR((Registro[[#This Row],[Avance Total]]-Registro[[#This Row],[Línea Base 2025]])/Registro[[#This Row],[Línea Base 2025]],0)</f>
        <v>-0.75</v>
      </c>
      <c r="AA1419" s="20"/>
    </row>
    <row r="1420" spans="1:27" hidden="1">
      <c r="A1420" s="14">
        <v>1110</v>
      </c>
      <c r="B1420" s="15" t="s">
        <v>128</v>
      </c>
      <c r="C1420" s="16">
        <v>112</v>
      </c>
      <c r="D1420" s="16" t="s">
        <v>173</v>
      </c>
      <c r="E1420" s="17" t="s">
        <v>7</v>
      </c>
      <c r="F1420" s="24">
        <v>10</v>
      </c>
      <c r="G1420" s="19">
        <v>46</v>
      </c>
      <c r="H1420" s="19">
        <v>0</v>
      </c>
      <c r="I1420" s="19">
        <v>0</v>
      </c>
      <c r="T1420" s="20">
        <f>Registro[[#This Row],[Mes 1]]+Registro[[#This Row],[Mes 2]]+Registro[[#This Row],[Mes 3]]</f>
        <v>0</v>
      </c>
      <c r="U1420" s="20">
        <f>Registro[[#This Row],[Mes 4]]+Registro[[#This Row],[Mes 5]]+Registro[[#This Row],[Mes 6]]</f>
        <v>0</v>
      </c>
      <c r="V1420" s="20">
        <f>Registro[[#This Row],[Mes 7]]+Registro[[#This Row],[Mes 8]]+Registro[[#This Row],[Mes 9]]</f>
        <v>0</v>
      </c>
      <c r="W1420" s="20">
        <f>Registro[[#This Row],[Mes 10]]+Registro[[#This Row],[Mes 11]]+Registro[[#This Row],[Mes 12]]</f>
        <v>0</v>
      </c>
      <c r="X1420" s="20">
        <f>SUM(Registro[[#This Row],[Trim I]],Registro[[#This Row],[Trim II]],Registro[[#This Row],[Trim III]],Registro[[#This Row],[Trim IV]])</f>
        <v>0</v>
      </c>
      <c r="Y1420" s="22">
        <f>IFERROR((Registro[[#This Row],[Avance Total]]/Registro[[#This Row],[Meta]]),0)</f>
        <v>0</v>
      </c>
      <c r="Z1420" s="22">
        <f>IFERROR((Registro[[#This Row],[Avance Total]]-Registro[[#This Row],[Línea Base 2025]])/Registro[[#This Row],[Línea Base 2025]],0)</f>
        <v>-1</v>
      </c>
      <c r="AA1420" s="20"/>
    </row>
    <row r="1421" spans="1:27" hidden="1">
      <c r="A1421" s="14">
        <v>1110</v>
      </c>
      <c r="B1421" s="15" t="s">
        <v>128</v>
      </c>
      <c r="C1421" s="16">
        <v>113</v>
      </c>
      <c r="D1421" s="16" t="s">
        <v>179</v>
      </c>
      <c r="E1421" s="17" t="s">
        <v>178</v>
      </c>
      <c r="F1421" s="24">
        <v>24</v>
      </c>
      <c r="G1421" s="19">
        <v>167</v>
      </c>
      <c r="H1421" s="19">
        <v>2</v>
      </c>
      <c r="I1421" s="19">
        <v>3</v>
      </c>
      <c r="T1421" s="20">
        <f>Registro[[#This Row],[Mes 1]]+Registro[[#This Row],[Mes 2]]+Registro[[#This Row],[Mes 3]]</f>
        <v>5</v>
      </c>
      <c r="U1421" s="20">
        <f>Registro[[#This Row],[Mes 4]]+Registro[[#This Row],[Mes 5]]+Registro[[#This Row],[Mes 6]]</f>
        <v>0</v>
      </c>
      <c r="V1421" s="20">
        <f>Registro[[#This Row],[Mes 7]]+Registro[[#This Row],[Mes 8]]+Registro[[#This Row],[Mes 9]]</f>
        <v>0</v>
      </c>
      <c r="W1421" s="20">
        <f>Registro[[#This Row],[Mes 10]]+Registro[[#This Row],[Mes 11]]+Registro[[#This Row],[Mes 12]]</f>
        <v>0</v>
      </c>
      <c r="X1421" s="20">
        <f>SUM(Registro[[#This Row],[Trim I]],Registro[[#This Row],[Trim II]],Registro[[#This Row],[Trim III]],Registro[[#This Row],[Trim IV]])</f>
        <v>5</v>
      </c>
      <c r="Y1421" s="22">
        <f>IFERROR((Registro[[#This Row],[Avance Total]]/Registro[[#This Row],[Meta]]),0)</f>
        <v>2.9940119760479042E-2</v>
      </c>
      <c r="Z1421" s="22">
        <f>IFERROR((Registro[[#This Row],[Avance Total]]-Registro[[#This Row],[Línea Base 2025]])/Registro[[#This Row],[Línea Base 2025]],0)</f>
        <v>-0.79166666666666663</v>
      </c>
      <c r="AA1421" s="20"/>
    </row>
    <row r="1422" spans="1:27" hidden="1">
      <c r="A1422" s="14">
        <v>1110</v>
      </c>
      <c r="B1422" s="15" t="s">
        <v>128</v>
      </c>
      <c r="C1422" s="16">
        <v>114</v>
      </c>
      <c r="D1422" s="16" t="s">
        <v>181</v>
      </c>
      <c r="E1422" s="17" t="s">
        <v>180</v>
      </c>
      <c r="F1422" s="24">
        <v>0</v>
      </c>
      <c r="G1422" s="19">
        <v>16</v>
      </c>
      <c r="H1422" s="19">
        <v>8</v>
      </c>
      <c r="I1422" s="19">
        <v>0</v>
      </c>
      <c r="T1422" s="20">
        <f>Registro[[#This Row],[Mes 1]]+Registro[[#This Row],[Mes 2]]+Registro[[#This Row],[Mes 3]]</f>
        <v>8</v>
      </c>
      <c r="U1422" s="20">
        <f>Registro[[#This Row],[Mes 4]]+Registro[[#This Row],[Mes 5]]+Registro[[#This Row],[Mes 6]]</f>
        <v>0</v>
      </c>
      <c r="V1422" s="20">
        <f>Registro[[#This Row],[Mes 7]]+Registro[[#This Row],[Mes 8]]+Registro[[#This Row],[Mes 9]]</f>
        <v>0</v>
      </c>
      <c r="W1422" s="20">
        <f>Registro[[#This Row],[Mes 10]]+Registro[[#This Row],[Mes 11]]+Registro[[#This Row],[Mes 12]]</f>
        <v>0</v>
      </c>
      <c r="X1422" s="20">
        <f>SUM(Registro[[#This Row],[Trim I]],Registro[[#This Row],[Trim II]],Registro[[#This Row],[Trim III]],Registro[[#This Row],[Trim IV]])</f>
        <v>8</v>
      </c>
      <c r="Y1422" s="22">
        <f>IFERROR((Registro[[#This Row],[Avance Total]]/Registro[[#This Row],[Meta]]),0)</f>
        <v>0.5</v>
      </c>
      <c r="Z1422" s="22">
        <f>IFERROR((Registro[[#This Row],[Avance Total]]-Registro[[#This Row],[Línea Base 2025]])/Registro[[#This Row],[Línea Base 2025]],0)</f>
        <v>0</v>
      </c>
      <c r="AA1422" s="20"/>
    </row>
    <row r="1423" spans="1:27" hidden="1">
      <c r="A1423" s="14">
        <v>1110</v>
      </c>
      <c r="B1423" s="15" t="s">
        <v>128</v>
      </c>
      <c r="C1423" s="16">
        <v>115</v>
      </c>
      <c r="D1423" s="16" t="s">
        <v>183</v>
      </c>
      <c r="E1423" s="17" t="s">
        <v>182</v>
      </c>
      <c r="F1423" s="24">
        <v>11</v>
      </c>
      <c r="G1423" s="19">
        <v>9</v>
      </c>
      <c r="H1423" s="19">
        <v>0</v>
      </c>
      <c r="I1423" s="19">
        <v>0</v>
      </c>
      <c r="T1423" s="20">
        <f>Registro[[#This Row],[Mes 1]]+Registro[[#This Row],[Mes 2]]+Registro[[#This Row],[Mes 3]]</f>
        <v>0</v>
      </c>
      <c r="U1423" s="20">
        <f>Registro[[#This Row],[Mes 4]]+Registro[[#This Row],[Mes 5]]+Registro[[#This Row],[Mes 6]]</f>
        <v>0</v>
      </c>
      <c r="V1423" s="20">
        <f>Registro[[#This Row],[Mes 7]]+Registro[[#This Row],[Mes 8]]+Registro[[#This Row],[Mes 9]]</f>
        <v>0</v>
      </c>
      <c r="W1423" s="20">
        <f>Registro[[#This Row],[Mes 10]]+Registro[[#This Row],[Mes 11]]+Registro[[#This Row],[Mes 12]]</f>
        <v>0</v>
      </c>
      <c r="X1423" s="20">
        <f>SUM(Registro[[#This Row],[Trim I]],Registro[[#This Row],[Trim II]],Registro[[#This Row],[Trim III]],Registro[[#This Row],[Trim IV]])</f>
        <v>0</v>
      </c>
      <c r="Y1423" s="22">
        <f>IFERROR((Registro[[#This Row],[Avance Total]]/Registro[[#This Row],[Meta]]),0)</f>
        <v>0</v>
      </c>
      <c r="Z1423" s="22">
        <f>IFERROR((Registro[[#This Row],[Avance Total]]-Registro[[#This Row],[Línea Base 2025]])/Registro[[#This Row],[Línea Base 2025]],0)</f>
        <v>-1</v>
      </c>
      <c r="AA1423" s="20"/>
    </row>
    <row r="1424" spans="1:27">
      <c r="A1424" s="14">
        <v>1110</v>
      </c>
      <c r="B1424" s="15" t="s">
        <v>128</v>
      </c>
      <c r="C1424" s="16">
        <v>116</v>
      </c>
      <c r="D1424" s="16" t="s">
        <v>185</v>
      </c>
      <c r="E1424" s="17" t="s">
        <v>184</v>
      </c>
      <c r="F1424" s="24">
        <v>2</v>
      </c>
      <c r="G1424" s="19">
        <v>7</v>
      </c>
      <c r="H1424" s="19">
        <v>0</v>
      </c>
      <c r="I1424" s="19">
        <v>0</v>
      </c>
      <c r="T1424" s="20">
        <f>Registro[[#This Row],[Mes 1]]+Registro[[#This Row],[Mes 2]]+Registro[[#This Row],[Mes 3]]</f>
        <v>0</v>
      </c>
      <c r="U1424" s="20">
        <f>Registro[[#This Row],[Mes 4]]+Registro[[#This Row],[Mes 5]]+Registro[[#This Row],[Mes 6]]</f>
        <v>0</v>
      </c>
      <c r="V1424" s="20">
        <f>Registro[[#This Row],[Mes 7]]+Registro[[#This Row],[Mes 8]]+Registro[[#This Row],[Mes 9]]</f>
        <v>0</v>
      </c>
      <c r="W1424" s="20">
        <f>Registro[[#This Row],[Mes 10]]+Registro[[#This Row],[Mes 11]]+Registro[[#This Row],[Mes 12]]</f>
        <v>0</v>
      </c>
      <c r="X1424" s="20">
        <f>SUM(Registro[[#This Row],[Trim I]],Registro[[#This Row],[Trim II]],Registro[[#This Row],[Trim III]],Registro[[#This Row],[Trim IV]])</f>
        <v>0</v>
      </c>
      <c r="Y1424" s="22">
        <f>IFERROR((Registro[[#This Row],[Avance Total]]/Registro[[#This Row],[Meta]]),0)</f>
        <v>0</v>
      </c>
      <c r="Z1424" s="22">
        <f>IFERROR((Registro[[#This Row],[Avance Total]]-Registro[[#This Row],[Línea Base 2025]])/Registro[[#This Row],[Línea Base 2025]],0)</f>
        <v>-1</v>
      </c>
      <c r="AA1424" s="20"/>
    </row>
    <row r="1425" spans="1:27" hidden="1">
      <c r="A1425" s="14">
        <v>1110</v>
      </c>
      <c r="B1425" s="15" t="s">
        <v>128</v>
      </c>
      <c r="C1425" s="16">
        <v>117</v>
      </c>
      <c r="D1425" s="16" t="s">
        <v>187</v>
      </c>
      <c r="E1425" s="17" t="s">
        <v>186</v>
      </c>
      <c r="F1425" s="24">
        <v>5</v>
      </c>
      <c r="G1425" s="19">
        <v>3</v>
      </c>
      <c r="H1425" s="19">
        <v>0</v>
      </c>
      <c r="I1425" s="19">
        <v>0</v>
      </c>
      <c r="T1425" s="20">
        <f>Registro[[#This Row],[Mes 1]]+Registro[[#This Row],[Mes 2]]+Registro[[#This Row],[Mes 3]]</f>
        <v>0</v>
      </c>
      <c r="U1425" s="20">
        <f>Registro[[#This Row],[Mes 4]]+Registro[[#This Row],[Mes 5]]+Registro[[#This Row],[Mes 6]]</f>
        <v>0</v>
      </c>
      <c r="V1425" s="20">
        <f>Registro[[#This Row],[Mes 7]]+Registro[[#This Row],[Mes 8]]+Registro[[#This Row],[Mes 9]]</f>
        <v>0</v>
      </c>
      <c r="W1425" s="20">
        <f>Registro[[#This Row],[Mes 10]]+Registro[[#This Row],[Mes 11]]+Registro[[#This Row],[Mes 12]]</f>
        <v>0</v>
      </c>
      <c r="X1425" s="20">
        <f>SUM(Registro[[#This Row],[Trim I]],Registro[[#This Row],[Trim II]],Registro[[#This Row],[Trim III]],Registro[[#This Row],[Trim IV]])</f>
        <v>0</v>
      </c>
      <c r="Y1425" s="22">
        <f>IFERROR((Registro[[#This Row],[Avance Total]]/Registro[[#This Row],[Meta]]),0)</f>
        <v>0</v>
      </c>
      <c r="Z1425" s="22">
        <f>IFERROR((Registro[[#This Row],[Avance Total]]-Registro[[#This Row],[Línea Base 2025]])/Registro[[#This Row],[Línea Base 2025]],0)</f>
        <v>-1</v>
      </c>
      <c r="AA1425" s="20"/>
    </row>
    <row r="1426" spans="1:27" hidden="1">
      <c r="A1426" s="14">
        <v>1110</v>
      </c>
      <c r="B1426" s="15" t="s">
        <v>128</v>
      </c>
      <c r="C1426" s="16">
        <v>118</v>
      </c>
      <c r="D1426" s="16" t="s">
        <v>188</v>
      </c>
      <c r="E1426" s="17" t="s">
        <v>9</v>
      </c>
      <c r="F1426" s="24">
        <v>0</v>
      </c>
      <c r="G1426" s="19">
        <v>19</v>
      </c>
      <c r="H1426" s="19">
        <v>0</v>
      </c>
      <c r="I1426" s="19">
        <v>0</v>
      </c>
      <c r="T1426" s="20">
        <f>Registro[[#This Row],[Mes 1]]+Registro[[#This Row],[Mes 2]]+Registro[[#This Row],[Mes 3]]</f>
        <v>0</v>
      </c>
      <c r="U1426" s="20">
        <f>Registro[[#This Row],[Mes 4]]+Registro[[#This Row],[Mes 5]]+Registro[[#This Row],[Mes 6]]</f>
        <v>0</v>
      </c>
      <c r="V1426" s="20">
        <f>Registro[[#This Row],[Mes 7]]+Registro[[#This Row],[Mes 8]]+Registro[[#This Row],[Mes 9]]</f>
        <v>0</v>
      </c>
      <c r="W1426" s="20">
        <f>Registro[[#This Row],[Mes 10]]+Registro[[#This Row],[Mes 11]]+Registro[[#This Row],[Mes 12]]</f>
        <v>0</v>
      </c>
      <c r="X1426" s="20">
        <f>SUM(Registro[[#This Row],[Trim I]],Registro[[#This Row],[Trim II]],Registro[[#This Row],[Trim III]],Registro[[#This Row],[Trim IV]])</f>
        <v>0</v>
      </c>
      <c r="Y1426" s="22">
        <f>IFERROR((Registro[[#This Row],[Avance Total]]/Registro[[#This Row],[Meta]]),0)</f>
        <v>0</v>
      </c>
      <c r="Z1426" s="22">
        <f>IFERROR((Registro[[#This Row],[Avance Total]]-Registro[[#This Row],[Línea Base 2025]])/Registro[[#This Row],[Línea Base 2025]],0)</f>
        <v>0</v>
      </c>
      <c r="AA1426" s="20"/>
    </row>
    <row r="1427" spans="1:27" hidden="1">
      <c r="A1427" s="14">
        <v>1110</v>
      </c>
      <c r="B1427" s="15" t="s">
        <v>128</v>
      </c>
      <c r="C1427" s="16">
        <v>119</v>
      </c>
      <c r="D1427" s="16" t="s">
        <v>190</v>
      </c>
      <c r="E1427" s="17" t="s">
        <v>189</v>
      </c>
      <c r="F1427" s="24">
        <v>0</v>
      </c>
      <c r="G1427" s="19">
        <v>6</v>
      </c>
      <c r="H1427" s="19">
        <v>0</v>
      </c>
      <c r="I1427" s="19">
        <v>0</v>
      </c>
      <c r="T1427" s="20">
        <f>Registro[[#This Row],[Mes 1]]+Registro[[#This Row],[Mes 2]]+Registro[[#This Row],[Mes 3]]</f>
        <v>0</v>
      </c>
      <c r="U1427" s="20">
        <f>Registro[[#This Row],[Mes 4]]+Registro[[#This Row],[Mes 5]]+Registro[[#This Row],[Mes 6]]</f>
        <v>0</v>
      </c>
      <c r="V1427" s="20">
        <f>Registro[[#This Row],[Mes 7]]+Registro[[#This Row],[Mes 8]]+Registro[[#This Row],[Mes 9]]</f>
        <v>0</v>
      </c>
      <c r="W1427" s="20">
        <f>Registro[[#This Row],[Mes 10]]+Registro[[#This Row],[Mes 11]]+Registro[[#This Row],[Mes 12]]</f>
        <v>0</v>
      </c>
      <c r="X1427" s="20">
        <f>SUM(Registro[[#This Row],[Trim I]],Registro[[#This Row],[Trim II]],Registro[[#This Row],[Trim III]],Registro[[#This Row],[Trim IV]])</f>
        <v>0</v>
      </c>
      <c r="Y1427" s="22">
        <f>IFERROR((Registro[[#This Row],[Avance Total]]/Registro[[#This Row],[Meta]]),0)</f>
        <v>0</v>
      </c>
      <c r="Z1427" s="22">
        <f>IFERROR((Registro[[#This Row],[Avance Total]]-Registro[[#This Row],[Línea Base 2025]])/Registro[[#This Row],[Línea Base 2025]],0)</f>
        <v>0</v>
      </c>
      <c r="AA1427" s="20"/>
    </row>
    <row r="1428" spans="1:27" hidden="1">
      <c r="A1428" s="14">
        <v>1110</v>
      </c>
      <c r="B1428" s="15" t="s">
        <v>128</v>
      </c>
      <c r="C1428" s="16">
        <v>120</v>
      </c>
      <c r="D1428" s="16" t="s">
        <v>192</v>
      </c>
      <c r="E1428" s="17" t="s">
        <v>191</v>
      </c>
      <c r="F1428" s="24">
        <v>39</v>
      </c>
      <c r="G1428" s="19">
        <v>22</v>
      </c>
      <c r="H1428" s="19">
        <v>0</v>
      </c>
      <c r="I1428" s="19">
        <v>10</v>
      </c>
      <c r="T1428" s="20">
        <f>Registro[[#This Row],[Mes 1]]+Registro[[#This Row],[Mes 2]]+Registro[[#This Row],[Mes 3]]</f>
        <v>10</v>
      </c>
      <c r="U1428" s="20">
        <f>Registro[[#This Row],[Mes 4]]+Registro[[#This Row],[Mes 5]]+Registro[[#This Row],[Mes 6]]</f>
        <v>0</v>
      </c>
      <c r="V1428" s="20">
        <f>Registro[[#This Row],[Mes 7]]+Registro[[#This Row],[Mes 8]]+Registro[[#This Row],[Mes 9]]</f>
        <v>0</v>
      </c>
      <c r="W1428" s="20">
        <f>Registro[[#This Row],[Mes 10]]+Registro[[#This Row],[Mes 11]]+Registro[[#This Row],[Mes 12]]</f>
        <v>0</v>
      </c>
      <c r="X1428" s="20">
        <f>SUM(Registro[[#This Row],[Trim I]],Registro[[#This Row],[Trim II]],Registro[[#This Row],[Trim III]],Registro[[#This Row],[Trim IV]])</f>
        <v>10</v>
      </c>
      <c r="Y1428" s="22">
        <f>IFERROR((Registro[[#This Row],[Avance Total]]/Registro[[#This Row],[Meta]]),0)</f>
        <v>0.45454545454545453</v>
      </c>
      <c r="Z1428" s="22">
        <f>IFERROR((Registro[[#This Row],[Avance Total]]-Registro[[#This Row],[Línea Base 2025]])/Registro[[#This Row],[Línea Base 2025]],0)</f>
        <v>-0.74358974358974361</v>
      </c>
      <c r="AA1428" s="20"/>
    </row>
    <row r="1429" spans="1:27" hidden="1">
      <c r="A1429" s="14">
        <v>1110</v>
      </c>
      <c r="B1429" s="15" t="s">
        <v>128</v>
      </c>
      <c r="C1429" s="16">
        <v>121</v>
      </c>
      <c r="D1429" s="16" t="s">
        <v>194</v>
      </c>
      <c r="E1429" s="17" t="s">
        <v>193</v>
      </c>
      <c r="F1429" s="24">
        <v>1</v>
      </c>
      <c r="G1429" s="19">
        <v>6</v>
      </c>
      <c r="H1429" s="19">
        <v>0</v>
      </c>
      <c r="I1429" s="19">
        <v>0</v>
      </c>
      <c r="T1429" s="20">
        <f>Registro[[#This Row],[Mes 1]]+Registro[[#This Row],[Mes 2]]+Registro[[#This Row],[Mes 3]]</f>
        <v>0</v>
      </c>
      <c r="U1429" s="20">
        <f>Registro[[#This Row],[Mes 4]]+Registro[[#This Row],[Mes 5]]+Registro[[#This Row],[Mes 6]]</f>
        <v>0</v>
      </c>
      <c r="V1429" s="20">
        <f>Registro[[#This Row],[Mes 7]]+Registro[[#This Row],[Mes 8]]+Registro[[#This Row],[Mes 9]]</f>
        <v>0</v>
      </c>
      <c r="W1429" s="20">
        <f>Registro[[#This Row],[Mes 10]]+Registro[[#This Row],[Mes 11]]+Registro[[#This Row],[Mes 12]]</f>
        <v>0</v>
      </c>
      <c r="X1429" s="20">
        <f>SUM(Registro[[#This Row],[Trim I]],Registro[[#This Row],[Trim II]],Registro[[#This Row],[Trim III]],Registro[[#This Row],[Trim IV]])</f>
        <v>0</v>
      </c>
      <c r="Y1429" s="22">
        <f>IFERROR((Registro[[#This Row],[Avance Total]]/Registro[[#This Row],[Meta]]),0)</f>
        <v>0</v>
      </c>
      <c r="Z1429" s="22">
        <f>IFERROR((Registro[[#This Row],[Avance Total]]-Registro[[#This Row],[Línea Base 2025]])/Registro[[#This Row],[Línea Base 2025]],0)</f>
        <v>-1</v>
      </c>
      <c r="AA1429" s="20"/>
    </row>
    <row r="1430" spans="1:27" hidden="1">
      <c r="A1430" s="14">
        <v>1110</v>
      </c>
      <c r="B1430" s="15" t="s">
        <v>128</v>
      </c>
      <c r="C1430" s="16">
        <v>122</v>
      </c>
      <c r="D1430" s="16" t="s">
        <v>196</v>
      </c>
      <c r="E1430" s="17" t="s">
        <v>195</v>
      </c>
      <c r="F1430" s="24">
        <v>0</v>
      </c>
      <c r="G1430" s="19">
        <v>8</v>
      </c>
      <c r="H1430" s="19">
        <v>0</v>
      </c>
      <c r="I1430" s="19">
        <v>0</v>
      </c>
      <c r="T1430" s="20">
        <f>Registro[[#This Row],[Mes 1]]+Registro[[#This Row],[Mes 2]]+Registro[[#This Row],[Mes 3]]</f>
        <v>0</v>
      </c>
      <c r="U1430" s="20">
        <f>Registro[[#This Row],[Mes 4]]+Registro[[#This Row],[Mes 5]]+Registro[[#This Row],[Mes 6]]</f>
        <v>0</v>
      </c>
      <c r="V1430" s="20">
        <f>Registro[[#This Row],[Mes 7]]+Registro[[#This Row],[Mes 8]]+Registro[[#This Row],[Mes 9]]</f>
        <v>0</v>
      </c>
      <c r="W1430" s="20">
        <f>Registro[[#This Row],[Mes 10]]+Registro[[#This Row],[Mes 11]]+Registro[[#This Row],[Mes 12]]</f>
        <v>0</v>
      </c>
      <c r="X1430" s="20">
        <f>SUM(Registro[[#This Row],[Trim I]],Registro[[#This Row],[Trim II]],Registro[[#This Row],[Trim III]],Registro[[#This Row],[Trim IV]])</f>
        <v>0</v>
      </c>
      <c r="Y1430" s="22">
        <f>IFERROR((Registro[[#This Row],[Avance Total]]/Registro[[#This Row],[Meta]]),0)</f>
        <v>0</v>
      </c>
      <c r="Z1430" s="22">
        <f>IFERROR((Registro[[#This Row],[Avance Total]]-Registro[[#This Row],[Línea Base 2025]])/Registro[[#This Row],[Línea Base 2025]],0)</f>
        <v>0</v>
      </c>
      <c r="AA1430" s="20"/>
    </row>
    <row r="1431" spans="1:27" hidden="1">
      <c r="A1431" s="14">
        <v>1110</v>
      </c>
      <c r="B1431" s="15" t="s">
        <v>128</v>
      </c>
      <c r="C1431" s="26">
        <v>123</v>
      </c>
      <c r="D1431" s="26" t="s">
        <v>198</v>
      </c>
      <c r="E1431" s="17" t="s">
        <v>197</v>
      </c>
      <c r="F1431" s="32">
        <v>0</v>
      </c>
      <c r="G1431" s="28">
        <v>3</v>
      </c>
      <c r="H1431" s="28">
        <v>0</v>
      </c>
      <c r="I1431" s="28">
        <v>0</v>
      </c>
      <c r="J1431" s="27"/>
      <c r="K1431" s="27"/>
      <c r="L1431" s="27"/>
      <c r="M1431" s="27"/>
      <c r="N1431" s="27"/>
      <c r="O1431" s="27"/>
      <c r="P1431" s="27"/>
      <c r="Q1431" s="27"/>
      <c r="R1431" s="27"/>
      <c r="S1431" s="27"/>
      <c r="T1431" s="29">
        <f>Registro[[#This Row],[Mes 1]]+Registro[[#This Row],[Mes 2]]+Registro[[#This Row],[Mes 3]]</f>
        <v>0</v>
      </c>
      <c r="U1431" s="29">
        <f>Registro[[#This Row],[Mes 4]]+Registro[[#This Row],[Mes 5]]+Registro[[#This Row],[Mes 6]]</f>
        <v>0</v>
      </c>
      <c r="V1431" s="29">
        <f>Registro[[#This Row],[Mes 7]]+Registro[[#This Row],[Mes 8]]+Registro[[#This Row],[Mes 9]]</f>
        <v>0</v>
      </c>
      <c r="W1431" s="29">
        <f>Registro[[#This Row],[Mes 10]]+Registro[[#This Row],[Mes 11]]+Registro[[#This Row],[Mes 12]]</f>
        <v>0</v>
      </c>
      <c r="X1431" s="29">
        <f>SUM(Registro[[#This Row],[Trim I]],Registro[[#This Row],[Trim II]],Registro[[#This Row],[Trim III]],Registro[[#This Row],[Trim IV]])</f>
        <v>0</v>
      </c>
      <c r="Y1431" s="30">
        <f>IFERROR((Registro[[#This Row],[Avance Total]]/Registro[[#This Row],[Meta]]),0)</f>
        <v>0</v>
      </c>
      <c r="Z1431" s="30">
        <f>IFERROR((Registro[[#This Row],[Avance Total]]-Registro[[#This Row],[Línea Base 2025]])/Registro[[#This Row],[Línea Base 2025]],0)</f>
        <v>0</v>
      </c>
      <c r="AA1431" s="29"/>
    </row>
    <row r="1432" spans="1:27" hidden="1">
      <c r="A1432" s="14">
        <v>1111</v>
      </c>
      <c r="B1432" s="15" t="s">
        <v>129</v>
      </c>
      <c r="C1432" s="16">
        <v>111</v>
      </c>
      <c r="D1432" s="16" t="s">
        <v>171</v>
      </c>
      <c r="E1432" s="17" t="s">
        <v>172</v>
      </c>
      <c r="F1432" s="24">
        <v>27</v>
      </c>
      <c r="G1432" s="19">
        <v>68</v>
      </c>
      <c r="H1432" s="19">
        <v>0</v>
      </c>
      <c r="I1432" s="19">
        <v>5</v>
      </c>
      <c r="T1432" s="20">
        <f>Registro[[#This Row],[Mes 1]]+Registro[[#This Row],[Mes 2]]+Registro[[#This Row],[Mes 3]]</f>
        <v>5</v>
      </c>
      <c r="U1432" s="20">
        <f>Registro[[#This Row],[Mes 4]]+Registro[[#This Row],[Mes 5]]+Registro[[#This Row],[Mes 6]]</f>
        <v>0</v>
      </c>
      <c r="V1432" s="20">
        <f>Registro[[#This Row],[Mes 7]]+Registro[[#This Row],[Mes 8]]+Registro[[#This Row],[Mes 9]]</f>
        <v>0</v>
      </c>
      <c r="W1432" s="20">
        <f>Registro[[#This Row],[Mes 10]]+Registro[[#This Row],[Mes 11]]+Registro[[#This Row],[Mes 12]]</f>
        <v>0</v>
      </c>
      <c r="X1432" s="20">
        <f>SUM(Registro[[#This Row],[Trim I]],Registro[[#This Row],[Trim II]],Registro[[#This Row],[Trim III]],Registro[[#This Row],[Trim IV]])</f>
        <v>5</v>
      </c>
      <c r="Y1432" s="22">
        <f>IFERROR((Registro[[#This Row],[Avance Total]]/Registro[[#This Row],[Meta]]),0)</f>
        <v>7.3529411764705885E-2</v>
      </c>
      <c r="Z1432" s="22">
        <f>IFERROR((Registro[[#This Row],[Avance Total]]-Registro[[#This Row],[Línea Base 2025]])/Registro[[#This Row],[Línea Base 2025]],0)</f>
        <v>-0.81481481481481477</v>
      </c>
      <c r="AA1432" s="20"/>
    </row>
    <row r="1433" spans="1:27" hidden="1">
      <c r="A1433" s="14">
        <v>1111</v>
      </c>
      <c r="B1433" s="15" t="s">
        <v>129</v>
      </c>
      <c r="C1433" s="16">
        <v>112</v>
      </c>
      <c r="D1433" s="16" t="s">
        <v>173</v>
      </c>
      <c r="E1433" s="17" t="s">
        <v>7</v>
      </c>
      <c r="F1433" s="24">
        <v>6</v>
      </c>
      <c r="G1433" s="19">
        <v>48</v>
      </c>
      <c r="H1433" s="19">
        <v>0</v>
      </c>
      <c r="I1433" s="19">
        <v>0</v>
      </c>
      <c r="T1433" s="20">
        <f>Registro[[#This Row],[Mes 1]]+Registro[[#This Row],[Mes 2]]+Registro[[#This Row],[Mes 3]]</f>
        <v>0</v>
      </c>
      <c r="U1433" s="20">
        <f>Registro[[#This Row],[Mes 4]]+Registro[[#This Row],[Mes 5]]+Registro[[#This Row],[Mes 6]]</f>
        <v>0</v>
      </c>
      <c r="V1433" s="20">
        <f>Registro[[#This Row],[Mes 7]]+Registro[[#This Row],[Mes 8]]+Registro[[#This Row],[Mes 9]]</f>
        <v>0</v>
      </c>
      <c r="W1433" s="20">
        <f>Registro[[#This Row],[Mes 10]]+Registro[[#This Row],[Mes 11]]+Registro[[#This Row],[Mes 12]]</f>
        <v>0</v>
      </c>
      <c r="X1433" s="20">
        <f>SUM(Registro[[#This Row],[Trim I]],Registro[[#This Row],[Trim II]],Registro[[#This Row],[Trim III]],Registro[[#This Row],[Trim IV]])</f>
        <v>0</v>
      </c>
      <c r="Y1433" s="22">
        <f>IFERROR((Registro[[#This Row],[Avance Total]]/Registro[[#This Row],[Meta]]),0)</f>
        <v>0</v>
      </c>
      <c r="Z1433" s="22">
        <f>IFERROR((Registro[[#This Row],[Avance Total]]-Registro[[#This Row],[Línea Base 2025]])/Registro[[#This Row],[Línea Base 2025]],0)</f>
        <v>-1</v>
      </c>
      <c r="AA1433" s="20"/>
    </row>
    <row r="1434" spans="1:27" hidden="1">
      <c r="A1434" s="14">
        <v>1111</v>
      </c>
      <c r="B1434" s="15" t="s">
        <v>129</v>
      </c>
      <c r="C1434" s="16">
        <v>113</v>
      </c>
      <c r="D1434" s="16" t="s">
        <v>179</v>
      </c>
      <c r="E1434" s="17" t="s">
        <v>178</v>
      </c>
      <c r="F1434" s="24">
        <v>19</v>
      </c>
      <c r="G1434" s="19">
        <v>104</v>
      </c>
      <c r="H1434" s="19">
        <v>0</v>
      </c>
      <c r="I1434" s="19">
        <v>0</v>
      </c>
      <c r="T1434" s="20">
        <f>Registro[[#This Row],[Mes 1]]+Registro[[#This Row],[Mes 2]]+Registro[[#This Row],[Mes 3]]</f>
        <v>0</v>
      </c>
      <c r="U1434" s="20">
        <f>Registro[[#This Row],[Mes 4]]+Registro[[#This Row],[Mes 5]]+Registro[[#This Row],[Mes 6]]</f>
        <v>0</v>
      </c>
      <c r="V1434" s="20">
        <f>Registro[[#This Row],[Mes 7]]+Registro[[#This Row],[Mes 8]]+Registro[[#This Row],[Mes 9]]</f>
        <v>0</v>
      </c>
      <c r="W1434" s="20">
        <f>Registro[[#This Row],[Mes 10]]+Registro[[#This Row],[Mes 11]]+Registro[[#This Row],[Mes 12]]</f>
        <v>0</v>
      </c>
      <c r="X1434" s="20">
        <f>SUM(Registro[[#This Row],[Trim I]],Registro[[#This Row],[Trim II]],Registro[[#This Row],[Trim III]],Registro[[#This Row],[Trim IV]])</f>
        <v>0</v>
      </c>
      <c r="Y1434" s="22">
        <f>IFERROR((Registro[[#This Row],[Avance Total]]/Registro[[#This Row],[Meta]]),0)</f>
        <v>0</v>
      </c>
      <c r="Z1434" s="22">
        <f>IFERROR((Registro[[#This Row],[Avance Total]]-Registro[[#This Row],[Línea Base 2025]])/Registro[[#This Row],[Línea Base 2025]],0)</f>
        <v>-1</v>
      </c>
      <c r="AA1434" s="20"/>
    </row>
    <row r="1435" spans="1:27" hidden="1">
      <c r="A1435" s="14">
        <v>1111</v>
      </c>
      <c r="B1435" s="15" t="s">
        <v>129</v>
      </c>
      <c r="C1435" s="16">
        <v>114</v>
      </c>
      <c r="D1435" s="16" t="s">
        <v>181</v>
      </c>
      <c r="E1435" s="17" t="s">
        <v>180</v>
      </c>
      <c r="F1435" s="24">
        <v>0</v>
      </c>
      <c r="G1435" s="19">
        <v>10</v>
      </c>
      <c r="H1435" s="19">
        <v>2</v>
      </c>
      <c r="I1435" s="19">
        <v>0</v>
      </c>
      <c r="T1435" s="20">
        <f>Registro[[#This Row],[Mes 1]]+Registro[[#This Row],[Mes 2]]+Registro[[#This Row],[Mes 3]]</f>
        <v>2</v>
      </c>
      <c r="U1435" s="20">
        <f>Registro[[#This Row],[Mes 4]]+Registro[[#This Row],[Mes 5]]+Registro[[#This Row],[Mes 6]]</f>
        <v>0</v>
      </c>
      <c r="V1435" s="20">
        <f>Registro[[#This Row],[Mes 7]]+Registro[[#This Row],[Mes 8]]+Registro[[#This Row],[Mes 9]]</f>
        <v>0</v>
      </c>
      <c r="W1435" s="20">
        <f>Registro[[#This Row],[Mes 10]]+Registro[[#This Row],[Mes 11]]+Registro[[#This Row],[Mes 12]]</f>
        <v>0</v>
      </c>
      <c r="X1435" s="20">
        <f>SUM(Registro[[#This Row],[Trim I]],Registro[[#This Row],[Trim II]],Registro[[#This Row],[Trim III]],Registro[[#This Row],[Trim IV]])</f>
        <v>2</v>
      </c>
      <c r="Y1435" s="22">
        <f>IFERROR((Registro[[#This Row],[Avance Total]]/Registro[[#This Row],[Meta]]),0)</f>
        <v>0.2</v>
      </c>
      <c r="Z1435" s="22">
        <f>IFERROR((Registro[[#This Row],[Avance Total]]-Registro[[#This Row],[Línea Base 2025]])/Registro[[#This Row],[Línea Base 2025]],0)</f>
        <v>0</v>
      </c>
      <c r="AA1435" s="20"/>
    </row>
    <row r="1436" spans="1:27" hidden="1">
      <c r="A1436" s="14">
        <v>1111</v>
      </c>
      <c r="B1436" s="15" t="s">
        <v>129</v>
      </c>
      <c r="C1436" s="16">
        <v>115</v>
      </c>
      <c r="D1436" s="16" t="s">
        <v>183</v>
      </c>
      <c r="E1436" s="17" t="s">
        <v>182</v>
      </c>
      <c r="F1436" s="24">
        <v>3</v>
      </c>
      <c r="G1436" s="19">
        <v>9</v>
      </c>
      <c r="H1436" s="19">
        <v>0</v>
      </c>
      <c r="I1436" s="19">
        <v>0</v>
      </c>
      <c r="T1436" s="20">
        <f>Registro[[#This Row],[Mes 1]]+Registro[[#This Row],[Mes 2]]+Registro[[#This Row],[Mes 3]]</f>
        <v>0</v>
      </c>
      <c r="U1436" s="20">
        <f>Registro[[#This Row],[Mes 4]]+Registro[[#This Row],[Mes 5]]+Registro[[#This Row],[Mes 6]]</f>
        <v>0</v>
      </c>
      <c r="V1436" s="20">
        <f>Registro[[#This Row],[Mes 7]]+Registro[[#This Row],[Mes 8]]+Registro[[#This Row],[Mes 9]]</f>
        <v>0</v>
      </c>
      <c r="W1436" s="20">
        <f>Registro[[#This Row],[Mes 10]]+Registro[[#This Row],[Mes 11]]+Registro[[#This Row],[Mes 12]]</f>
        <v>0</v>
      </c>
      <c r="X1436" s="20">
        <f>SUM(Registro[[#This Row],[Trim I]],Registro[[#This Row],[Trim II]],Registro[[#This Row],[Trim III]],Registro[[#This Row],[Trim IV]])</f>
        <v>0</v>
      </c>
      <c r="Y1436" s="22">
        <f>IFERROR((Registro[[#This Row],[Avance Total]]/Registro[[#This Row],[Meta]]),0)</f>
        <v>0</v>
      </c>
      <c r="Z1436" s="22">
        <f>IFERROR((Registro[[#This Row],[Avance Total]]-Registro[[#This Row],[Línea Base 2025]])/Registro[[#This Row],[Línea Base 2025]],0)</f>
        <v>-1</v>
      </c>
      <c r="AA1436" s="20"/>
    </row>
    <row r="1437" spans="1:27">
      <c r="A1437" s="14">
        <v>1111</v>
      </c>
      <c r="B1437" s="15" t="s">
        <v>129</v>
      </c>
      <c r="C1437" s="16">
        <v>116</v>
      </c>
      <c r="D1437" s="16" t="s">
        <v>185</v>
      </c>
      <c r="E1437" s="17" t="s">
        <v>184</v>
      </c>
      <c r="F1437" s="24">
        <v>1</v>
      </c>
      <c r="G1437" s="19">
        <v>1</v>
      </c>
      <c r="H1437" s="19">
        <v>0</v>
      </c>
      <c r="I1437" s="19">
        <v>0</v>
      </c>
      <c r="T1437" s="20">
        <f>Registro[[#This Row],[Mes 1]]+Registro[[#This Row],[Mes 2]]+Registro[[#This Row],[Mes 3]]</f>
        <v>0</v>
      </c>
      <c r="U1437" s="20">
        <f>Registro[[#This Row],[Mes 4]]+Registro[[#This Row],[Mes 5]]+Registro[[#This Row],[Mes 6]]</f>
        <v>0</v>
      </c>
      <c r="V1437" s="20">
        <f>Registro[[#This Row],[Mes 7]]+Registro[[#This Row],[Mes 8]]+Registro[[#This Row],[Mes 9]]</f>
        <v>0</v>
      </c>
      <c r="W1437" s="20">
        <f>Registro[[#This Row],[Mes 10]]+Registro[[#This Row],[Mes 11]]+Registro[[#This Row],[Mes 12]]</f>
        <v>0</v>
      </c>
      <c r="X1437" s="20">
        <f>SUM(Registro[[#This Row],[Trim I]],Registro[[#This Row],[Trim II]],Registro[[#This Row],[Trim III]],Registro[[#This Row],[Trim IV]])</f>
        <v>0</v>
      </c>
      <c r="Y1437" s="22">
        <f>IFERROR((Registro[[#This Row],[Avance Total]]/Registro[[#This Row],[Meta]]),0)</f>
        <v>0</v>
      </c>
      <c r="Z1437" s="22">
        <f>IFERROR((Registro[[#This Row],[Avance Total]]-Registro[[#This Row],[Línea Base 2025]])/Registro[[#This Row],[Línea Base 2025]],0)</f>
        <v>-1</v>
      </c>
      <c r="AA1437" s="20"/>
    </row>
    <row r="1438" spans="1:27" hidden="1">
      <c r="A1438" s="14">
        <v>1111</v>
      </c>
      <c r="B1438" s="15" t="s">
        <v>129</v>
      </c>
      <c r="C1438" s="16">
        <v>117</v>
      </c>
      <c r="D1438" s="16" t="s">
        <v>187</v>
      </c>
      <c r="E1438" s="17" t="s">
        <v>186</v>
      </c>
      <c r="F1438" s="24">
        <v>0</v>
      </c>
      <c r="G1438" s="19">
        <v>4</v>
      </c>
      <c r="H1438" s="19">
        <v>0</v>
      </c>
      <c r="I1438" s="19">
        <v>0</v>
      </c>
      <c r="T1438" s="20">
        <f>Registro[[#This Row],[Mes 1]]+Registro[[#This Row],[Mes 2]]+Registro[[#This Row],[Mes 3]]</f>
        <v>0</v>
      </c>
      <c r="U1438" s="20">
        <f>Registro[[#This Row],[Mes 4]]+Registro[[#This Row],[Mes 5]]+Registro[[#This Row],[Mes 6]]</f>
        <v>0</v>
      </c>
      <c r="V1438" s="20">
        <f>Registro[[#This Row],[Mes 7]]+Registro[[#This Row],[Mes 8]]+Registro[[#This Row],[Mes 9]]</f>
        <v>0</v>
      </c>
      <c r="W1438" s="20">
        <f>Registro[[#This Row],[Mes 10]]+Registro[[#This Row],[Mes 11]]+Registro[[#This Row],[Mes 12]]</f>
        <v>0</v>
      </c>
      <c r="X1438" s="20">
        <f>SUM(Registro[[#This Row],[Trim I]],Registro[[#This Row],[Trim II]],Registro[[#This Row],[Trim III]],Registro[[#This Row],[Trim IV]])</f>
        <v>0</v>
      </c>
      <c r="Y1438" s="22">
        <f>IFERROR((Registro[[#This Row],[Avance Total]]/Registro[[#This Row],[Meta]]),0)</f>
        <v>0</v>
      </c>
      <c r="Z1438" s="22">
        <f>IFERROR((Registro[[#This Row],[Avance Total]]-Registro[[#This Row],[Línea Base 2025]])/Registro[[#This Row],[Línea Base 2025]],0)</f>
        <v>0</v>
      </c>
      <c r="AA1438" s="20"/>
    </row>
    <row r="1439" spans="1:27" hidden="1">
      <c r="A1439" s="14">
        <v>1111</v>
      </c>
      <c r="B1439" s="15" t="s">
        <v>129</v>
      </c>
      <c r="C1439" s="16">
        <v>118</v>
      </c>
      <c r="D1439" s="16" t="s">
        <v>188</v>
      </c>
      <c r="E1439" s="17" t="s">
        <v>9</v>
      </c>
      <c r="F1439" s="24">
        <v>0</v>
      </c>
      <c r="G1439" s="19">
        <v>5</v>
      </c>
      <c r="H1439" s="19">
        <v>0</v>
      </c>
      <c r="I1439" s="19">
        <v>0</v>
      </c>
      <c r="T1439" s="20">
        <f>Registro[[#This Row],[Mes 1]]+Registro[[#This Row],[Mes 2]]+Registro[[#This Row],[Mes 3]]</f>
        <v>0</v>
      </c>
      <c r="U1439" s="20">
        <f>Registro[[#This Row],[Mes 4]]+Registro[[#This Row],[Mes 5]]+Registro[[#This Row],[Mes 6]]</f>
        <v>0</v>
      </c>
      <c r="V1439" s="20">
        <f>Registro[[#This Row],[Mes 7]]+Registro[[#This Row],[Mes 8]]+Registro[[#This Row],[Mes 9]]</f>
        <v>0</v>
      </c>
      <c r="W1439" s="20">
        <f>Registro[[#This Row],[Mes 10]]+Registro[[#This Row],[Mes 11]]+Registro[[#This Row],[Mes 12]]</f>
        <v>0</v>
      </c>
      <c r="X1439" s="20">
        <f>SUM(Registro[[#This Row],[Trim I]],Registro[[#This Row],[Trim II]],Registro[[#This Row],[Trim III]],Registro[[#This Row],[Trim IV]])</f>
        <v>0</v>
      </c>
      <c r="Y1439" s="22">
        <f>IFERROR((Registro[[#This Row],[Avance Total]]/Registro[[#This Row],[Meta]]),0)</f>
        <v>0</v>
      </c>
      <c r="Z1439" s="22">
        <f>IFERROR((Registro[[#This Row],[Avance Total]]-Registro[[#This Row],[Línea Base 2025]])/Registro[[#This Row],[Línea Base 2025]],0)</f>
        <v>0</v>
      </c>
      <c r="AA1439" s="20"/>
    </row>
    <row r="1440" spans="1:27" hidden="1">
      <c r="A1440" s="14">
        <v>1111</v>
      </c>
      <c r="B1440" s="15" t="s">
        <v>129</v>
      </c>
      <c r="C1440" s="16">
        <v>119</v>
      </c>
      <c r="D1440" s="16" t="s">
        <v>190</v>
      </c>
      <c r="E1440" s="17" t="s">
        <v>189</v>
      </c>
      <c r="F1440" s="24">
        <v>0</v>
      </c>
      <c r="G1440" s="19">
        <v>1</v>
      </c>
      <c r="H1440" s="19">
        <v>0</v>
      </c>
      <c r="I1440" s="19">
        <v>0</v>
      </c>
      <c r="T1440" s="20">
        <f>Registro[[#This Row],[Mes 1]]+Registro[[#This Row],[Mes 2]]+Registro[[#This Row],[Mes 3]]</f>
        <v>0</v>
      </c>
      <c r="U1440" s="20">
        <f>Registro[[#This Row],[Mes 4]]+Registro[[#This Row],[Mes 5]]+Registro[[#This Row],[Mes 6]]</f>
        <v>0</v>
      </c>
      <c r="V1440" s="20">
        <f>Registro[[#This Row],[Mes 7]]+Registro[[#This Row],[Mes 8]]+Registro[[#This Row],[Mes 9]]</f>
        <v>0</v>
      </c>
      <c r="W1440" s="20">
        <f>Registro[[#This Row],[Mes 10]]+Registro[[#This Row],[Mes 11]]+Registro[[#This Row],[Mes 12]]</f>
        <v>0</v>
      </c>
      <c r="X1440" s="20">
        <f>SUM(Registro[[#This Row],[Trim I]],Registro[[#This Row],[Trim II]],Registro[[#This Row],[Trim III]],Registro[[#This Row],[Trim IV]])</f>
        <v>0</v>
      </c>
      <c r="Y1440" s="22">
        <f>IFERROR((Registro[[#This Row],[Avance Total]]/Registro[[#This Row],[Meta]]),0)</f>
        <v>0</v>
      </c>
      <c r="Z1440" s="22">
        <f>IFERROR((Registro[[#This Row],[Avance Total]]-Registro[[#This Row],[Línea Base 2025]])/Registro[[#This Row],[Línea Base 2025]],0)</f>
        <v>0</v>
      </c>
      <c r="AA1440" s="20"/>
    </row>
    <row r="1441" spans="1:27" hidden="1">
      <c r="A1441" s="14">
        <v>1111</v>
      </c>
      <c r="B1441" s="15" t="s">
        <v>129</v>
      </c>
      <c r="C1441" s="16">
        <v>120</v>
      </c>
      <c r="D1441" s="16" t="s">
        <v>192</v>
      </c>
      <c r="E1441" s="17" t="s">
        <v>191</v>
      </c>
      <c r="F1441" s="24">
        <v>2</v>
      </c>
      <c r="G1441" s="19">
        <v>30</v>
      </c>
      <c r="H1441" s="19">
        <v>0</v>
      </c>
      <c r="I1441" s="19">
        <v>0</v>
      </c>
      <c r="T1441" s="20">
        <f>Registro[[#This Row],[Mes 1]]+Registro[[#This Row],[Mes 2]]+Registro[[#This Row],[Mes 3]]</f>
        <v>0</v>
      </c>
      <c r="U1441" s="20">
        <f>Registro[[#This Row],[Mes 4]]+Registro[[#This Row],[Mes 5]]+Registro[[#This Row],[Mes 6]]</f>
        <v>0</v>
      </c>
      <c r="V1441" s="20">
        <f>Registro[[#This Row],[Mes 7]]+Registro[[#This Row],[Mes 8]]+Registro[[#This Row],[Mes 9]]</f>
        <v>0</v>
      </c>
      <c r="W1441" s="20">
        <f>Registro[[#This Row],[Mes 10]]+Registro[[#This Row],[Mes 11]]+Registro[[#This Row],[Mes 12]]</f>
        <v>0</v>
      </c>
      <c r="X1441" s="20">
        <f>SUM(Registro[[#This Row],[Trim I]],Registro[[#This Row],[Trim II]],Registro[[#This Row],[Trim III]],Registro[[#This Row],[Trim IV]])</f>
        <v>0</v>
      </c>
      <c r="Y1441" s="22">
        <f>IFERROR((Registro[[#This Row],[Avance Total]]/Registro[[#This Row],[Meta]]),0)</f>
        <v>0</v>
      </c>
      <c r="Z1441" s="22">
        <f>IFERROR((Registro[[#This Row],[Avance Total]]-Registro[[#This Row],[Línea Base 2025]])/Registro[[#This Row],[Línea Base 2025]],0)</f>
        <v>-1</v>
      </c>
      <c r="AA1441" s="20"/>
    </row>
    <row r="1442" spans="1:27" hidden="1">
      <c r="A1442" s="14">
        <v>1111</v>
      </c>
      <c r="B1442" s="15" t="s">
        <v>129</v>
      </c>
      <c r="C1442" s="16">
        <v>121</v>
      </c>
      <c r="D1442" s="16" t="s">
        <v>194</v>
      </c>
      <c r="E1442" s="17" t="s">
        <v>193</v>
      </c>
      <c r="F1442" s="24">
        <v>7</v>
      </c>
      <c r="G1442" s="19">
        <v>8</v>
      </c>
      <c r="H1442" s="19">
        <v>0</v>
      </c>
      <c r="I1442" s="19">
        <v>0</v>
      </c>
      <c r="T1442" s="20">
        <f>Registro[[#This Row],[Mes 1]]+Registro[[#This Row],[Mes 2]]+Registro[[#This Row],[Mes 3]]</f>
        <v>0</v>
      </c>
      <c r="U1442" s="20">
        <f>Registro[[#This Row],[Mes 4]]+Registro[[#This Row],[Mes 5]]+Registro[[#This Row],[Mes 6]]</f>
        <v>0</v>
      </c>
      <c r="V1442" s="20">
        <f>Registro[[#This Row],[Mes 7]]+Registro[[#This Row],[Mes 8]]+Registro[[#This Row],[Mes 9]]</f>
        <v>0</v>
      </c>
      <c r="W1442" s="20">
        <f>Registro[[#This Row],[Mes 10]]+Registro[[#This Row],[Mes 11]]+Registro[[#This Row],[Mes 12]]</f>
        <v>0</v>
      </c>
      <c r="X1442" s="20">
        <f>SUM(Registro[[#This Row],[Trim I]],Registro[[#This Row],[Trim II]],Registro[[#This Row],[Trim III]],Registro[[#This Row],[Trim IV]])</f>
        <v>0</v>
      </c>
      <c r="Y1442" s="22">
        <f>IFERROR((Registro[[#This Row],[Avance Total]]/Registro[[#This Row],[Meta]]),0)</f>
        <v>0</v>
      </c>
      <c r="Z1442" s="22">
        <f>IFERROR((Registro[[#This Row],[Avance Total]]-Registro[[#This Row],[Línea Base 2025]])/Registro[[#This Row],[Línea Base 2025]],0)</f>
        <v>-1</v>
      </c>
      <c r="AA1442" s="20"/>
    </row>
    <row r="1443" spans="1:27" hidden="1">
      <c r="A1443" s="14">
        <v>1111</v>
      </c>
      <c r="B1443" s="15" t="s">
        <v>129</v>
      </c>
      <c r="C1443" s="16">
        <v>122</v>
      </c>
      <c r="D1443" s="16" t="s">
        <v>196</v>
      </c>
      <c r="E1443" s="17" t="s">
        <v>195</v>
      </c>
      <c r="F1443" s="24">
        <v>16</v>
      </c>
      <c r="G1443" s="19">
        <v>10</v>
      </c>
      <c r="H1443" s="19">
        <v>0</v>
      </c>
      <c r="I1443" s="19">
        <v>0</v>
      </c>
      <c r="T1443" s="20">
        <f>Registro[[#This Row],[Mes 1]]+Registro[[#This Row],[Mes 2]]+Registro[[#This Row],[Mes 3]]</f>
        <v>0</v>
      </c>
      <c r="U1443" s="20">
        <f>Registro[[#This Row],[Mes 4]]+Registro[[#This Row],[Mes 5]]+Registro[[#This Row],[Mes 6]]</f>
        <v>0</v>
      </c>
      <c r="V1443" s="20">
        <f>Registro[[#This Row],[Mes 7]]+Registro[[#This Row],[Mes 8]]+Registro[[#This Row],[Mes 9]]</f>
        <v>0</v>
      </c>
      <c r="W1443" s="20">
        <f>Registro[[#This Row],[Mes 10]]+Registro[[#This Row],[Mes 11]]+Registro[[#This Row],[Mes 12]]</f>
        <v>0</v>
      </c>
      <c r="X1443" s="20">
        <f>SUM(Registro[[#This Row],[Trim I]],Registro[[#This Row],[Trim II]],Registro[[#This Row],[Trim III]],Registro[[#This Row],[Trim IV]])</f>
        <v>0</v>
      </c>
      <c r="Y1443" s="22">
        <f>IFERROR((Registro[[#This Row],[Avance Total]]/Registro[[#This Row],[Meta]]),0)</f>
        <v>0</v>
      </c>
      <c r="Z1443" s="22">
        <f>IFERROR((Registro[[#This Row],[Avance Total]]-Registro[[#This Row],[Línea Base 2025]])/Registro[[#This Row],[Línea Base 2025]],0)</f>
        <v>-1</v>
      </c>
      <c r="AA1443" s="20"/>
    </row>
    <row r="1444" spans="1:27" hidden="1">
      <c r="A1444" s="14">
        <v>1111</v>
      </c>
      <c r="B1444" s="15" t="s">
        <v>129</v>
      </c>
      <c r="C1444" s="26">
        <v>123</v>
      </c>
      <c r="D1444" s="26" t="s">
        <v>198</v>
      </c>
      <c r="E1444" s="17" t="s">
        <v>197</v>
      </c>
      <c r="F1444" s="32">
        <v>0</v>
      </c>
      <c r="G1444" s="28">
        <v>2</v>
      </c>
      <c r="H1444" s="28">
        <v>0</v>
      </c>
      <c r="I1444" s="28">
        <v>0</v>
      </c>
      <c r="J1444" s="27"/>
      <c r="K1444" s="27"/>
      <c r="L1444" s="27"/>
      <c r="M1444" s="27"/>
      <c r="N1444" s="27"/>
      <c r="O1444" s="27"/>
      <c r="P1444" s="27"/>
      <c r="Q1444" s="27"/>
      <c r="R1444" s="27"/>
      <c r="S1444" s="27"/>
      <c r="T1444" s="29">
        <f>Registro[[#This Row],[Mes 1]]+Registro[[#This Row],[Mes 2]]+Registro[[#This Row],[Mes 3]]</f>
        <v>0</v>
      </c>
      <c r="U1444" s="29">
        <f>Registro[[#This Row],[Mes 4]]+Registro[[#This Row],[Mes 5]]+Registro[[#This Row],[Mes 6]]</f>
        <v>0</v>
      </c>
      <c r="V1444" s="29">
        <f>Registro[[#This Row],[Mes 7]]+Registro[[#This Row],[Mes 8]]+Registro[[#This Row],[Mes 9]]</f>
        <v>0</v>
      </c>
      <c r="W1444" s="29">
        <f>Registro[[#This Row],[Mes 10]]+Registro[[#This Row],[Mes 11]]+Registro[[#This Row],[Mes 12]]</f>
        <v>0</v>
      </c>
      <c r="X1444" s="29">
        <f>SUM(Registro[[#This Row],[Trim I]],Registro[[#This Row],[Trim II]],Registro[[#This Row],[Trim III]],Registro[[#This Row],[Trim IV]])</f>
        <v>0</v>
      </c>
      <c r="Y1444" s="30">
        <f>IFERROR((Registro[[#This Row],[Avance Total]]/Registro[[#This Row],[Meta]]),0)</f>
        <v>0</v>
      </c>
      <c r="Z1444" s="30">
        <f>IFERROR((Registro[[#This Row],[Avance Total]]-Registro[[#This Row],[Línea Base 2025]])/Registro[[#This Row],[Línea Base 2025]],0)</f>
        <v>0</v>
      </c>
      <c r="AA1444" s="29"/>
    </row>
    <row r="1445" spans="1:27" hidden="1">
      <c r="A1445" s="14">
        <v>1112</v>
      </c>
      <c r="B1445" s="15" t="s">
        <v>13</v>
      </c>
      <c r="C1445" s="16">
        <v>111</v>
      </c>
      <c r="D1445" s="16" t="s">
        <v>171</v>
      </c>
      <c r="E1445" s="17" t="s">
        <v>172</v>
      </c>
      <c r="F1445" s="24">
        <v>0</v>
      </c>
      <c r="G1445" s="19">
        <v>57</v>
      </c>
      <c r="H1445" s="19">
        <v>2</v>
      </c>
      <c r="I1445" s="19">
        <v>3</v>
      </c>
      <c r="T1445" s="20">
        <f>Registro[[#This Row],[Mes 1]]+Registro[[#This Row],[Mes 2]]+Registro[[#This Row],[Mes 3]]</f>
        <v>5</v>
      </c>
      <c r="U1445" s="20">
        <f>Registro[[#This Row],[Mes 4]]+Registro[[#This Row],[Mes 5]]+Registro[[#This Row],[Mes 6]]</f>
        <v>0</v>
      </c>
      <c r="V1445" s="20">
        <f>Registro[[#This Row],[Mes 7]]+Registro[[#This Row],[Mes 8]]+Registro[[#This Row],[Mes 9]]</f>
        <v>0</v>
      </c>
      <c r="W1445" s="20">
        <f>Registro[[#This Row],[Mes 10]]+Registro[[#This Row],[Mes 11]]+Registro[[#This Row],[Mes 12]]</f>
        <v>0</v>
      </c>
      <c r="X1445" s="20">
        <f>SUM(Registro[[#This Row],[Trim I]],Registro[[#This Row],[Trim II]],Registro[[#This Row],[Trim III]],Registro[[#This Row],[Trim IV]])</f>
        <v>5</v>
      </c>
      <c r="Y1445" s="22">
        <f>IFERROR((Registro[[#This Row],[Avance Total]]/Registro[[#This Row],[Meta]]),0)</f>
        <v>8.771929824561403E-2</v>
      </c>
      <c r="Z1445" s="22">
        <f>IFERROR((Registro[[#This Row],[Avance Total]]-Registro[[#This Row],[Línea Base 2025]])/Registro[[#This Row],[Línea Base 2025]],0)</f>
        <v>0</v>
      </c>
      <c r="AA1445" s="20"/>
    </row>
    <row r="1446" spans="1:27" hidden="1">
      <c r="A1446" s="14">
        <v>1112</v>
      </c>
      <c r="B1446" s="15" t="s">
        <v>13</v>
      </c>
      <c r="C1446" s="16">
        <v>112</v>
      </c>
      <c r="D1446" s="16" t="s">
        <v>173</v>
      </c>
      <c r="E1446" s="17" t="s">
        <v>7</v>
      </c>
      <c r="F1446" s="24">
        <v>0</v>
      </c>
      <c r="G1446" s="19">
        <v>0</v>
      </c>
      <c r="H1446" s="19">
        <v>0</v>
      </c>
      <c r="I1446" s="19">
        <v>0</v>
      </c>
      <c r="T1446" s="20">
        <f>Registro[[#This Row],[Mes 1]]+Registro[[#This Row],[Mes 2]]+Registro[[#This Row],[Mes 3]]</f>
        <v>0</v>
      </c>
      <c r="U1446" s="20">
        <f>Registro[[#This Row],[Mes 4]]+Registro[[#This Row],[Mes 5]]+Registro[[#This Row],[Mes 6]]</f>
        <v>0</v>
      </c>
      <c r="V1446" s="20">
        <f>Registro[[#This Row],[Mes 7]]+Registro[[#This Row],[Mes 8]]+Registro[[#This Row],[Mes 9]]</f>
        <v>0</v>
      </c>
      <c r="W1446" s="20">
        <f>Registro[[#This Row],[Mes 10]]+Registro[[#This Row],[Mes 11]]+Registro[[#This Row],[Mes 12]]</f>
        <v>0</v>
      </c>
      <c r="X1446" s="20">
        <f>SUM(Registro[[#This Row],[Trim I]],Registro[[#This Row],[Trim II]],Registro[[#This Row],[Trim III]],Registro[[#This Row],[Trim IV]])</f>
        <v>0</v>
      </c>
      <c r="Y1446" s="22">
        <f>IFERROR((Registro[[#This Row],[Avance Total]]/Registro[[#This Row],[Meta]]),0)</f>
        <v>0</v>
      </c>
      <c r="Z1446" s="22">
        <f>IFERROR((Registro[[#This Row],[Avance Total]]-Registro[[#This Row],[Línea Base 2025]])/Registro[[#This Row],[Línea Base 2025]],0)</f>
        <v>0</v>
      </c>
      <c r="AA1446" s="20"/>
    </row>
    <row r="1447" spans="1:27" hidden="1">
      <c r="A1447" s="14">
        <v>1112</v>
      </c>
      <c r="B1447" s="15" t="s">
        <v>13</v>
      </c>
      <c r="C1447" s="16">
        <v>113</v>
      </c>
      <c r="D1447" s="16" t="s">
        <v>179</v>
      </c>
      <c r="E1447" s="17" t="s">
        <v>178</v>
      </c>
      <c r="F1447" s="24">
        <v>4</v>
      </c>
      <c r="G1447" s="19">
        <v>23</v>
      </c>
      <c r="H1447" s="19">
        <v>0</v>
      </c>
      <c r="I1447" s="19">
        <v>0</v>
      </c>
      <c r="T1447" s="20">
        <f>Registro[[#This Row],[Mes 1]]+Registro[[#This Row],[Mes 2]]+Registro[[#This Row],[Mes 3]]</f>
        <v>0</v>
      </c>
      <c r="U1447" s="20">
        <f>Registro[[#This Row],[Mes 4]]+Registro[[#This Row],[Mes 5]]+Registro[[#This Row],[Mes 6]]</f>
        <v>0</v>
      </c>
      <c r="V1447" s="20">
        <f>Registro[[#This Row],[Mes 7]]+Registro[[#This Row],[Mes 8]]+Registro[[#This Row],[Mes 9]]</f>
        <v>0</v>
      </c>
      <c r="W1447" s="20">
        <f>Registro[[#This Row],[Mes 10]]+Registro[[#This Row],[Mes 11]]+Registro[[#This Row],[Mes 12]]</f>
        <v>0</v>
      </c>
      <c r="X1447" s="20">
        <f>SUM(Registro[[#This Row],[Trim I]],Registro[[#This Row],[Trim II]],Registro[[#This Row],[Trim III]],Registro[[#This Row],[Trim IV]])</f>
        <v>0</v>
      </c>
      <c r="Y1447" s="22">
        <f>IFERROR((Registro[[#This Row],[Avance Total]]/Registro[[#This Row],[Meta]]),0)</f>
        <v>0</v>
      </c>
      <c r="Z1447" s="22">
        <f>IFERROR((Registro[[#This Row],[Avance Total]]-Registro[[#This Row],[Línea Base 2025]])/Registro[[#This Row],[Línea Base 2025]],0)</f>
        <v>-1</v>
      </c>
      <c r="AA1447" s="20"/>
    </row>
    <row r="1448" spans="1:27" hidden="1">
      <c r="A1448" s="14">
        <v>1112</v>
      </c>
      <c r="B1448" s="15" t="s">
        <v>13</v>
      </c>
      <c r="C1448" s="16">
        <v>114</v>
      </c>
      <c r="D1448" s="16" t="s">
        <v>181</v>
      </c>
      <c r="E1448" s="17" t="s">
        <v>180</v>
      </c>
      <c r="F1448" s="24">
        <v>0</v>
      </c>
      <c r="G1448" s="19">
        <v>0</v>
      </c>
      <c r="H1448" s="19">
        <v>0</v>
      </c>
      <c r="I1448" s="19">
        <v>20</v>
      </c>
      <c r="T1448" s="20">
        <f>Registro[[#This Row],[Mes 1]]+Registro[[#This Row],[Mes 2]]+Registro[[#This Row],[Mes 3]]</f>
        <v>20</v>
      </c>
      <c r="U1448" s="20">
        <f>Registro[[#This Row],[Mes 4]]+Registro[[#This Row],[Mes 5]]+Registro[[#This Row],[Mes 6]]</f>
        <v>0</v>
      </c>
      <c r="V1448" s="20">
        <f>Registro[[#This Row],[Mes 7]]+Registro[[#This Row],[Mes 8]]+Registro[[#This Row],[Mes 9]]</f>
        <v>0</v>
      </c>
      <c r="W1448" s="20">
        <f>Registro[[#This Row],[Mes 10]]+Registro[[#This Row],[Mes 11]]+Registro[[#This Row],[Mes 12]]</f>
        <v>0</v>
      </c>
      <c r="X1448" s="20">
        <f>SUM(Registro[[#This Row],[Trim I]],Registro[[#This Row],[Trim II]],Registro[[#This Row],[Trim III]],Registro[[#This Row],[Trim IV]])</f>
        <v>20</v>
      </c>
      <c r="Y1448" s="22">
        <f>IFERROR((Registro[[#This Row],[Avance Total]]/Registro[[#This Row],[Meta]]),0)</f>
        <v>0</v>
      </c>
      <c r="Z1448" s="22">
        <f>IFERROR((Registro[[#This Row],[Avance Total]]-Registro[[#This Row],[Línea Base 2025]])/Registro[[#This Row],[Línea Base 2025]],0)</f>
        <v>0</v>
      </c>
      <c r="AA1448" s="20"/>
    </row>
    <row r="1449" spans="1:27" hidden="1">
      <c r="A1449" s="14">
        <v>1112</v>
      </c>
      <c r="B1449" s="15" t="s">
        <v>13</v>
      </c>
      <c r="C1449" s="16">
        <v>115</v>
      </c>
      <c r="D1449" s="16" t="s">
        <v>183</v>
      </c>
      <c r="E1449" s="17" t="s">
        <v>182</v>
      </c>
      <c r="F1449" s="24">
        <v>0</v>
      </c>
      <c r="G1449" s="19">
        <v>0</v>
      </c>
      <c r="H1449" s="19">
        <v>0</v>
      </c>
      <c r="I1449" s="19">
        <v>0</v>
      </c>
      <c r="T1449" s="20">
        <f>Registro[[#This Row],[Mes 1]]+Registro[[#This Row],[Mes 2]]+Registro[[#This Row],[Mes 3]]</f>
        <v>0</v>
      </c>
      <c r="U1449" s="20">
        <f>Registro[[#This Row],[Mes 4]]+Registro[[#This Row],[Mes 5]]+Registro[[#This Row],[Mes 6]]</f>
        <v>0</v>
      </c>
      <c r="V1449" s="20">
        <f>Registro[[#This Row],[Mes 7]]+Registro[[#This Row],[Mes 8]]+Registro[[#This Row],[Mes 9]]</f>
        <v>0</v>
      </c>
      <c r="W1449" s="20">
        <f>Registro[[#This Row],[Mes 10]]+Registro[[#This Row],[Mes 11]]+Registro[[#This Row],[Mes 12]]</f>
        <v>0</v>
      </c>
      <c r="X1449" s="20">
        <f>SUM(Registro[[#This Row],[Trim I]],Registro[[#This Row],[Trim II]],Registro[[#This Row],[Trim III]],Registro[[#This Row],[Trim IV]])</f>
        <v>0</v>
      </c>
      <c r="Y1449" s="22">
        <f>IFERROR((Registro[[#This Row],[Avance Total]]/Registro[[#This Row],[Meta]]),0)</f>
        <v>0</v>
      </c>
      <c r="Z1449" s="22">
        <f>IFERROR((Registro[[#This Row],[Avance Total]]-Registro[[#This Row],[Línea Base 2025]])/Registro[[#This Row],[Línea Base 2025]],0)</f>
        <v>0</v>
      </c>
      <c r="AA1449" s="20"/>
    </row>
    <row r="1450" spans="1:27">
      <c r="A1450" s="14">
        <v>1112</v>
      </c>
      <c r="B1450" s="15" t="s">
        <v>13</v>
      </c>
      <c r="C1450" s="16">
        <v>116</v>
      </c>
      <c r="D1450" s="16" t="s">
        <v>185</v>
      </c>
      <c r="E1450" s="17" t="s">
        <v>184</v>
      </c>
      <c r="F1450" s="24">
        <v>0</v>
      </c>
      <c r="G1450" s="19">
        <v>1</v>
      </c>
      <c r="H1450" s="19">
        <v>0</v>
      </c>
      <c r="I1450" s="19">
        <v>0</v>
      </c>
      <c r="T1450" s="20">
        <f>Registro[[#This Row],[Mes 1]]+Registro[[#This Row],[Mes 2]]+Registro[[#This Row],[Mes 3]]</f>
        <v>0</v>
      </c>
      <c r="U1450" s="20">
        <f>Registro[[#This Row],[Mes 4]]+Registro[[#This Row],[Mes 5]]+Registro[[#This Row],[Mes 6]]</f>
        <v>0</v>
      </c>
      <c r="V1450" s="20">
        <f>Registro[[#This Row],[Mes 7]]+Registro[[#This Row],[Mes 8]]+Registro[[#This Row],[Mes 9]]</f>
        <v>0</v>
      </c>
      <c r="W1450" s="20">
        <f>Registro[[#This Row],[Mes 10]]+Registro[[#This Row],[Mes 11]]+Registro[[#This Row],[Mes 12]]</f>
        <v>0</v>
      </c>
      <c r="X1450" s="20">
        <f>SUM(Registro[[#This Row],[Trim I]],Registro[[#This Row],[Trim II]],Registro[[#This Row],[Trim III]],Registro[[#This Row],[Trim IV]])</f>
        <v>0</v>
      </c>
      <c r="Y1450" s="22">
        <f>IFERROR((Registro[[#This Row],[Avance Total]]/Registro[[#This Row],[Meta]]),0)</f>
        <v>0</v>
      </c>
      <c r="Z1450" s="22">
        <f>IFERROR((Registro[[#This Row],[Avance Total]]-Registro[[#This Row],[Línea Base 2025]])/Registro[[#This Row],[Línea Base 2025]],0)</f>
        <v>0</v>
      </c>
      <c r="AA1450" s="20"/>
    </row>
    <row r="1451" spans="1:27" hidden="1">
      <c r="A1451" s="14">
        <v>1112</v>
      </c>
      <c r="B1451" s="15" t="s">
        <v>13</v>
      </c>
      <c r="C1451" s="16">
        <v>117</v>
      </c>
      <c r="D1451" s="16" t="s">
        <v>187</v>
      </c>
      <c r="E1451" s="17" t="s">
        <v>186</v>
      </c>
      <c r="F1451" s="24">
        <v>0</v>
      </c>
      <c r="G1451" s="19">
        <v>0</v>
      </c>
      <c r="H1451" s="19">
        <v>0</v>
      </c>
      <c r="I1451" s="19">
        <v>0</v>
      </c>
      <c r="T1451" s="20">
        <f>Registro[[#This Row],[Mes 1]]+Registro[[#This Row],[Mes 2]]+Registro[[#This Row],[Mes 3]]</f>
        <v>0</v>
      </c>
      <c r="U1451" s="20">
        <f>Registro[[#This Row],[Mes 4]]+Registro[[#This Row],[Mes 5]]+Registro[[#This Row],[Mes 6]]</f>
        <v>0</v>
      </c>
      <c r="V1451" s="20">
        <f>Registro[[#This Row],[Mes 7]]+Registro[[#This Row],[Mes 8]]+Registro[[#This Row],[Mes 9]]</f>
        <v>0</v>
      </c>
      <c r="W1451" s="20">
        <f>Registro[[#This Row],[Mes 10]]+Registro[[#This Row],[Mes 11]]+Registro[[#This Row],[Mes 12]]</f>
        <v>0</v>
      </c>
      <c r="X1451" s="20">
        <f>SUM(Registro[[#This Row],[Trim I]],Registro[[#This Row],[Trim II]],Registro[[#This Row],[Trim III]],Registro[[#This Row],[Trim IV]])</f>
        <v>0</v>
      </c>
      <c r="Y1451" s="22">
        <f>IFERROR((Registro[[#This Row],[Avance Total]]/Registro[[#This Row],[Meta]]),0)</f>
        <v>0</v>
      </c>
      <c r="Z1451" s="22">
        <f>IFERROR((Registro[[#This Row],[Avance Total]]-Registro[[#This Row],[Línea Base 2025]])/Registro[[#This Row],[Línea Base 2025]],0)</f>
        <v>0</v>
      </c>
      <c r="AA1451" s="20"/>
    </row>
    <row r="1452" spans="1:27" hidden="1">
      <c r="A1452" s="14">
        <v>1112</v>
      </c>
      <c r="B1452" s="15" t="s">
        <v>13</v>
      </c>
      <c r="C1452" s="16">
        <v>118</v>
      </c>
      <c r="D1452" s="16" t="s">
        <v>188</v>
      </c>
      <c r="E1452" s="17" t="s">
        <v>9</v>
      </c>
      <c r="F1452" s="24">
        <v>0</v>
      </c>
      <c r="G1452" s="19">
        <v>0</v>
      </c>
      <c r="H1452" s="19">
        <v>0</v>
      </c>
      <c r="I1452" s="19">
        <v>0</v>
      </c>
      <c r="T1452" s="20">
        <f>Registro[[#This Row],[Mes 1]]+Registro[[#This Row],[Mes 2]]+Registro[[#This Row],[Mes 3]]</f>
        <v>0</v>
      </c>
      <c r="U1452" s="20">
        <f>Registro[[#This Row],[Mes 4]]+Registro[[#This Row],[Mes 5]]+Registro[[#This Row],[Mes 6]]</f>
        <v>0</v>
      </c>
      <c r="V1452" s="20">
        <f>Registro[[#This Row],[Mes 7]]+Registro[[#This Row],[Mes 8]]+Registro[[#This Row],[Mes 9]]</f>
        <v>0</v>
      </c>
      <c r="W1452" s="20">
        <f>Registro[[#This Row],[Mes 10]]+Registro[[#This Row],[Mes 11]]+Registro[[#This Row],[Mes 12]]</f>
        <v>0</v>
      </c>
      <c r="X1452" s="20">
        <f>SUM(Registro[[#This Row],[Trim I]],Registro[[#This Row],[Trim II]],Registro[[#This Row],[Trim III]],Registro[[#This Row],[Trim IV]])</f>
        <v>0</v>
      </c>
      <c r="Y1452" s="22">
        <f>IFERROR((Registro[[#This Row],[Avance Total]]/Registro[[#This Row],[Meta]]),0)</f>
        <v>0</v>
      </c>
      <c r="Z1452" s="22">
        <f>IFERROR((Registro[[#This Row],[Avance Total]]-Registro[[#This Row],[Línea Base 2025]])/Registro[[#This Row],[Línea Base 2025]],0)</f>
        <v>0</v>
      </c>
      <c r="AA1452" s="20"/>
    </row>
    <row r="1453" spans="1:27" hidden="1">
      <c r="A1453" s="14">
        <v>1112</v>
      </c>
      <c r="B1453" s="15" t="s">
        <v>13</v>
      </c>
      <c r="C1453" s="16">
        <v>119</v>
      </c>
      <c r="D1453" s="16" t="s">
        <v>190</v>
      </c>
      <c r="E1453" s="17" t="s">
        <v>189</v>
      </c>
      <c r="F1453" s="24">
        <v>0</v>
      </c>
      <c r="G1453" s="19">
        <v>1</v>
      </c>
      <c r="H1453" s="19">
        <v>0</v>
      </c>
      <c r="I1453" s="19">
        <v>0</v>
      </c>
      <c r="T1453" s="20">
        <f>Registro[[#This Row],[Mes 1]]+Registro[[#This Row],[Mes 2]]+Registro[[#This Row],[Mes 3]]</f>
        <v>0</v>
      </c>
      <c r="U1453" s="20">
        <f>Registro[[#This Row],[Mes 4]]+Registro[[#This Row],[Mes 5]]+Registro[[#This Row],[Mes 6]]</f>
        <v>0</v>
      </c>
      <c r="V1453" s="20">
        <f>Registro[[#This Row],[Mes 7]]+Registro[[#This Row],[Mes 8]]+Registro[[#This Row],[Mes 9]]</f>
        <v>0</v>
      </c>
      <c r="W1453" s="20">
        <f>Registro[[#This Row],[Mes 10]]+Registro[[#This Row],[Mes 11]]+Registro[[#This Row],[Mes 12]]</f>
        <v>0</v>
      </c>
      <c r="X1453" s="20">
        <f>SUM(Registro[[#This Row],[Trim I]],Registro[[#This Row],[Trim II]],Registro[[#This Row],[Trim III]],Registro[[#This Row],[Trim IV]])</f>
        <v>0</v>
      </c>
      <c r="Y1453" s="22">
        <f>IFERROR((Registro[[#This Row],[Avance Total]]/Registro[[#This Row],[Meta]]),0)</f>
        <v>0</v>
      </c>
      <c r="Z1453" s="22">
        <f>IFERROR((Registro[[#This Row],[Avance Total]]-Registro[[#This Row],[Línea Base 2025]])/Registro[[#This Row],[Línea Base 2025]],0)</f>
        <v>0</v>
      </c>
      <c r="AA1453" s="20"/>
    </row>
    <row r="1454" spans="1:27" hidden="1">
      <c r="A1454" s="14">
        <v>1112</v>
      </c>
      <c r="B1454" s="15" t="s">
        <v>13</v>
      </c>
      <c r="C1454" s="16">
        <v>120</v>
      </c>
      <c r="D1454" s="16" t="s">
        <v>192</v>
      </c>
      <c r="E1454" s="17" t="s">
        <v>191</v>
      </c>
      <c r="F1454" s="24">
        <v>0</v>
      </c>
      <c r="G1454" s="19">
        <v>0</v>
      </c>
      <c r="H1454" s="19">
        <v>0</v>
      </c>
      <c r="I1454" s="19">
        <v>0</v>
      </c>
      <c r="T1454" s="20">
        <f>Registro[[#This Row],[Mes 1]]+Registro[[#This Row],[Mes 2]]+Registro[[#This Row],[Mes 3]]</f>
        <v>0</v>
      </c>
      <c r="U1454" s="20">
        <f>Registro[[#This Row],[Mes 4]]+Registro[[#This Row],[Mes 5]]+Registro[[#This Row],[Mes 6]]</f>
        <v>0</v>
      </c>
      <c r="V1454" s="20">
        <f>Registro[[#This Row],[Mes 7]]+Registro[[#This Row],[Mes 8]]+Registro[[#This Row],[Mes 9]]</f>
        <v>0</v>
      </c>
      <c r="W1454" s="20">
        <f>Registro[[#This Row],[Mes 10]]+Registro[[#This Row],[Mes 11]]+Registro[[#This Row],[Mes 12]]</f>
        <v>0</v>
      </c>
      <c r="X1454" s="20">
        <f>SUM(Registro[[#This Row],[Trim I]],Registro[[#This Row],[Trim II]],Registro[[#This Row],[Trim III]],Registro[[#This Row],[Trim IV]])</f>
        <v>0</v>
      </c>
      <c r="Y1454" s="22">
        <f>IFERROR((Registro[[#This Row],[Avance Total]]/Registro[[#This Row],[Meta]]),0)</f>
        <v>0</v>
      </c>
      <c r="Z1454" s="22">
        <f>IFERROR((Registro[[#This Row],[Avance Total]]-Registro[[#This Row],[Línea Base 2025]])/Registro[[#This Row],[Línea Base 2025]],0)</f>
        <v>0</v>
      </c>
      <c r="AA1454" s="20"/>
    </row>
    <row r="1455" spans="1:27" hidden="1">
      <c r="A1455" s="14">
        <v>1112</v>
      </c>
      <c r="B1455" s="15" t="s">
        <v>13</v>
      </c>
      <c r="C1455" s="16">
        <v>121</v>
      </c>
      <c r="D1455" s="16" t="s">
        <v>194</v>
      </c>
      <c r="E1455" s="17" t="s">
        <v>193</v>
      </c>
      <c r="F1455" s="24">
        <v>0</v>
      </c>
      <c r="G1455" s="19">
        <v>0</v>
      </c>
      <c r="H1455" s="19">
        <v>0</v>
      </c>
      <c r="I1455" s="19">
        <v>0</v>
      </c>
      <c r="T1455" s="20">
        <f>Registro[[#This Row],[Mes 1]]+Registro[[#This Row],[Mes 2]]+Registro[[#This Row],[Mes 3]]</f>
        <v>0</v>
      </c>
      <c r="U1455" s="20">
        <f>Registro[[#This Row],[Mes 4]]+Registro[[#This Row],[Mes 5]]+Registro[[#This Row],[Mes 6]]</f>
        <v>0</v>
      </c>
      <c r="V1455" s="20">
        <f>Registro[[#This Row],[Mes 7]]+Registro[[#This Row],[Mes 8]]+Registro[[#This Row],[Mes 9]]</f>
        <v>0</v>
      </c>
      <c r="W1455" s="20">
        <f>Registro[[#This Row],[Mes 10]]+Registro[[#This Row],[Mes 11]]+Registro[[#This Row],[Mes 12]]</f>
        <v>0</v>
      </c>
      <c r="X1455" s="20">
        <f>SUM(Registro[[#This Row],[Trim I]],Registro[[#This Row],[Trim II]],Registro[[#This Row],[Trim III]],Registro[[#This Row],[Trim IV]])</f>
        <v>0</v>
      </c>
      <c r="Y1455" s="22">
        <f>IFERROR((Registro[[#This Row],[Avance Total]]/Registro[[#This Row],[Meta]]),0)</f>
        <v>0</v>
      </c>
      <c r="Z1455" s="22">
        <f>IFERROR((Registro[[#This Row],[Avance Total]]-Registro[[#This Row],[Línea Base 2025]])/Registro[[#This Row],[Línea Base 2025]],0)</f>
        <v>0</v>
      </c>
      <c r="AA1455" s="20"/>
    </row>
    <row r="1456" spans="1:27" hidden="1">
      <c r="A1456" s="14">
        <v>1112</v>
      </c>
      <c r="B1456" s="15" t="s">
        <v>13</v>
      </c>
      <c r="C1456" s="16">
        <v>122</v>
      </c>
      <c r="D1456" s="16" t="s">
        <v>196</v>
      </c>
      <c r="E1456" s="17" t="s">
        <v>195</v>
      </c>
      <c r="F1456" s="24">
        <v>0</v>
      </c>
      <c r="G1456" s="19">
        <v>0</v>
      </c>
      <c r="H1456" s="19">
        <v>0</v>
      </c>
      <c r="I1456" s="19">
        <v>0</v>
      </c>
      <c r="T1456" s="20">
        <f>Registro[[#This Row],[Mes 1]]+Registro[[#This Row],[Mes 2]]+Registro[[#This Row],[Mes 3]]</f>
        <v>0</v>
      </c>
      <c r="U1456" s="20">
        <f>Registro[[#This Row],[Mes 4]]+Registro[[#This Row],[Mes 5]]+Registro[[#This Row],[Mes 6]]</f>
        <v>0</v>
      </c>
      <c r="V1456" s="20">
        <f>Registro[[#This Row],[Mes 7]]+Registro[[#This Row],[Mes 8]]+Registro[[#This Row],[Mes 9]]</f>
        <v>0</v>
      </c>
      <c r="W1456" s="20">
        <f>Registro[[#This Row],[Mes 10]]+Registro[[#This Row],[Mes 11]]+Registro[[#This Row],[Mes 12]]</f>
        <v>0</v>
      </c>
      <c r="X1456" s="20">
        <f>SUM(Registro[[#This Row],[Trim I]],Registro[[#This Row],[Trim II]],Registro[[#This Row],[Trim III]],Registro[[#This Row],[Trim IV]])</f>
        <v>0</v>
      </c>
      <c r="Y1456" s="22">
        <f>IFERROR((Registro[[#This Row],[Avance Total]]/Registro[[#This Row],[Meta]]),0)</f>
        <v>0</v>
      </c>
      <c r="Z1456" s="22">
        <f>IFERROR((Registro[[#This Row],[Avance Total]]-Registro[[#This Row],[Línea Base 2025]])/Registro[[#This Row],[Línea Base 2025]],0)</f>
        <v>0</v>
      </c>
      <c r="AA1456" s="20"/>
    </row>
    <row r="1457" spans="1:27" hidden="1">
      <c r="A1457" s="14">
        <v>1112</v>
      </c>
      <c r="B1457" s="15" t="s">
        <v>13</v>
      </c>
      <c r="C1457" s="26">
        <v>123</v>
      </c>
      <c r="D1457" s="26" t="s">
        <v>198</v>
      </c>
      <c r="E1457" s="17" t="s">
        <v>197</v>
      </c>
      <c r="F1457" s="32">
        <v>0</v>
      </c>
      <c r="G1457" s="28">
        <v>0</v>
      </c>
      <c r="H1457" s="28">
        <v>0</v>
      </c>
      <c r="I1457" s="28">
        <v>0</v>
      </c>
      <c r="J1457" s="27"/>
      <c r="K1457" s="27"/>
      <c r="L1457" s="27"/>
      <c r="M1457" s="27"/>
      <c r="N1457" s="27"/>
      <c r="O1457" s="27"/>
      <c r="P1457" s="27"/>
      <c r="Q1457" s="27"/>
      <c r="R1457" s="27"/>
      <c r="S1457" s="27"/>
      <c r="T1457" s="29">
        <f>Registro[[#This Row],[Mes 1]]+Registro[[#This Row],[Mes 2]]+Registro[[#This Row],[Mes 3]]</f>
        <v>0</v>
      </c>
      <c r="U1457" s="29">
        <f>Registro[[#This Row],[Mes 4]]+Registro[[#This Row],[Mes 5]]+Registro[[#This Row],[Mes 6]]</f>
        <v>0</v>
      </c>
      <c r="V1457" s="29">
        <f>Registro[[#This Row],[Mes 7]]+Registro[[#This Row],[Mes 8]]+Registro[[#This Row],[Mes 9]]</f>
        <v>0</v>
      </c>
      <c r="W1457" s="29">
        <f>Registro[[#This Row],[Mes 10]]+Registro[[#This Row],[Mes 11]]+Registro[[#This Row],[Mes 12]]</f>
        <v>0</v>
      </c>
      <c r="X1457" s="29">
        <f>SUM(Registro[[#This Row],[Trim I]],Registro[[#This Row],[Trim II]],Registro[[#This Row],[Trim III]],Registro[[#This Row],[Trim IV]])</f>
        <v>0</v>
      </c>
      <c r="Y1457" s="30">
        <f>IFERROR((Registro[[#This Row],[Avance Total]]/Registro[[#This Row],[Meta]]),0)</f>
        <v>0</v>
      </c>
      <c r="Z1457" s="30">
        <f>IFERROR((Registro[[#This Row],[Avance Total]]-Registro[[#This Row],[Línea Base 2025]])/Registro[[#This Row],[Línea Base 2025]],0)</f>
        <v>0</v>
      </c>
      <c r="AA1457" s="29"/>
    </row>
    <row r="1458" spans="1:27" hidden="1">
      <c r="A1458" s="14">
        <v>1113</v>
      </c>
      <c r="B1458" s="15" t="s">
        <v>130</v>
      </c>
      <c r="C1458" s="16">
        <v>111</v>
      </c>
      <c r="D1458" s="16" t="s">
        <v>171</v>
      </c>
      <c r="E1458" s="17" t="s">
        <v>172</v>
      </c>
      <c r="F1458" s="24">
        <v>65</v>
      </c>
      <c r="G1458" s="19">
        <v>52</v>
      </c>
      <c r="H1458" s="19">
        <v>0</v>
      </c>
      <c r="I1458" s="19">
        <v>12</v>
      </c>
      <c r="T1458" s="20">
        <f>Registro[[#This Row],[Mes 1]]+Registro[[#This Row],[Mes 2]]+Registro[[#This Row],[Mes 3]]</f>
        <v>12</v>
      </c>
      <c r="U1458" s="20">
        <f>Registro[[#This Row],[Mes 4]]+Registro[[#This Row],[Mes 5]]+Registro[[#This Row],[Mes 6]]</f>
        <v>0</v>
      </c>
      <c r="V1458" s="20">
        <f>Registro[[#This Row],[Mes 7]]+Registro[[#This Row],[Mes 8]]+Registro[[#This Row],[Mes 9]]</f>
        <v>0</v>
      </c>
      <c r="W1458" s="20">
        <f>Registro[[#This Row],[Mes 10]]+Registro[[#This Row],[Mes 11]]+Registro[[#This Row],[Mes 12]]</f>
        <v>0</v>
      </c>
      <c r="X1458" s="20">
        <f>SUM(Registro[[#This Row],[Trim I]],Registro[[#This Row],[Trim II]],Registro[[#This Row],[Trim III]],Registro[[#This Row],[Trim IV]])</f>
        <v>12</v>
      </c>
      <c r="Y1458" s="22">
        <f>IFERROR((Registro[[#This Row],[Avance Total]]/Registro[[#This Row],[Meta]]),0)</f>
        <v>0.23076923076923078</v>
      </c>
      <c r="Z1458" s="22">
        <f>IFERROR((Registro[[#This Row],[Avance Total]]-Registro[[#This Row],[Línea Base 2025]])/Registro[[#This Row],[Línea Base 2025]],0)</f>
        <v>-0.81538461538461537</v>
      </c>
      <c r="AA1458" s="20"/>
    </row>
    <row r="1459" spans="1:27" hidden="1">
      <c r="A1459" s="14">
        <v>1113</v>
      </c>
      <c r="B1459" s="15" t="s">
        <v>130</v>
      </c>
      <c r="C1459" s="16">
        <v>112</v>
      </c>
      <c r="D1459" s="16" t="s">
        <v>173</v>
      </c>
      <c r="E1459" s="17" t="s">
        <v>7</v>
      </c>
      <c r="F1459" s="24">
        <v>25</v>
      </c>
      <c r="G1459" s="19">
        <v>53</v>
      </c>
      <c r="H1459" s="19">
        <v>0</v>
      </c>
      <c r="I1459" s="19">
        <v>0</v>
      </c>
      <c r="T1459" s="20">
        <f>Registro[[#This Row],[Mes 1]]+Registro[[#This Row],[Mes 2]]+Registro[[#This Row],[Mes 3]]</f>
        <v>0</v>
      </c>
      <c r="U1459" s="20">
        <f>Registro[[#This Row],[Mes 4]]+Registro[[#This Row],[Mes 5]]+Registro[[#This Row],[Mes 6]]</f>
        <v>0</v>
      </c>
      <c r="V1459" s="20">
        <f>Registro[[#This Row],[Mes 7]]+Registro[[#This Row],[Mes 8]]+Registro[[#This Row],[Mes 9]]</f>
        <v>0</v>
      </c>
      <c r="W1459" s="20">
        <f>Registro[[#This Row],[Mes 10]]+Registro[[#This Row],[Mes 11]]+Registro[[#This Row],[Mes 12]]</f>
        <v>0</v>
      </c>
      <c r="X1459" s="20">
        <f>SUM(Registro[[#This Row],[Trim I]],Registro[[#This Row],[Trim II]],Registro[[#This Row],[Trim III]],Registro[[#This Row],[Trim IV]])</f>
        <v>0</v>
      </c>
      <c r="Y1459" s="22">
        <f>IFERROR((Registro[[#This Row],[Avance Total]]/Registro[[#This Row],[Meta]]),0)</f>
        <v>0</v>
      </c>
      <c r="Z1459" s="22">
        <f>IFERROR((Registro[[#This Row],[Avance Total]]-Registro[[#This Row],[Línea Base 2025]])/Registro[[#This Row],[Línea Base 2025]],0)</f>
        <v>-1</v>
      </c>
      <c r="AA1459" s="20"/>
    </row>
    <row r="1460" spans="1:27" hidden="1">
      <c r="A1460" s="14">
        <v>1113</v>
      </c>
      <c r="B1460" s="15" t="s">
        <v>130</v>
      </c>
      <c r="C1460" s="16">
        <v>113</v>
      </c>
      <c r="D1460" s="16" t="s">
        <v>179</v>
      </c>
      <c r="E1460" s="17" t="s">
        <v>178</v>
      </c>
      <c r="F1460" s="24">
        <v>30</v>
      </c>
      <c r="G1460" s="19">
        <v>170</v>
      </c>
      <c r="H1460" s="19">
        <v>0</v>
      </c>
      <c r="I1460" s="19">
        <v>0</v>
      </c>
      <c r="T1460" s="20">
        <f>Registro[[#This Row],[Mes 1]]+Registro[[#This Row],[Mes 2]]+Registro[[#This Row],[Mes 3]]</f>
        <v>0</v>
      </c>
      <c r="U1460" s="20">
        <f>Registro[[#This Row],[Mes 4]]+Registro[[#This Row],[Mes 5]]+Registro[[#This Row],[Mes 6]]</f>
        <v>0</v>
      </c>
      <c r="V1460" s="20">
        <f>Registro[[#This Row],[Mes 7]]+Registro[[#This Row],[Mes 8]]+Registro[[#This Row],[Mes 9]]</f>
        <v>0</v>
      </c>
      <c r="W1460" s="20">
        <f>Registro[[#This Row],[Mes 10]]+Registro[[#This Row],[Mes 11]]+Registro[[#This Row],[Mes 12]]</f>
        <v>0</v>
      </c>
      <c r="X1460" s="20">
        <f>SUM(Registro[[#This Row],[Trim I]],Registro[[#This Row],[Trim II]],Registro[[#This Row],[Trim III]],Registro[[#This Row],[Trim IV]])</f>
        <v>0</v>
      </c>
      <c r="Y1460" s="22">
        <f>IFERROR((Registro[[#This Row],[Avance Total]]/Registro[[#This Row],[Meta]]),0)</f>
        <v>0</v>
      </c>
      <c r="Z1460" s="22">
        <f>IFERROR((Registro[[#This Row],[Avance Total]]-Registro[[#This Row],[Línea Base 2025]])/Registro[[#This Row],[Línea Base 2025]],0)</f>
        <v>-1</v>
      </c>
      <c r="AA1460" s="20"/>
    </row>
    <row r="1461" spans="1:27" hidden="1">
      <c r="A1461" s="14">
        <v>1113</v>
      </c>
      <c r="B1461" s="15" t="s">
        <v>130</v>
      </c>
      <c r="C1461" s="16">
        <v>114</v>
      </c>
      <c r="D1461" s="16" t="s">
        <v>181</v>
      </c>
      <c r="E1461" s="17" t="s">
        <v>180</v>
      </c>
      <c r="F1461" s="24">
        <v>5</v>
      </c>
      <c r="G1461" s="19">
        <v>19</v>
      </c>
      <c r="H1461" s="19">
        <v>8</v>
      </c>
      <c r="I1461" s="19">
        <v>4</v>
      </c>
      <c r="T1461" s="20">
        <f>Registro[[#This Row],[Mes 1]]+Registro[[#This Row],[Mes 2]]+Registro[[#This Row],[Mes 3]]</f>
        <v>12</v>
      </c>
      <c r="U1461" s="20">
        <f>Registro[[#This Row],[Mes 4]]+Registro[[#This Row],[Mes 5]]+Registro[[#This Row],[Mes 6]]</f>
        <v>0</v>
      </c>
      <c r="V1461" s="20">
        <f>Registro[[#This Row],[Mes 7]]+Registro[[#This Row],[Mes 8]]+Registro[[#This Row],[Mes 9]]</f>
        <v>0</v>
      </c>
      <c r="W1461" s="20">
        <f>Registro[[#This Row],[Mes 10]]+Registro[[#This Row],[Mes 11]]+Registro[[#This Row],[Mes 12]]</f>
        <v>0</v>
      </c>
      <c r="X1461" s="20">
        <f>SUM(Registro[[#This Row],[Trim I]],Registro[[#This Row],[Trim II]],Registro[[#This Row],[Trim III]],Registro[[#This Row],[Trim IV]])</f>
        <v>12</v>
      </c>
      <c r="Y1461" s="22">
        <f>IFERROR((Registro[[#This Row],[Avance Total]]/Registro[[#This Row],[Meta]]),0)</f>
        <v>0.63157894736842102</v>
      </c>
      <c r="Z1461" s="22">
        <f>IFERROR((Registro[[#This Row],[Avance Total]]-Registro[[#This Row],[Línea Base 2025]])/Registro[[#This Row],[Línea Base 2025]],0)</f>
        <v>1.4</v>
      </c>
      <c r="AA1461" s="20"/>
    </row>
    <row r="1462" spans="1:27" hidden="1">
      <c r="A1462" s="14">
        <v>1113</v>
      </c>
      <c r="B1462" s="15" t="s">
        <v>130</v>
      </c>
      <c r="C1462" s="16">
        <v>115</v>
      </c>
      <c r="D1462" s="16" t="s">
        <v>183</v>
      </c>
      <c r="E1462" s="17" t="s">
        <v>182</v>
      </c>
      <c r="F1462" s="24">
        <v>18</v>
      </c>
      <c r="G1462" s="19">
        <v>2</v>
      </c>
      <c r="H1462" s="19">
        <v>0</v>
      </c>
      <c r="I1462" s="19">
        <v>0</v>
      </c>
      <c r="T1462" s="20">
        <f>Registro[[#This Row],[Mes 1]]+Registro[[#This Row],[Mes 2]]+Registro[[#This Row],[Mes 3]]</f>
        <v>0</v>
      </c>
      <c r="U1462" s="20">
        <f>Registro[[#This Row],[Mes 4]]+Registro[[#This Row],[Mes 5]]+Registro[[#This Row],[Mes 6]]</f>
        <v>0</v>
      </c>
      <c r="V1462" s="20">
        <f>Registro[[#This Row],[Mes 7]]+Registro[[#This Row],[Mes 8]]+Registro[[#This Row],[Mes 9]]</f>
        <v>0</v>
      </c>
      <c r="W1462" s="20">
        <f>Registro[[#This Row],[Mes 10]]+Registro[[#This Row],[Mes 11]]+Registro[[#This Row],[Mes 12]]</f>
        <v>0</v>
      </c>
      <c r="X1462" s="20">
        <f>SUM(Registro[[#This Row],[Trim I]],Registro[[#This Row],[Trim II]],Registro[[#This Row],[Trim III]],Registro[[#This Row],[Trim IV]])</f>
        <v>0</v>
      </c>
      <c r="Y1462" s="22">
        <f>IFERROR((Registro[[#This Row],[Avance Total]]/Registro[[#This Row],[Meta]]),0)</f>
        <v>0</v>
      </c>
      <c r="Z1462" s="22">
        <f>IFERROR((Registro[[#This Row],[Avance Total]]-Registro[[#This Row],[Línea Base 2025]])/Registro[[#This Row],[Línea Base 2025]],0)</f>
        <v>-1</v>
      </c>
      <c r="AA1462" s="20"/>
    </row>
    <row r="1463" spans="1:27">
      <c r="A1463" s="14">
        <v>1113</v>
      </c>
      <c r="B1463" s="15" t="s">
        <v>130</v>
      </c>
      <c r="C1463" s="16">
        <v>116</v>
      </c>
      <c r="D1463" s="16" t="s">
        <v>185</v>
      </c>
      <c r="E1463" s="17" t="s">
        <v>184</v>
      </c>
      <c r="F1463" s="24">
        <v>1</v>
      </c>
      <c r="G1463" s="19">
        <v>11</v>
      </c>
      <c r="H1463" s="19">
        <v>0</v>
      </c>
      <c r="I1463" s="19">
        <v>0</v>
      </c>
      <c r="T1463" s="20">
        <f>Registro[[#This Row],[Mes 1]]+Registro[[#This Row],[Mes 2]]+Registro[[#This Row],[Mes 3]]</f>
        <v>0</v>
      </c>
      <c r="U1463" s="20">
        <f>Registro[[#This Row],[Mes 4]]+Registro[[#This Row],[Mes 5]]+Registro[[#This Row],[Mes 6]]</f>
        <v>0</v>
      </c>
      <c r="V1463" s="20">
        <f>Registro[[#This Row],[Mes 7]]+Registro[[#This Row],[Mes 8]]+Registro[[#This Row],[Mes 9]]</f>
        <v>0</v>
      </c>
      <c r="W1463" s="20">
        <f>Registro[[#This Row],[Mes 10]]+Registro[[#This Row],[Mes 11]]+Registro[[#This Row],[Mes 12]]</f>
        <v>0</v>
      </c>
      <c r="X1463" s="20">
        <f>SUM(Registro[[#This Row],[Trim I]],Registro[[#This Row],[Trim II]],Registro[[#This Row],[Trim III]],Registro[[#This Row],[Trim IV]])</f>
        <v>0</v>
      </c>
      <c r="Y1463" s="22">
        <f>IFERROR((Registro[[#This Row],[Avance Total]]/Registro[[#This Row],[Meta]]),0)</f>
        <v>0</v>
      </c>
      <c r="Z1463" s="22">
        <f>IFERROR((Registro[[#This Row],[Avance Total]]-Registro[[#This Row],[Línea Base 2025]])/Registro[[#This Row],[Línea Base 2025]],0)</f>
        <v>-1</v>
      </c>
      <c r="AA1463" s="20"/>
    </row>
    <row r="1464" spans="1:27" hidden="1">
      <c r="A1464" s="14">
        <v>1113</v>
      </c>
      <c r="B1464" s="15" t="s">
        <v>130</v>
      </c>
      <c r="C1464" s="16">
        <v>117</v>
      </c>
      <c r="D1464" s="16" t="s">
        <v>187</v>
      </c>
      <c r="E1464" s="17" t="s">
        <v>186</v>
      </c>
      <c r="F1464" s="24">
        <v>4</v>
      </c>
      <c r="G1464" s="19">
        <v>6</v>
      </c>
      <c r="H1464" s="19">
        <v>0</v>
      </c>
      <c r="I1464" s="19">
        <v>0</v>
      </c>
      <c r="T1464" s="20">
        <f>Registro[[#This Row],[Mes 1]]+Registro[[#This Row],[Mes 2]]+Registro[[#This Row],[Mes 3]]</f>
        <v>0</v>
      </c>
      <c r="U1464" s="20">
        <f>Registro[[#This Row],[Mes 4]]+Registro[[#This Row],[Mes 5]]+Registro[[#This Row],[Mes 6]]</f>
        <v>0</v>
      </c>
      <c r="V1464" s="20">
        <f>Registro[[#This Row],[Mes 7]]+Registro[[#This Row],[Mes 8]]+Registro[[#This Row],[Mes 9]]</f>
        <v>0</v>
      </c>
      <c r="W1464" s="20">
        <f>Registro[[#This Row],[Mes 10]]+Registro[[#This Row],[Mes 11]]+Registro[[#This Row],[Mes 12]]</f>
        <v>0</v>
      </c>
      <c r="X1464" s="20">
        <f>SUM(Registro[[#This Row],[Trim I]],Registro[[#This Row],[Trim II]],Registro[[#This Row],[Trim III]],Registro[[#This Row],[Trim IV]])</f>
        <v>0</v>
      </c>
      <c r="Y1464" s="22">
        <f>IFERROR((Registro[[#This Row],[Avance Total]]/Registro[[#This Row],[Meta]]),0)</f>
        <v>0</v>
      </c>
      <c r="Z1464" s="22">
        <f>IFERROR((Registro[[#This Row],[Avance Total]]-Registro[[#This Row],[Línea Base 2025]])/Registro[[#This Row],[Línea Base 2025]],0)</f>
        <v>-1</v>
      </c>
      <c r="AA1464" s="20"/>
    </row>
    <row r="1465" spans="1:27" hidden="1">
      <c r="A1465" s="14">
        <v>1113</v>
      </c>
      <c r="B1465" s="15" t="s">
        <v>130</v>
      </c>
      <c r="C1465" s="16">
        <v>118</v>
      </c>
      <c r="D1465" s="16" t="s">
        <v>188</v>
      </c>
      <c r="E1465" s="17" t="s">
        <v>9</v>
      </c>
      <c r="F1465" s="24">
        <v>0</v>
      </c>
      <c r="G1465" s="19">
        <v>32</v>
      </c>
      <c r="H1465" s="19">
        <v>0</v>
      </c>
      <c r="I1465" s="19">
        <v>0</v>
      </c>
      <c r="T1465" s="20">
        <f>Registro[[#This Row],[Mes 1]]+Registro[[#This Row],[Mes 2]]+Registro[[#This Row],[Mes 3]]</f>
        <v>0</v>
      </c>
      <c r="U1465" s="20">
        <f>Registro[[#This Row],[Mes 4]]+Registro[[#This Row],[Mes 5]]+Registro[[#This Row],[Mes 6]]</f>
        <v>0</v>
      </c>
      <c r="V1465" s="20">
        <f>Registro[[#This Row],[Mes 7]]+Registro[[#This Row],[Mes 8]]+Registro[[#This Row],[Mes 9]]</f>
        <v>0</v>
      </c>
      <c r="W1465" s="20">
        <f>Registro[[#This Row],[Mes 10]]+Registro[[#This Row],[Mes 11]]+Registro[[#This Row],[Mes 12]]</f>
        <v>0</v>
      </c>
      <c r="X1465" s="20">
        <f>SUM(Registro[[#This Row],[Trim I]],Registro[[#This Row],[Trim II]],Registro[[#This Row],[Trim III]],Registro[[#This Row],[Trim IV]])</f>
        <v>0</v>
      </c>
      <c r="Y1465" s="22">
        <f>IFERROR((Registro[[#This Row],[Avance Total]]/Registro[[#This Row],[Meta]]),0)</f>
        <v>0</v>
      </c>
      <c r="Z1465" s="22">
        <f>IFERROR((Registro[[#This Row],[Avance Total]]-Registro[[#This Row],[Línea Base 2025]])/Registro[[#This Row],[Línea Base 2025]],0)</f>
        <v>0</v>
      </c>
      <c r="AA1465" s="20"/>
    </row>
    <row r="1466" spans="1:27" hidden="1">
      <c r="A1466" s="14">
        <v>1113</v>
      </c>
      <c r="B1466" s="15" t="s">
        <v>130</v>
      </c>
      <c r="C1466" s="16">
        <v>119</v>
      </c>
      <c r="D1466" s="16" t="s">
        <v>190</v>
      </c>
      <c r="E1466" s="17" t="s">
        <v>189</v>
      </c>
      <c r="F1466" s="24">
        <v>0</v>
      </c>
      <c r="G1466" s="19">
        <v>8</v>
      </c>
      <c r="H1466" s="19">
        <v>0</v>
      </c>
      <c r="I1466" s="19">
        <v>0</v>
      </c>
      <c r="T1466" s="20">
        <f>Registro[[#This Row],[Mes 1]]+Registro[[#This Row],[Mes 2]]+Registro[[#This Row],[Mes 3]]</f>
        <v>0</v>
      </c>
      <c r="U1466" s="20">
        <f>Registro[[#This Row],[Mes 4]]+Registro[[#This Row],[Mes 5]]+Registro[[#This Row],[Mes 6]]</f>
        <v>0</v>
      </c>
      <c r="V1466" s="20">
        <f>Registro[[#This Row],[Mes 7]]+Registro[[#This Row],[Mes 8]]+Registro[[#This Row],[Mes 9]]</f>
        <v>0</v>
      </c>
      <c r="W1466" s="20">
        <f>Registro[[#This Row],[Mes 10]]+Registro[[#This Row],[Mes 11]]+Registro[[#This Row],[Mes 12]]</f>
        <v>0</v>
      </c>
      <c r="X1466" s="20">
        <f>SUM(Registro[[#This Row],[Trim I]],Registro[[#This Row],[Trim II]],Registro[[#This Row],[Trim III]],Registro[[#This Row],[Trim IV]])</f>
        <v>0</v>
      </c>
      <c r="Y1466" s="22">
        <f>IFERROR((Registro[[#This Row],[Avance Total]]/Registro[[#This Row],[Meta]]),0)</f>
        <v>0</v>
      </c>
      <c r="Z1466" s="22">
        <f>IFERROR((Registro[[#This Row],[Avance Total]]-Registro[[#This Row],[Línea Base 2025]])/Registro[[#This Row],[Línea Base 2025]],0)</f>
        <v>0</v>
      </c>
      <c r="AA1466" s="20"/>
    </row>
    <row r="1467" spans="1:27" hidden="1">
      <c r="A1467" s="14">
        <v>1113</v>
      </c>
      <c r="B1467" s="15" t="s">
        <v>130</v>
      </c>
      <c r="C1467" s="16">
        <v>120</v>
      </c>
      <c r="D1467" s="16" t="s">
        <v>192</v>
      </c>
      <c r="E1467" s="17" t="s">
        <v>191</v>
      </c>
      <c r="F1467" s="24">
        <v>58</v>
      </c>
      <c r="G1467" s="19">
        <v>40</v>
      </c>
      <c r="H1467" s="19">
        <v>0</v>
      </c>
      <c r="I1467" s="19">
        <v>6</v>
      </c>
      <c r="T1467" s="20">
        <f>Registro[[#This Row],[Mes 1]]+Registro[[#This Row],[Mes 2]]+Registro[[#This Row],[Mes 3]]</f>
        <v>6</v>
      </c>
      <c r="U1467" s="20">
        <f>Registro[[#This Row],[Mes 4]]+Registro[[#This Row],[Mes 5]]+Registro[[#This Row],[Mes 6]]</f>
        <v>0</v>
      </c>
      <c r="V1467" s="20">
        <f>Registro[[#This Row],[Mes 7]]+Registro[[#This Row],[Mes 8]]+Registro[[#This Row],[Mes 9]]</f>
        <v>0</v>
      </c>
      <c r="W1467" s="20">
        <f>Registro[[#This Row],[Mes 10]]+Registro[[#This Row],[Mes 11]]+Registro[[#This Row],[Mes 12]]</f>
        <v>0</v>
      </c>
      <c r="X1467" s="20">
        <f>SUM(Registro[[#This Row],[Trim I]],Registro[[#This Row],[Trim II]],Registro[[#This Row],[Trim III]],Registro[[#This Row],[Trim IV]])</f>
        <v>6</v>
      </c>
      <c r="Y1467" s="22">
        <f>IFERROR((Registro[[#This Row],[Avance Total]]/Registro[[#This Row],[Meta]]),0)</f>
        <v>0.15</v>
      </c>
      <c r="Z1467" s="22">
        <f>IFERROR((Registro[[#This Row],[Avance Total]]-Registro[[#This Row],[Línea Base 2025]])/Registro[[#This Row],[Línea Base 2025]],0)</f>
        <v>-0.89655172413793105</v>
      </c>
      <c r="AA1467" s="20"/>
    </row>
    <row r="1468" spans="1:27" hidden="1">
      <c r="A1468" s="14">
        <v>1113</v>
      </c>
      <c r="B1468" s="15" t="s">
        <v>130</v>
      </c>
      <c r="C1468" s="16">
        <v>121</v>
      </c>
      <c r="D1468" s="16" t="s">
        <v>194</v>
      </c>
      <c r="E1468" s="17" t="s">
        <v>193</v>
      </c>
      <c r="F1468" s="24">
        <v>21</v>
      </c>
      <c r="G1468" s="19">
        <v>15</v>
      </c>
      <c r="H1468" s="19">
        <v>0</v>
      </c>
      <c r="I1468" s="19">
        <v>0</v>
      </c>
      <c r="T1468" s="20">
        <f>Registro[[#This Row],[Mes 1]]+Registro[[#This Row],[Mes 2]]+Registro[[#This Row],[Mes 3]]</f>
        <v>0</v>
      </c>
      <c r="U1468" s="20">
        <f>Registro[[#This Row],[Mes 4]]+Registro[[#This Row],[Mes 5]]+Registro[[#This Row],[Mes 6]]</f>
        <v>0</v>
      </c>
      <c r="V1468" s="20">
        <f>Registro[[#This Row],[Mes 7]]+Registro[[#This Row],[Mes 8]]+Registro[[#This Row],[Mes 9]]</f>
        <v>0</v>
      </c>
      <c r="W1468" s="20">
        <f>Registro[[#This Row],[Mes 10]]+Registro[[#This Row],[Mes 11]]+Registro[[#This Row],[Mes 12]]</f>
        <v>0</v>
      </c>
      <c r="X1468" s="20">
        <f>SUM(Registro[[#This Row],[Trim I]],Registro[[#This Row],[Trim II]],Registro[[#This Row],[Trim III]],Registro[[#This Row],[Trim IV]])</f>
        <v>0</v>
      </c>
      <c r="Y1468" s="22">
        <f>IFERROR((Registro[[#This Row],[Avance Total]]/Registro[[#This Row],[Meta]]),0)</f>
        <v>0</v>
      </c>
      <c r="Z1468" s="22">
        <f>IFERROR((Registro[[#This Row],[Avance Total]]-Registro[[#This Row],[Línea Base 2025]])/Registro[[#This Row],[Línea Base 2025]],0)</f>
        <v>-1</v>
      </c>
      <c r="AA1468" s="20"/>
    </row>
    <row r="1469" spans="1:27" hidden="1">
      <c r="A1469" s="14">
        <v>1113</v>
      </c>
      <c r="B1469" s="15" t="s">
        <v>130</v>
      </c>
      <c r="C1469" s="16">
        <v>122</v>
      </c>
      <c r="D1469" s="16" t="s">
        <v>196</v>
      </c>
      <c r="E1469" s="17" t="s">
        <v>195</v>
      </c>
      <c r="F1469" s="24">
        <v>13</v>
      </c>
      <c r="G1469" s="19">
        <v>17</v>
      </c>
      <c r="H1469" s="19">
        <v>0</v>
      </c>
      <c r="I1469" s="19">
        <v>0</v>
      </c>
      <c r="T1469" s="20">
        <f>Registro[[#This Row],[Mes 1]]+Registro[[#This Row],[Mes 2]]+Registro[[#This Row],[Mes 3]]</f>
        <v>0</v>
      </c>
      <c r="U1469" s="20">
        <f>Registro[[#This Row],[Mes 4]]+Registro[[#This Row],[Mes 5]]+Registro[[#This Row],[Mes 6]]</f>
        <v>0</v>
      </c>
      <c r="V1469" s="20">
        <f>Registro[[#This Row],[Mes 7]]+Registro[[#This Row],[Mes 8]]+Registro[[#This Row],[Mes 9]]</f>
        <v>0</v>
      </c>
      <c r="W1469" s="20">
        <f>Registro[[#This Row],[Mes 10]]+Registro[[#This Row],[Mes 11]]+Registro[[#This Row],[Mes 12]]</f>
        <v>0</v>
      </c>
      <c r="X1469" s="20">
        <f>SUM(Registro[[#This Row],[Trim I]],Registro[[#This Row],[Trim II]],Registro[[#This Row],[Trim III]],Registro[[#This Row],[Trim IV]])</f>
        <v>0</v>
      </c>
      <c r="Y1469" s="22">
        <f>IFERROR((Registro[[#This Row],[Avance Total]]/Registro[[#This Row],[Meta]]),0)</f>
        <v>0</v>
      </c>
      <c r="Z1469" s="22">
        <f>IFERROR((Registro[[#This Row],[Avance Total]]-Registro[[#This Row],[Línea Base 2025]])/Registro[[#This Row],[Línea Base 2025]],0)</f>
        <v>-1</v>
      </c>
      <c r="AA1469" s="20"/>
    </row>
    <row r="1470" spans="1:27" hidden="1">
      <c r="A1470" s="14">
        <v>1113</v>
      </c>
      <c r="B1470" s="15" t="s">
        <v>130</v>
      </c>
      <c r="C1470" s="26">
        <v>123</v>
      </c>
      <c r="D1470" s="26" t="s">
        <v>198</v>
      </c>
      <c r="E1470" s="17" t="s">
        <v>197</v>
      </c>
      <c r="F1470" s="32">
        <v>0</v>
      </c>
      <c r="G1470" s="28">
        <v>15</v>
      </c>
      <c r="H1470" s="28">
        <v>0</v>
      </c>
      <c r="I1470" s="28">
        <v>0</v>
      </c>
      <c r="J1470" s="27"/>
      <c r="K1470" s="27"/>
      <c r="L1470" s="27"/>
      <c r="M1470" s="27"/>
      <c r="N1470" s="27"/>
      <c r="O1470" s="27"/>
      <c r="P1470" s="27"/>
      <c r="Q1470" s="27"/>
      <c r="R1470" s="27"/>
      <c r="S1470" s="27"/>
      <c r="T1470" s="29">
        <f>Registro[[#This Row],[Mes 1]]+Registro[[#This Row],[Mes 2]]+Registro[[#This Row],[Mes 3]]</f>
        <v>0</v>
      </c>
      <c r="U1470" s="29">
        <f>Registro[[#This Row],[Mes 4]]+Registro[[#This Row],[Mes 5]]+Registro[[#This Row],[Mes 6]]</f>
        <v>0</v>
      </c>
      <c r="V1470" s="29">
        <f>Registro[[#This Row],[Mes 7]]+Registro[[#This Row],[Mes 8]]+Registro[[#This Row],[Mes 9]]</f>
        <v>0</v>
      </c>
      <c r="W1470" s="29">
        <f>Registro[[#This Row],[Mes 10]]+Registro[[#This Row],[Mes 11]]+Registro[[#This Row],[Mes 12]]</f>
        <v>0</v>
      </c>
      <c r="X1470" s="29">
        <f>SUM(Registro[[#This Row],[Trim I]],Registro[[#This Row],[Trim II]],Registro[[#This Row],[Trim III]],Registro[[#This Row],[Trim IV]])</f>
        <v>0</v>
      </c>
      <c r="Y1470" s="30">
        <f>IFERROR((Registro[[#This Row],[Avance Total]]/Registro[[#This Row],[Meta]]),0)</f>
        <v>0</v>
      </c>
      <c r="Z1470" s="30">
        <f>IFERROR((Registro[[#This Row],[Avance Total]]-Registro[[#This Row],[Línea Base 2025]])/Registro[[#This Row],[Línea Base 2025]],0)</f>
        <v>0</v>
      </c>
      <c r="AA1470" s="29"/>
    </row>
    <row r="1471" spans="1:27" hidden="1">
      <c r="A1471" s="14">
        <v>1114</v>
      </c>
      <c r="B1471" s="15" t="s">
        <v>131</v>
      </c>
      <c r="C1471" s="16">
        <v>111</v>
      </c>
      <c r="D1471" s="16" t="s">
        <v>171</v>
      </c>
      <c r="E1471" s="17" t="s">
        <v>172</v>
      </c>
      <c r="F1471" s="24">
        <v>57</v>
      </c>
      <c r="G1471" s="19">
        <v>65</v>
      </c>
      <c r="H1471" s="19">
        <v>0</v>
      </c>
      <c r="I1471" s="19">
        <v>3</v>
      </c>
      <c r="T1471" s="20">
        <f>Registro[[#This Row],[Mes 1]]+Registro[[#This Row],[Mes 2]]+Registro[[#This Row],[Mes 3]]</f>
        <v>3</v>
      </c>
      <c r="U1471" s="20">
        <f>Registro[[#This Row],[Mes 4]]+Registro[[#This Row],[Mes 5]]+Registro[[#This Row],[Mes 6]]</f>
        <v>0</v>
      </c>
      <c r="V1471" s="20">
        <f>Registro[[#This Row],[Mes 7]]+Registro[[#This Row],[Mes 8]]+Registro[[#This Row],[Mes 9]]</f>
        <v>0</v>
      </c>
      <c r="W1471" s="20">
        <f>Registro[[#This Row],[Mes 10]]+Registro[[#This Row],[Mes 11]]+Registro[[#This Row],[Mes 12]]</f>
        <v>0</v>
      </c>
      <c r="X1471" s="20">
        <f>SUM(Registro[[#This Row],[Trim I]],Registro[[#This Row],[Trim II]],Registro[[#This Row],[Trim III]],Registro[[#This Row],[Trim IV]])</f>
        <v>3</v>
      </c>
      <c r="Y1471" s="22">
        <f>IFERROR((Registro[[#This Row],[Avance Total]]/Registro[[#This Row],[Meta]]),0)</f>
        <v>4.6153846153846156E-2</v>
      </c>
      <c r="Z1471" s="22">
        <f>IFERROR((Registro[[#This Row],[Avance Total]]-Registro[[#This Row],[Línea Base 2025]])/Registro[[#This Row],[Línea Base 2025]],0)</f>
        <v>-0.94736842105263153</v>
      </c>
      <c r="AA1471" s="20"/>
    </row>
    <row r="1472" spans="1:27" hidden="1">
      <c r="A1472" s="14">
        <v>1114</v>
      </c>
      <c r="B1472" s="15" t="s">
        <v>131</v>
      </c>
      <c r="C1472" s="16">
        <v>112</v>
      </c>
      <c r="D1472" s="16" t="s">
        <v>173</v>
      </c>
      <c r="E1472" s="17" t="s">
        <v>7</v>
      </c>
      <c r="F1472" s="24">
        <v>8</v>
      </c>
      <c r="G1472" s="19">
        <v>37</v>
      </c>
      <c r="H1472" s="19">
        <v>0</v>
      </c>
      <c r="I1472" s="19">
        <v>0</v>
      </c>
      <c r="T1472" s="20">
        <f>Registro[[#This Row],[Mes 1]]+Registro[[#This Row],[Mes 2]]+Registro[[#This Row],[Mes 3]]</f>
        <v>0</v>
      </c>
      <c r="U1472" s="20">
        <f>Registro[[#This Row],[Mes 4]]+Registro[[#This Row],[Mes 5]]+Registro[[#This Row],[Mes 6]]</f>
        <v>0</v>
      </c>
      <c r="V1472" s="20">
        <f>Registro[[#This Row],[Mes 7]]+Registro[[#This Row],[Mes 8]]+Registro[[#This Row],[Mes 9]]</f>
        <v>0</v>
      </c>
      <c r="W1472" s="20">
        <f>Registro[[#This Row],[Mes 10]]+Registro[[#This Row],[Mes 11]]+Registro[[#This Row],[Mes 12]]</f>
        <v>0</v>
      </c>
      <c r="X1472" s="20">
        <f>SUM(Registro[[#This Row],[Trim I]],Registro[[#This Row],[Trim II]],Registro[[#This Row],[Trim III]],Registro[[#This Row],[Trim IV]])</f>
        <v>0</v>
      </c>
      <c r="Y1472" s="22">
        <f>IFERROR((Registro[[#This Row],[Avance Total]]/Registro[[#This Row],[Meta]]),0)</f>
        <v>0</v>
      </c>
      <c r="Z1472" s="22">
        <f>IFERROR((Registro[[#This Row],[Avance Total]]-Registro[[#This Row],[Línea Base 2025]])/Registro[[#This Row],[Línea Base 2025]],0)</f>
        <v>-1</v>
      </c>
      <c r="AA1472" s="20"/>
    </row>
    <row r="1473" spans="1:27" hidden="1">
      <c r="A1473" s="14">
        <v>1114</v>
      </c>
      <c r="B1473" s="15" t="s">
        <v>131</v>
      </c>
      <c r="C1473" s="16">
        <v>113</v>
      </c>
      <c r="D1473" s="16" t="s">
        <v>179</v>
      </c>
      <c r="E1473" s="17" t="s">
        <v>178</v>
      </c>
      <c r="F1473" s="24">
        <v>27</v>
      </c>
      <c r="G1473" s="19">
        <v>137</v>
      </c>
      <c r="H1473" s="19">
        <v>0</v>
      </c>
      <c r="I1473" s="19">
        <v>0</v>
      </c>
      <c r="T1473" s="20">
        <f>Registro[[#This Row],[Mes 1]]+Registro[[#This Row],[Mes 2]]+Registro[[#This Row],[Mes 3]]</f>
        <v>0</v>
      </c>
      <c r="U1473" s="20">
        <f>Registro[[#This Row],[Mes 4]]+Registro[[#This Row],[Mes 5]]+Registro[[#This Row],[Mes 6]]</f>
        <v>0</v>
      </c>
      <c r="V1473" s="20">
        <f>Registro[[#This Row],[Mes 7]]+Registro[[#This Row],[Mes 8]]+Registro[[#This Row],[Mes 9]]</f>
        <v>0</v>
      </c>
      <c r="W1473" s="20">
        <f>Registro[[#This Row],[Mes 10]]+Registro[[#This Row],[Mes 11]]+Registro[[#This Row],[Mes 12]]</f>
        <v>0</v>
      </c>
      <c r="X1473" s="20">
        <f>SUM(Registro[[#This Row],[Trim I]],Registro[[#This Row],[Trim II]],Registro[[#This Row],[Trim III]],Registro[[#This Row],[Trim IV]])</f>
        <v>0</v>
      </c>
      <c r="Y1473" s="22">
        <f>IFERROR((Registro[[#This Row],[Avance Total]]/Registro[[#This Row],[Meta]]),0)</f>
        <v>0</v>
      </c>
      <c r="Z1473" s="22">
        <f>IFERROR((Registro[[#This Row],[Avance Total]]-Registro[[#This Row],[Línea Base 2025]])/Registro[[#This Row],[Línea Base 2025]],0)</f>
        <v>-1</v>
      </c>
      <c r="AA1473" s="20"/>
    </row>
    <row r="1474" spans="1:27" hidden="1">
      <c r="A1474" s="14">
        <v>1114</v>
      </c>
      <c r="B1474" s="15" t="s">
        <v>131</v>
      </c>
      <c r="C1474" s="16">
        <v>114</v>
      </c>
      <c r="D1474" s="16" t="s">
        <v>181</v>
      </c>
      <c r="E1474" s="17" t="s">
        <v>180</v>
      </c>
      <c r="F1474" s="24">
        <v>0</v>
      </c>
      <c r="G1474" s="19">
        <v>22</v>
      </c>
      <c r="H1474" s="19">
        <v>8</v>
      </c>
      <c r="I1474" s="19">
        <v>4</v>
      </c>
      <c r="T1474" s="20">
        <f>Registro[[#This Row],[Mes 1]]+Registro[[#This Row],[Mes 2]]+Registro[[#This Row],[Mes 3]]</f>
        <v>12</v>
      </c>
      <c r="U1474" s="20">
        <f>Registro[[#This Row],[Mes 4]]+Registro[[#This Row],[Mes 5]]+Registro[[#This Row],[Mes 6]]</f>
        <v>0</v>
      </c>
      <c r="V1474" s="20">
        <f>Registro[[#This Row],[Mes 7]]+Registro[[#This Row],[Mes 8]]+Registro[[#This Row],[Mes 9]]</f>
        <v>0</v>
      </c>
      <c r="W1474" s="20">
        <f>Registro[[#This Row],[Mes 10]]+Registro[[#This Row],[Mes 11]]+Registro[[#This Row],[Mes 12]]</f>
        <v>0</v>
      </c>
      <c r="X1474" s="20">
        <f>SUM(Registro[[#This Row],[Trim I]],Registro[[#This Row],[Trim II]],Registro[[#This Row],[Trim III]],Registro[[#This Row],[Trim IV]])</f>
        <v>12</v>
      </c>
      <c r="Y1474" s="22">
        <f>IFERROR((Registro[[#This Row],[Avance Total]]/Registro[[#This Row],[Meta]]),0)</f>
        <v>0.54545454545454541</v>
      </c>
      <c r="Z1474" s="22">
        <f>IFERROR((Registro[[#This Row],[Avance Total]]-Registro[[#This Row],[Línea Base 2025]])/Registro[[#This Row],[Línea Base 2025]],0)</f>
        <v>0</v>
      </c>
      <c r="AA1474" s="20"/>
    </row>
    <row r="1475" spans="1:27" hidden="1">
      <c r="A1475" s="14">
        <v>1114</v>
      </c>
      <c r="B1475" s="15" t="s">
        <v>131</v>
      </c>
      <c r="C1475" s="16">
        <v>115</v>
      </c>
      <c r="D1475" s="16" t="s">
        <v>183</v>
      </c>
      <c r="E1475" s="17" t="s">
        <v>182</v>
      </c>
      <c r="F1475" s="24">
        <v>3</v>
      </c>
      <c r="G1475" s="19">
        <v>6</v>
      </c>
      <c r="H1475" s="19">
        <v>0</v>
      </c>
      <c r="I1475" s="19">
        <v>0</v>
      </c>
      <c r="T1475" s="20">
        <f>Registro[[#This Row],[Mes 1]]+Registro[[#This Row],[Mes 2]]+Registro[[#This Row],[Mes 3]]</f>
        <v>0</v>
      </c>
      <c r="U1475" s="20">
        <f>Registro[[#This Row],[Mes 4]]+Registro[[#This Row],[Mes 5]]+Registro[[#This Row],[Mes 6]]</f>
        <v>0</v>
      </c>
      <c r="V1475" s="20">
        <f>Registro[[#This Row],[Mes 7]]+Registro[[#This Row],[Mes 8]]+Registro[[#This Row],[Mes 9]]</f>
        <v>0</v>
      </c>
      <c r="W1475" s="20">
        <f>Registro[[#This Row],[Mes 10]]+Registro[[#This Row],[Mes 11]]+Registro[[#This Row],[Mes 12]]</f>
        <v>0</v>
      </c>
      <c r="X1475" s="20">
        <f>SUM(Registro[[#This Row],[Trim I]],Registro[[#This Row],[Trim II]],Registro[[#This Row],[Trim III]],Registro[[#This Row],[Trim IV]])</f>
        <v>0</v>
      </c>
      <c r="Y1475" s="22">
        <f>IFERROR((Registro[[#This Row],[Avance Total]]/Registro[[#This Row],[Meta]]),0)</f>
        <v>0</v>
      </c>
      <c r="Z1475" s="22">
        <f>IFERROR((Registro[[#This Row],[Avance Total]]-Registro[[#This Row],[Línea Base 2025]])/Registro[[#This Row],[Línea Base 2025]],0)</f>
        <v>-1</v>
      </c>
      <c r="AA1475" s="20"/>
    </row>
    <row r="1476" spans="1:27">
      <c r="A1476" s="14">
        <v>1114</v>
      </c>
      <c r="B1476" s="15" t="s">
        <v>131</v>
      </c>
      <c r="C1476" s="16">
        <v>116</v>
      </c>
      <c r="D1476" s="16" t="s">
        <v>185</v>
      </c>
      <c r="E1476" s="17" t="s">
        <v>184</v>
      </c>
      <c r="F1476" s="24">
        <v>1</v>
      </c>
      <c r="G1476" s="19">
        <v>2</v>
      </c>
      <c r="H1476" s="19">
        <v>0</v>
      </c>
      <c r="I1476" s="19">
        <v>0</v>
      </c>
      <c r="T1476" s="20">
        <f>Registro[[#This Row],[Mes 1]]+Registro[[#This Row],[Mes 2]]+Registro[[#This Row],[Mes 3]]</f>
        <v>0</v>
      </c>
      <c r="U1476" s="20">
        <f>Registro[[#This Row],[Mes 4]]+Registro[[#This Row],[Mes 5]]+Registro[[#This Row],[Mes 6]]</f>
        <v>0</v>
      </c>
      <c r="V1476" s="20">
        <f>Registro[[#This Row],[Mes 7]]+Registro[[#This Row],[Mes 8]]+Registro[[#This Row],[Mes 9]]</f>
        <v>0</v>
      </c>
      <c r="W1476" s="20">
        <f>Registro[[#This Row],[Mes 10]]+Registro[[#This Row],[Mes 11]]+Registro[[#This Row],[Mes 12]]</f>
        <v>0</v>
      </c>
      <c r="X1476" s="20">
        <f>SUM(Registro[[#This Row],[Trim I]],Registro[[#This Row],[Trim II]],Registro[[#This Row],[Trim III]],Registro[[#This Row],[Trim IV]])</f>
        <v>0</v>
      </c>
      <c r="Y1476" s="22">
        <f>IFERROR((Registro[[#This Row],[Avance Total]]/Registro[[#This Row],[Meta]]),0)</f>
        <v>0</v>
      </c>
      <c r="Z1476" s="22">
        <f>IFERROR((Registro[[#This Row],[Avance Total]]-Registro[[#This Row],[Línea Base 2025]])/Registro[[#This Row],[Línea Base 2025]],0)</f>
        <v>-1</v>
      </c>
      <c r="AA1476" s="20"/>
    </row>
    <row r="1477" spans="1:27" hidden="1">
      <c r="A1477" s="14">
        <v>1114</v>
      </c>
      <c r="B1477" s="15" t="s">
        <v>131</v>
      </c>
      <c r="C1477" s="16">
        <v>117</v>
      </c>
      <c r="D1477" s="16" t="s">
        <v>187</v>
      </c>
      <c r="E1477" s="17" t="s">
        <v>186</v>
      </c>
      <c r="F1477" s="24">
        <v>2</v>
      </c>
      <c r="G1477" s="19">
        <v>1</v>
      </c>
      <c r="H1477" s="19">
        <v>0</v>
      </c>
      <c r="I1477" s="19">
        <v>0</v>
      </c>
      <c r="T1477" s="20">
        <f>Registro[[#This Row],[Mes 1]]+Registro[[#This Row],[Mes 2]]+Registro[[#This Row],[Mes 3]]</f>
        <v>0</v>
      </c>
      <c r="U1477" s="20">
        <f>Registro[[#This Row],[Mes 4]]+Registro[[#This Row],[Mes 5]]+Registro[[#This Row],[Mes 6]]</f>
        <v>0</v>
      </c>
      <c r="V1477" s="20">
        <f>Registro[[#This Row],[Mes 7]]+Registro[[#This Row],[Mes 8]]+Registro[[#This Row],[Mes 9]]</f>
        <v>0</v>
      </c>
      <c r="W1477" s="20">
        <f>Registro[[#This Row],[Mes 10]]+Registro[[#This Row],[Mes 11]]+Registro[[#This Row],[Mes 12]]</f>
        <v>0</v>
      </c>
      <c r="X1477" s="20">
        <f>SUM(Registro[[#This Row],[Trim I]],Registro[[#This Row],[Trim II]],Registro[[#This Row],[Trim III]],Registro[[#This Row],[Trim IV]])</f>
        <v>0</v>
      </c>
      <c r="Y1477" s="22">
        <f>IFERROR((Registro[[#This Row],[Avance Total]]/Registro[[#This Row],[Meta]]),0)</f>
        <v>0</v>
      </c>
      <c r="Z1477" s="22">
        <f>IFERROR((Registro[[#This Row],[Avance Total]]-Registro[[#This Row],[Línea Base 2025]])/Registro[[#This Row],[Línea Base 2025]],0)</f>
        <v>-1</v>
      </c>
      <c r="AA1477" s="20"/>
    </row>
    <row r="1478" spans="1:27" hidden="1">
      <c r="A1478" s="14">
        <v>1114</v>
      </c>
      <c r="B1478" s="15" t="s">
        <v>131</v>
      </c>
      <c r="C1478" s="16">
        <v>118</v>
      </c>
      <c r="D1478" s="16" t="s">
        <v>188</v>
      </c>
      <c r="E1478" s="17" t="s">
        <v>9</v>
      </c>
      <c r="F1478" s="24">
        <v>0</v>
      </c>
      <c r="G1478" s="19">
        <v>6</v>
      </c>
      <c r="H1478" s="19">
        <v>0</v>
      </c>
      <c r="I1478" s="19">
        <v>0</v>
      </c>
      <c r="T1478" s="20">
        <f>Registro[[#This Row],[Mes 1]]+Registro[[#This Row],[Mes 2]]+Registro[[#This Row],[Mes 3]]</f>
        <v>0</v>
      </c>
      <c r="U1478" s="20">
        <f>Registro[[#This Row],[Mes 4]]+Registro[[#This Row],[Mes 5]]+Registro[[#This Row],[Mes 6]]</f>
        <v>0</v>
      </c>
      <c r="V1478" s="20">
        <f>Registro[[#This Row],[Mes 7]]+Registro[[#This Row],[Mes 8]]+Registro[[#This Row],[Mes 9]]</f>
        <v>0</v>
      </c>
      <c r="W1478" s="20">
        <f>Registro[[#This Row],[Mes 10]]+Registro[[#This Row],[Mes 11]]+Registro[[#This Row],[Mes 12]]</f>
        <v>0</v>
      </c>
      <c r="X1478" s="20">
        <f>SUM(Registro[[#This Row],[Trim I]],Registro[[#This Row],[Trim II]],Registro[[#This Row],[Trim III]],Registro[[#This Row],[Trim IV]])</f>
        <v>0</v>
      </c>
      <c r="Y1478" s="22">
        <f>IFERROR((Registro[[#This Row],[Avance Total]]/Registro[[#This Row],[Meta]]),0)</f>
        <v>0</v>
      </c>
      <c r="Z1478" s="22">
        <f>IFERROR((Registro[[#This Row],[Avance Total]]-Registro[[#This Row],[Línea Base 2025]])/Registro[[#This Row],[Línea Base 2025]],0)</f>
        <v>0</v>
      </c>
      <c r="AA1478" s="20"/>
    </row>
    <row r="1479" spans="1:27" hidden="1">
      <c r="A1479" s="14">
        <v>1114</v>
      </c>
      <c r="B1479" s="15" t="s">
        <v>131</v>
      </c>
      <c r="C1479" s="16">
        <v>119</v>
      </c>
      <c r="D1479" s="16" t="s">
        <v>190</v>
      </c>
      <c r="E1479" s="17" t="s">
        <v>189</v>
      </c>
      <c r="F1479" s="24">
        <v>0</v>
      </c>
      <c r="G1479" s="19">
        <v>2</v>
      </c>
      <c r="H1479" s="19">
        <v>0</v>
      </c>
      <c r="I1479" s="19">
        <v>0</v>
      </c>
      <c r="T1479" s="20">
        <f>Registro[[#This Row],[Mes 1]]+Registro[[#This Row],[Mes 2]]+Registro[[#This Row],[Mes 3]]</f>
        <v>0</v>
      </c>
      <c r="U1479" s="20">
        <f>Registro[[#This Row],[Mes 4]]+Registro[[#This Row],[Mes 5]]+Registro[[#This Row],[Mes 6]]</f>
        <v>0</v>
      </c>
      <c r="V1479" s="20">
        <f>Registro[[#This Row],[Mes 7]]+Registro[[#This Row],[Mes 8]]+Registro[[#This Row],[Mes 9]]</f>
        <v>0</v>
      </c>
      <c r="W1479" s="20">
        <f>Registro[[#This Row],[Mes 10]]+Registro[[#This Row],[Mes 11]]+Registro[[#This Row],[Mes 12]]</f>
        <v>0</v>
      </c>
      <c r="X1479" s="20">
        <f>SUM(Registro[[#This Row],[Trim I]],Registro[[#This Row],[Trim II]],Registro[[#This Row],[Trim III]],Registro[[#This Row],[Trim IV]])</f>
        <v>0</v>
      </c>
      <c r="Y1479" s="22">
        <f>IFERROR((Registro[[#This Row],[Avance Total]]/Registro[[#This Row],[Meta]]),0)</f>
        <v>0</v>
      </c>
      <c r="Z1479" s="22">
        <f>IFERROR((Registro[[#This Row],[Avance Total]]-Registro[[#This Row],[Línea Base 2025]])/Registro[[#This Row],[Línea Base 2025]],0)</f>
        <v>0</v>
      </c>
      <c r="AA1479" s="20"/>
    </row>
    <row r="1480" spans="1:27" hidden="1">
      <c r="A1480" s="14">
        <v>1114</v>
      </c>
      <c r="B1480" s="15" t="s">
        <v>131</v>
      </c>
      <c r="C1480" s="16">
        <v>120</v>
      </c>
      <c r="D1480" s="16" t="s">
        <v>192</v>
      </c>
      <c r="E1480" s="17" t="s">
        <v>191</v>
      </c>
      <c r="F1480" s="24">
        <v>2</v>
      </c>
      <c r="G1480" s="19">
        <v>6</v>
      </c>
      <c r="H1480" s="19">
        <v>0</v>
      </c>
      <c r="I1480" s="19">
        <v>0</v>
      </c>
      <c r="T1480" s="20">
        <f>Registro[[#This Row],[Mes 1]]+Registro[[#This Row],[Mes 2]]+Registro[[#This Row],[Mes 3]]</f>
        <v>0</v>
      </c>
      <c r="U1480" s="20">
        <f>Registro[[#This Row],[Mes 4]]+Registro[[#This Row],[Mes 5]]+Registro[[#This Row],[Mes 6]]</f>
        <v>0</v>
      </c>
      <c r="V1480" s="20">
        <f>Registro[[#This Row],[Mes 7]]+Registro[[#This Row],[Mes 8]]+Registro[[#This Row],[Mes 9]]</f>
        <v>0</v>
      </c>
      <c r="W1480" s="20">
        <f>Registro[[#This Row],[Mes 10]]+Registro[[#This Row],[Mes 11]]+Registro[[#This Row],[Mes 12]]</f>
        <v>0</v>
      </c>
      <c r="X1480" s="20">
        <f>SUM(Registro[[#This Row],[Trim I]],Registro[[#This Row],[Trim II]],Registro[[#This Row],[Trim III]],Registro[[#This Row],[Trim IV]])</f>
        <v>0</v>
      </c>
      <c r="Y1480" s="22">
        <f>IFERROR((Registro[[#This Row],[Avance Total]]/Registro[[#This Row],[Meta]]),0)</f>
        <v>0</v>
      </c>
      <c r="Z1480" s="22">
        <f>IFERROR((Registro[[#This Row],[Avance Total]]-Registro[[#This Row],[Línea Base 2025]])/Registro[[#This Row],[Línea Base 2025]],0)</f>
        <v>-1</v>
      </c>
      <c r="AA1480" s="20"/>
    </row>
    <row r="1481" spans="1:27" hidden="1">
      <c r="A1481" s="14">
        <v>1114</v>
      </c>
      <c r="B1481" s="15" t="s">
        <v>131</v>
      </c>
      <c r="C1481" s="16">
        <v>121</v>
      </c>
      <c r="D1481" s="16" t="s">
        <v>194</v>
      </c>
      <c r="E1481" s="17" t="s">
        <v>193</v>
      </c>
      <c r="F1481" s="24">
        <v>5</v>
      </c>
      <c r="G1481" s="19">
        <v>6</v>
      </c>
      <c r="H1481" s="19">
        <v>0</v>
      </c>
      <c r="I1481" s="19">
        <v>0</v>
      </c>
      <c r="T1481" s="20">
        <f>Registro[[#This Row],[Mes 1]]+Registro[[#This Row],[Mes 2]]+Registro[[#This Row],[Mes 3]]</f>
        <v>0</v>
      </c>
      <c r="U1481" s="20">
        <f>Registro[[#This Row],[Mes 4]]+Registro[[#This Row],[Mes 5]]+Registro[[#This Row],[Mes 6]]</f>
        <v>0</v>
      </c>
      <c r="V1481" s="20">
        <f>Registro[[#This Row],[Mes 7]]+Registro[[#This Row],[Mes 8]]+Registro[[#This Row],[Mes 9]]</f>
        <v>0</v>
      </c>
      <c r="W1481" s="20">
        <f>Registro[[#This Row],[Mes 10]]+Registro[[#This Row],[Mes 11]]+Registro[[#This Row],[Mes 12]]</f>
        <v>0</v>
      </c>
      <c r="X1481" s="20">
        <f>SUM(Registro[[#This Row],[Trim I]],Registro[[#This Row],[Trim II]],Registro[[#This Row],[Trim III]],Registro[[#This Row],[Trim IV]])</f>
        <v>0</v>
      </c>
      <c r="Y1481" s="22">
        <f>IFERROR((Registro[[#This Row],[Avance Total]]/Registro[[#This Row],[Meta]]),0)</f>
        <v>0</v>
      </c>
      <c r="Z1481" s="22">
        <f>IFERROR((Registro[[#This Row],[Avance Total]]-Registro[[#This Row],[Línea Base 2025]])/Registro[[#This Row],[Línea Base 2025]],0)</f>
        <v>-1</v>
      </c>
      <c r="AA1481" s="20"/>
    </row>
    <row r="1482" spans="1:27" hidden="1">
      <c r="A1482" s="14">
        <v>1114</v>
      </c>
      <c r="B1482" s="15" t="s">
        <v>131</v>
      </c>
      <c r="C1482" s="16">
        <v>122</v>
      </c>
      <c r="D1482" s="16" t="s">
        <v>196</v>
      </c>
      <c r="E1482" s="17" t="s">
        <v>195</v>
      </c>
      <c r="F1482" s="24">
        <v>2</v>
      </c>
      <c r="G1482" s="19">
        <v>4</v>
      </c>
      <c r="H1482" s="19">
        <v>0</v>
      </c>
      <c r="I1482" s="19">
        <v>0</v>
      </c>
      <c r="T1482" s="20">
        <f>Registro[[#This Row],[Mes 1]]+Registro[[#This Row],[Mes 2]]+Registro[[#This Row],[Mes 3]]</f>
        <v>0</v>
      </c>
      <c r="U1482" s="20">
        <f>Registro[[#This Row],[Mes 4]]+Registro[[#This Row],[Mes 5]]+Registro[[#This Row],[Mes 6]]</f>
        <v>0</v>
      </c>
      <c r="V1482" s="20">
        <f>Registro[[#This Row],[Mes 7]]+Registro[[#This Row],[Mes 8]]+Registro[[#This Row],[Mes 9]]</f>
        <v>0</v>
      </c>
      <c r="W1482" s="20">
        <f>Registro[[#This Row],[Mes 10]]+Registro[[#This Row],[Mes 11]]+Registro[[#This Row],[Mes 12]]</f>
        <v>0</v>
      </c>
      <c r="X1482" s="20">
        <f>SUM(Registro[[#This Row],[Trim I]],Registro[[#This Row],[Trim II]],Registro[[#This Row],[Trim III]],Registro[[#This Row],[Trim IV]])</f>
        <v>0</v>
      </c>
      <c r="Y1482" s="22">
        <f>IFERROR((Registro[[#This Row],[Avance Total]]/Registro[[#This Row],[Meta]]),0)</f>
        <v>0</v>
      </c>
      <c r="Z1482" s="22">
        <f>IFERROR((Registro[[#This Row],[Avance Total]]-Registro[[#This Row],[Línea Base 2025]])/Registro[[#This Row],[Línea Base 2025]],0)</f>
        <v>-1</v>
      </c>
      <c r="AA1482" s="20"/>
    </row>
    <row r="1483" spans="1:27" hidden="1">
      <c r="A1483" s="14">
        <v>1114</v>
      </c>
      <c r="B1483" s="15" t="s">
        <v>131</v>
      </c>
      <c r="C1483" s="26">
        <v>123</v>
      </c>
      <c r="D1483" s="26" t="s">
        <v>198</v>
      </c>
      <c r="E1483" s="17" t="s">
        <v>197</v>
      </c>
      <c r="F1483" s="32">
        <v>0</v>
      </c>
      <c r="G1483" s="28">
        <v>1</v>
      </c>
      <c r="H1483" s="28">
        <v>0</v>
      </c>
      <c r="I1483" s="28">
        <v>0</v>
      </c>
      <c r="J1483" s="27"/>
      <c r="K1483" s="27"/>
      <c r="L1483" s="27"/>
      <c r="M1483" s="27"/>
      <c r="N1483" s="27"/>
      <c r="O1483" s="27"/>
      <c r="P1483" s="27"/>
      <c r="Q1483" s="27"/>
      <c r="R1483" s="27"/>
      <c r="S1483" s="27"/>
      <c r="T1483" s="29">
        <f>Registro[[#This Row],[Mes 1]]+Registro[[#This Row],[Mes 2]]+Registro[[#This Row],[Mes 3]]</f>
        <v>0</v>
      </c>
      <c r="U1483" s="29">
        <f>Registro[[#This Row],[Mes 4]]+Registro[[#This Row],[Mes 5]]+Registro[[#This Row],[Mes 6]]</f>
        <v>0</v>
      </c>
      <c r="V1483" s="29">
        <f>Registro[[#This Row],[Mes 7]]+Registro[[#This Row],[Mes 8]]+Registro[[#This Row],[Mes 9]]</f>
        <v>0</v>
      </c>
      <c r="W1483" s="29">
        <f>Registro[[#This Row],[Mes 10]]+Registro[[#This Row],[Mes 11]]+Registro[[#This Row],[Mes 12]]</f>
        <v>0</v>
      </c>
      <c r="X1483" s="29">
        <f>SUM(Registro[[#This Row],[Trim I]],Registro[[#This Row],[Trim II]],Registro[[#This Row],[Trim III]],Registro[[#This Row],[Trim IV]])</f>
        <v>0</v>
      </c>
      <c r="Y1483" s="30">
        <f>IFERROR((Registro[[#This Row],[Avance Total]]/Registro[[#This Row],[Meta]]),0)</f>
        <v>0</v>
      </c>
      <c r="Z1483" s="30">
        <f>IFERROR((Registro[[#This Row],[Avance Total]]-Registro[[#This Row],[Línea Base 2025]])/Registro[[#This Row],[Línea Base 2025]],0)</f>
        <v>0</v>
      </c>
      <c r="AA1483" s="29"/>
    </row>
    <row r="1484" spans="1:27" hidden="1">
      <c r="A1484" s="14">
        <v>1115</v>
      </c>
      <c r="B1484" s="15" t="s">
        <v>132</v>
      </c>
      <c r="C1484" s="16">
        <v>111</v>
      </c>
      <c r="D1484" s="16" t="s">
        <v>171</v>
      </c>
      <c r="E1484" s="17" t="s">
        <v>172</v>
      </c>
      <c r="F1484" s="24">
        <v>14</v>
      </c>
      <c r="G1484" s="19">
        <v>50</v>
      </c>
      <c r="H1484" s="19">
        <v>0</v>
      </c>
      <c r="I1484" s="19">
        <v>6</v>
      </c>
      <c r="T1484" s="20">
        <f>Registro[[#This Row],[Mes 1]]+Registro[[#This Row],[Mes 2]]+Registro[[#This Row],[Mes 3]]</f>
        <v>6</v>
      </c>
      <c r="U1484" s="20">
        <f>Registro[[#This Row],[Mes 4]]+Registro[[#This Row],[Mes 5]]+Registro[[#This Row],[Mes 6]]</f>
        <v>0</v>
      </c>
      <c r="V1484" s="20">
        <f>Registro[[#This Row],[Mes 7]]+Registro[[#This Row],[Mes 8]]+Registro[[#This Row],[Mes 9]]</f>
        <v>0</v>
      </c>
      <c r="W1484" s="20">
        <f>Registro[[#This Row],[Mes 10]]+Registro[[#This Row],[Mes 11]]+Registro[[#This Row],[Mes 12]]</f>
        <v>0</v>
      </c>
      <c r="X1484" s="20">
        <f>SUM(Registro[[#This Row],[Trim I]],Registro[[#This Row],[Trim II]],Registro[[#This Row],[Trim III]],Registro[[#This Row],[Trim IV]])</f>
        <v>6</v>
      </c>
      <c r="Y1484" s="22">
        <f>IFERROR((Registro[[#This Row],[Avance Total]]/Registro[[#This Row],[Meta]]),0)</f>
        <v>0.12</v>
      </c>
      <c r="Z1484" s="22">
        <f>IFERROR((Registro[[#This Row],[Avance Total]]-Registro[[#This Row],[Línea Base 2025]])/Registro[[#This Row],[Línea Base 2025]],0)</f>
        <v>-0.5714285714285714</v>
      </c>
      <c r="AA1484" s="20"/>
    </row>
    <row r="1485" spans="1:27" hidden="1">
      <c r="A1485" s="14">
        <v>1115</v>
      </c>
      <c r="B1485" s="15" t="s">
        <v>132</v>
      </c>
      <c r="C1485" s="16">
        <v>112</v>
      </c>
      <c r="D1485" s="16" t="s">
        <v>173</v>
      </c>
      <c r="E1485" s="17" t="s">
        <v>7</v>
      </c>
      <c r="F1485" s="24">
        <v>4</v>
      </c>
      <c r="G1485" s="19">
        <v>17</v>
      </c>
      <c r="H1485" s="19">
        <v>0</v>
      </c>
      <c r="I1485" s="19">
        <v>0</v>
      </c>
      <c r="T1485" s="20">
        <f>Registro[[#This Row],[Mes 1]]+Registro[[#This Row],[Mes 2]]+Registro[[#This Row],[Mes 3]]</f>
        <v>0</v>
      </c>
      <c r="U1485" s="20">
        <f>Registro[[#This Row],[Mes 4]]+Registro[[#This Row],[Mes 5]]+Registro[[#This Row],[Mes 6]]</f>
        <v>0</v>
      </c>
      <c r="V1485" s="20">
        <f>Registro[[#This Row],[Mes 7]]+Registro[[#This Row],[Mes 8]]+Registro[[#This Row],[Mes 9]]</f>
        <v>0</v>
      </c>
      <c r="W1485" s="20">
        <f>Registro[[#This Row],[Mes 10]]+Registro[[#This Row],[Mes 11]]+Registro[[#This Row],[Mes 12]]</f>
        <v>0</v>
      </c>
      <c r="X1485" s="20">
        <f>SUM(Registro[[#This Row],[Trim I]],Registro[[#This Row],[Trim II]],Registro[[#This Row],[Trim III]],Registro[[#This Row],[Trim IV]])</f>
        <v>0</v>
      </c>
      <c r="Y1485" s="22">
        <f>IFERROR((Registro[[#This Row],[Avance Total]]/Registro[[#This Row],[Meta]]),0)</f>
        <v>0</v>
      </c>
      <c r="Z1485" s="22">
        <f>IFERROR((Registro[[#This Row],[Avance Total]]-Registro[[#This Row],[Línea Base 2025]])/Registro[[#This Row],[Línea Base 2025]],0)</f>
        <v>-1</v>
      </c>
      <c r="AA1485" s="20"/>
    </row>
    <row r="1486" spans="1:27" hidden="1">
      <c r="A1486" s="14">
        <v>1115</v>
      </c>
      <c r="B1486" s="15" t="s">
        <v>132</v>
      </c>
      <c r="C1486" s="16">
        <v>113</v>
      </c>
      <c r="D1486" s="16" t="s">
        <v>179</v>
      </c>
      <c r="E1486" s="17" t="s">
        <v>178</v>
      </c>
      <c r="F1486" s="24">
        <v>13</v>
      </c>
      <c r="G1486" s="19">
        <v>85</v>
      </c>
      <c r="H1486" s="19">
        <v>0</v>
      </c>
      <c r="I1486" s="19">
        <v>0</v>
      </c>
      <c r="T1486" s="20">
        <f>Registro[[#This Row],[Mes 1]]+Registro[[#This Row],[Mes 2]]+Registro[[#This Row],[Mes 3]]</f>
        <v>0</v>
      </c>
      <c r="U1486" s="20">
        <f>Registro[[#This Row],[Mes 4]]+Registro[[#This Row],[Mes 5]]+Registro[[#This Row],[Mes 6]]</f>
        <v>0</v>
      </c>
      <c r="V1486" s="20">
        <f>Registro[[#This Row],[Mes 7]]+Registro[[#This Row],[Mes 8]]+Registro[[#This Row],[Mes 9]]</f>
        <v>0</v>
      </c>
      <c r="W1486" s="20">
        <f>Registro[[#This Row],[Mes 10]]+Registro[[#This Row],[Mes 11]]+Registro[[#This Row],[Mes 12]]</f>
        <v>0</v>
      </c>
      <c r="X1486" s="20">
        <f>SUM(Registro[[#This Row],[Trim I]],Registro[[#This Row],[Trim II]],Registro[[#This Row],[Trim III]],Registro[[#This Row],[Trim IV]])</f>
        <v>0</v>
      </c>
      <c r="Y1486" s="22">
        <f>IFERROR((Registro[[#This Row],[Avance Total]]/Registro[[#This Row],[Meta]]),0)</f>
        <v>0</v>
      </c>
      <c r="Z1486" s="22">
        <f>IFERROR((Registro[[#This Row],[Avance Total]]-Registro[[#This Row],[Línea Base 2025]])/Registro[[#This Row],[Línea Base 2025]],0)</f>
        <v>-1</v>
      </c>
      <c r="AA1486" s="20"/>
    </row>
    <row r="1487" spans="1:27" hidden="1">
      <c r="A1487" s="14">
        <v>1115</v>
      </c>
      <c r="B1487" s="15" t="s">
        <v>132</v>
      </c>
      <c r="C1487" s="16">
        <v>114</v>
      </c>
      <c r="D1487" s="16" t="s">
        <v>181</v>
      </c>
      <c r="E1487" s="17" t="s">
        <v>180</v>
      </c>
      <c r="F1487" s="24">
        <v>1</v>
      </c>
      <c r="G1487" s="19">
        <v>2</v>
      </c>
      <c r="H1487" s="19">
        <v>0</v>
      </c>
      <c r="I1487" s="19">
        <v>0</v>
      </c>
      <c r="T1487" s="20">
        <f>Registro[[#This Row],[Mes 1]]+Registro[[#This Row],[Mes 2]]+Registro[[#This Row],[Mes 3]]</f>
        <v>0</v>
      </c>
      <c r="U1487" s="20">
        <f>Registro[[#This Row],[Mes 4]]+Registro[[#This Row],[Mes 5]]+Registro[[#This Row],[Mes 6]]</f>
        <v>0</v>
      </c>
      <c r="V1487" s="20">
        <f>Registro[[#This Row],[Mes 7]]+Registro[[#This Row],[Mes 8]]+Registro[[#This Row],[Mes 9]]</f>
        <v>0</v>
      </c>
      <c r="W1487" s="20">
        <f>Registro[[#This Row],[Mes 10]]+Registro[[#This Row],[Mes 11]]+Registro[[#This Row],[Mes 12]]</f>
        <v>0</v>
      </c>
      <c r="X1487" s="20">
        <f>SUM(Registro[[#This Row],[Trim I]],Registro[[#This Row],[Trim II]],Registro[[#This Row],[Trim III]],Registro[[#This Row],[Trim IV]])</f>
        <v>0</v>
      </c>
      <c r="Y1487" s="22">
        <f>IFERROR((Registro[[#This Row],[Avance Total]]/Registro[[#This Row],[Meta]]),0)</f>
        <v>0</v>
      </c>
      <c r="Z1487" s="22">
        <f>IFERROR((Registro[[#This Row],[Avance Total]]-Registro[[#This Row],[Línea Base 2025]])/Registro[[#This Row],[Línea Base 2025]],0)</f>
        <v>-1</v>
      </c>
      <c r="AA1487" s="20"/>
    </row>
    <row r="1488" spans="1:27" hidden="1">
      <c r="A1488" s="14">
        <v>1115</v>
      </c>
      <c r="B1488" s="15" t="s">
        <v>132</v>
      </c>
      <c r="C1488" s="16">
        <v>115</v>
      </c>
      <c r="D1488" s="16" t="s">
        <v>183</v>
      </c>
      <c r="E1488" s="17" t="s">
        <v>182</v>
      </c>
      <c r="F1488" s="24">
        <v>8</v>
      </c>
      <c r="G1488" s="19">
        <v>2</v>
      </c>
      <c r="H1488" s="19">
        <v>0</v>
      </c>
      <c r="I1488" s="19">
        <v>0</v>
      </c>
      <c r="T1488" s="20">
        <f>Registro[[#This Row],[Mes 1]]+Registro[[#This Row],[Mes 2]]+Registro[[#This Row],[Mes 3]]</f>
        <v>0</v>
      </c>
      <c r="U1488" s="20">
        <f>Registro[[#This Row],[Mes 4]]+Registro[[#This Row],[Mes 5]]+Registro[[#This Row],[Mes 6]]</f>
        <v>0</v>
      </c>
      <c r="V1488" s="20">
        <f>Registro[[#This Row],[Mes 7]]+Registro[[#This Row],[Mes 8]]+Registro[[#This Row],[Mes 9]]</f>
        <v>0</v>
      </c>
      <c r="W1488" s="20">
        <f>Registro[[#This Row],[Mes 10]]+Registro[[#This Row],[Mes 11]]+Registro[[#This Row],[Mes 12]]</f>
        <v>0</v>
      </c>
      <c r="X1488" s="20">
        <f>SUM(Registro[[#This Row],[Trim I]],Registro[[#This Row],[Trim II]],Registro[[#This Row],[Trim III]],Registro[[#This Row],[Trim IV]])</f>
        <v>0</v>
      </c>
      <c r="Y1488" s="22">
        <f>IFERROR((Registro[[#This Row],[Avance Total]]/Registro[[#This Row],[Meta]]),0)</f>
        <v>0</v>
      </c>
      <c r="Z1488" s="22">
        <f>IFERROR((Registro[[#This Row],[Avance Total]]-Registro[[#This Row],[Línea Base 2025]])/Registro[[#This Row],[Línea Base 2025]],0)</f>
        <v>-1</v>
      </c>
      <c r="AA1488" s="20"/>
    </row>
    <row r="1489" spans="1:27">
      <c r="A1489" s="14">
        <v>1115</v>
      </c>
      <c r="B1489" s="15" t="s">
        <v>132</v>
      </c>
      <c r="C1489" s="16">
        <v>116</v>
      </c>
      <c r="D1489" s="16" t="s">
        <v>185</v>
      </c>
      <c r="E1489" s="17" t="s">
        <v>184</v>
      </c>
      <c r="F1489" s="24">
        <v>1</v>
      </c>
      <c r="G1489" s="19">
        <v>1</v>
      </c>
      <c r="H1489" s="19">
        <v>0</v>
      </c>
      <c r="I1489" s="19">
        <v>0</v>
      </c>
      <c r="T1489" s="20">
        <f>Registro[[#This Row],[Mes 1]]+Registro[[#This Row],[Mes 2]]+Registro[[#This Row],[Mes 3]]</f>
        <v>0</v>
      </c>
      <c r="U1489" s="20">
        <f>Registro[[#This Row],[Mes 4]]+Registro[[#This Row],[Mes 5]]+Registro[[#This Row],[Mes 6]]</f>
        <v>0</v>
      </c>
      <c r="V1489" s="20">
        <f>Registro[[#This Row],[Mes 7]]+Registro[[#This Row],[Mes 8]]+Registro[[#This Row],[Mes 9]]</f>
        <v>0</v>
      </c>
      <c r="W1489" s="20">
        <f>Registro[[#This Row],[Mes 10]]+Registro[[#This Row],[Mes 11]]+Registro[[#This Row],[Mes 12]]</f>
        <v>0</v>
      </c>
      <c r="X1489" s="20">
        <f>SUM(Registro[[#This Row],[Trim I]],Registro[[#This Row],[Trim II]],Registro[[#This Row],[Trim III]],Registro[[#This Row],[Trim IV]])</f>
        <v>0</v>
      </c>
      <c r="Y1489" s="22">
        <f>IFERROR((Registro[[#This Row],[Avance Total]]/Registro[[#This Row],[Meta]]),0)</f>
        <v>0</v>
      </c>
      <c r="Z1489" s="22">
        <f>IFERROR((Registro[[#This Row],[Avance Total]]-Registro[[#This Row],[Línea Base 2025]])/Registro[[#This Row],[Línea Base 2025]],0)</f>
        <v>-1</v>
      </c>
      <c r="AA1489" s="20"/>
    </row>
    <row r="1490" spans="1:27" hidden="1">
      <c r="A1490" s="14">
        <v>1115</v>
      </c>
      <c r="B1490" s="15" t="s">
        <v>132</v>
      </c>
      <c r="C1490" s="16">
        <v>117</v>
      </c>
      <c r="D1490" s="16" t="s">
        <v>187</v>
      </c>
      <c r="E1490" s="17" t="s">
        <v>186</v>
      </c>
      <c r="F1490" s="24">
        <v>3</v>
      </c>
      <c r="G1490" s="19">
        <v>3</v>
      </c>
      <c r="H1490" s="19">
        <v>0</v>
      </c>
      <c r="I1490" s="19">
        <v>0</v>
      </c>
      <c r="T1490" s="20">
        <f>Registro[[#This Row],[Mes 1]]+Registro[[#This Row],[Mes 2]]+Registro[[#This Row],[Mes 3]]</f>
        <v>0</v>
      </c>
      <c r="U1490" s="20">
        <f>Registro[[#This Row],[Mes 4]]+Registro[[#This Row],[Mes 5]]+Registro[[#This Row],[Mes 6]]</f>
        <v>0</v>
      </c>
      <c r="V1490" s="20">
        <f>Registro[[#This Row],[Mes 7]]+Registro[[#This Row],[Mes 8]]+Registro[[#This Row],[Mes 9]]</f>
        <v>0</v>
      </c>
      <c r="W1490" s="20">
        <f>Registro[[#This Row],[Mes 10]]+Registro[[#This Row],[Mes 11]]+Registro[[#This Row],[Mes 12]]</f>
        <v>0</v>
      </c>
      <c r="X1490" s="20">
        <f>SUM(Registro[[#This Row],[Trim I]],Registro[[#This Row],[Trim II]],Registro[[#This Row],[Trim III]],Registro[[#This Row],[Trim IV]])</f>
        <v>0</v>
      </c>
      <c r="Y1490" s="22">
        <f>IFERROR((Registro[[#This Row],[Avance Total]]/Registro[[#This Row],[Meta]]),0)</f>
        <v>0</v>
      </c>
      <c r="Z1490" s="22">
        <f>IFERROR((Registro[[#This Row],[Avance Total]]-Registro[[#This Row],[Línea Base 2025]])/Registro[[#This Row],[Línea Base 2025]],0)</f>
        <v>-1</v>
      </c>
      <c r="AA1490" s="20"/>
    </row>
    <row r="1491" spans="1:27" hidden="1">
      <c r="A1491" s="14">
        <v>1115</v>
      </c>
      <c r="B1491" s="15" t="s">
        <v>132</v>
      </c>
      <c r="C1491" s="16">
        <v>118</v>
      </c>
      <c r="D1491" s="16" t="s">
        <v>188</v>
      </c>
      <c r="E1491" s="17" t="s">
        <v>9</v>
      </c>
      <c r="F1491" s="24">
        <v>0</v>
      </c>
      <c r="G1491" s="19">
        <v>1</v>
      </c>
      <c r="H1491" s="19">
        <v>0</v>
      </c>
      <c r="I1491" s="19">
        <v>0</v>
      </c>
      <c r="T1491" s="20">
        <f>Registro[[#This Row],[Mes 1]]+Registro[[#This Row],[Mes 2]]+Registro[[#This Row],[Mes 3]]</f>
        <v>0</v>
      </c>
      <c r="U1491" s="20">
        <f>Registro[[#This Row],[Mes 4]]+Registro[[#This Row],[Mes 5]]+Registro[[#This Row],[Mes 6]]</f>
        <v>0</v>
      </c>
      <c r="V1491" s="20">
        <f>Registro[[#This Row],[Mes 7]]+Registro[[#This Row],[Mes 8]]+Registro[[#This Row],[Mes 9]]</f>
        <v>0</v>
      </c>
      <c r="W1491" s="20">
        <f>Registro[[#This Row],[Mes 10]]+Registro[[#This Row],[Mes 11]]+Registro[[#This Row],[Mes 12]]</f>
        <v>0</v>
      </c>
      <c r="X1491" s="20">
        <f>SUM(Registro[[#This Row],[Trim I]],Registro[[#This Row],[Trim II]],Registro[[#This Row],[Trim III]],Registro[[#This Row],[Trim IV]])</f>
        <v>0</v>
      </c>
      <c r="Y1491" s="22">
        <f>IFERROR((Registro[[#This Row],[Avance Total]]/Registro[[#This Row],[Meta]]),0)</f>
        <v>0</v>
      </c>
      <c r="Z1491" s="22">
        <f>IFERROR((Registro[[#This Row],[Avance Total]]-Registro[[#This Row],[Línea Base 2025]])/Registro[[#This Row],[Línea Base 2025]],0)</f>
        <v>0</v>
      </c>
      <c r="AA1491" s="20"/>
    </row>
    <row r="1492" spans="1:27" hidden="1">
      <c r="A1492" s="14">
        <v>1115</v>
      </c>
      <c r="B1492" s="15" t="s">
        <v>132</v>
      </c>
      <c r="C1492" s="16">
        <v>119</v>
      </c>
      <c r="D1492" s="16" t="s">
        <v>190</v>
      </c>
      <c r="E1492" s="17" t="s">
        <v>189</v>
      </c>
      <c r="F1492" s="24">
        <v>0</v>
      </c>
      <c r="G1492" s="19">
        <v>1</v>
      </c>
      <c r="H1492" s="19">
        <v>0</v>
      </c>
      <c r="I1492" s="19">
        <v>0</v>
      </c>
      <c r="T1492" s="20">
        <f>Registro[[#This Row],[Mes 1]]+Registro[[#This Row],[Mes 2]]+Registro[[#This Row],[Mes 3]]</f>
        <v>0</v>
      </c>
      <c r="U1492" s="20">
        <f>Registro[[#This Row],[Mes 4]]+Registro[[#This Row],[Mes 5]]+Registro[[#This Row],[Mes 6]]</f>
        <v>0</v>
      </c>
      <c r="V1492" s="20">
        <f>Registro[[#This Row],[Mes 7]]+Registro[[#This Row],[Mes 8]]+Registro[[#This Row],[Mes 9]]</f>
        <v>0</v>
      </c>
      <c r="W1492" s="20">
        <f>Registro[[#This Row],[Mes 10]]+Registro[[#This Row],[Mes 11]]+Registro[[#This Row],[Mes 12]]</f>
        <v>0</v>
      </c>
      <c r="X1492" s="20">
        <f>SUM(Registro[[#This Row],[Trim I]],Registro[[#This Row],[Trim II]],Registro[[#This Row],[Trim III]],Registro[[#This Row],[Trim IV]])</f>
        <v>0</v>
      </c>
      <c r="Y1492" s="22">
        <f>IFERROR((Registro[[#This Row],[Avance Total]]/Registro[[#This Row],[Meta]]),0)</f>
        <v>0</v>
      </c>
      <c r="Z1492" s="22">
        <f>IFERROR((Registro[[#This Row],[Avance Total]]-Registro[[#This Row],[Línea Base 2025]])/Registro[[#This Row],[Línea Base 2025]],0)</f>
        <v>0</v>
      </c>
      <c r="AA1492" s="20"/>
    </row>
    <row r="1493" spans="1:27" hidden="1">
      <c r="A1493" s="14">
        <v>1115</v>
      </c>
      <c r="B1493" s="15" t="s">
        <v>132</v>
      </c>
      <c r="C1493" s="16">
        <v>120</v>
      </c>
      <c r="D1493" s="16" t="s">
        <v>192</v>
      </c>
      <c r="E1493" s="17" t="s">
        <v>191</v>
      </c>
      <c r="F1493" s="24">
        <v>7</v>
      </c>
      <c r="G1493" s="19">
        <v>20</v>
      </c>
      <c r="H1493" s="19">
        <v>0</v>
      </c>
      <c r="I1493" s="19">
        <v>4</v>
      </c>
      <c r="T1493" s="20">
        <f>Registro[[#This Row],[Mes 1]]+Registro[[#This Row],[Mes 2]]+Registro[[#This Row],[Mes 3]]</f>
        <v>4</v>
      </c>
      <c r="U1493" s="20">
        <f>Registro[[#This Row],[Mes 4]]+Registro[[#This Row],[Mes 5]]+Registro[[#This Row],[Mes 6]]</f>
        <v>0</v>
      </c>
      <c r="V1493" s="20">
        <f>Registro[[#This Row],[Mes 7]]+Registro[[#This Row],[Mes 8]]+Registro[[#This Row],[Mes 9]]</f>
        <v>0</v>
      </c>
      <c r="W1493" s="20">
        <f>Registro[[#This Row],[Mes 10]]+Registro[[#This Row],[Mes 11]]+Registro[[#This Row],[Mes 12]]</f>
        <v>0</v>
      </c>
      <c r="X1493" s="20">
        <f>SUM(Registro[[#This Row],[Trim I]],Registro[[#This Row],[Trim II]],Registro[[#This Row],[Trim III]],Registro[[#This Row],[Trim IV]])</f>
        <v>4</v>
      </c>
      <c r="Y1493" s="22">
        <f>IFERROR((Registro[[#This Row],[Avance Total]]/Registro[[#This Row],[Meta]]),0)</f>
        <v>0.2</v>
      </c>
      <c r="Z1493" s="22">
        <f>IFERROR((Registro[[#This Row],[Avance Total]]-Registro[[#This Row],[Línea Base 2025]])/Registro[[#This Row],[Línea Base 2025]],0)</f>
        <v>-0.42857142857142855</v>
      </c>
      <c r="AA1493" s="20"/>
    </row>
    <row r="1494" spans="1:27" hidden="1">
      <c r="A1494" s="14">
        <v>1115</v>
      </c>
      <c r="B1494" s="15" t="s">
        <v>132</v>
      </c>
      <c r="C1494" s="16">
        <v>121</v>
      </c>
      <c r="D1494" s="16" t="s">
        <v>194</v>
      </c>
      <c r="E1494" s="17" t="s">
        <v>193</v>
      </c>
      <c r="F1494" s="24">
        <v>9</v>
      </c>
      <c r="G1494" s="19">
        <v>4</v>
      </c>
      <c r="H1494" s="19">
        <v>0</v>
      </c>
      <c r="I1494" s="19">
        <v>0</v>
      </c>
      <c r="T1494" s="20">
        <f>Registro[[#This Row],[Mes 1]]+Registro[[#This Row],[Mes 2]]+Registro[[#This Row],[Mes 3]]</f>
        <v>0</v>
      </c>
      <c r="U1494" s="20">
        <f>Registro[[#This Row],[Mes 4]]+Registro[[#This Row],[Mes 5]]+Registro[[#This Row],[Mes 6]]</f>
        <v>0</v>
      </c>
      <c r="V1494" s="20">
        <f>Registro[[#This Row],[Mes 7]]+Registro[[#This Row],[Mes 8]]+Registro[[#This Row],[Mes 9]]</f>
        <v>0</v>
      </c>
      <c r="W1494" s="20">
        <f>Registro[[#This Row],[Mes 10]]+Registro[[#This Row],[Mes 11]]+Registro[[#This Row],[Mes 12]]</f>
        <v>0</v>
      </c>
      <c r="X1494" s="20">
        <f>SUM(Registro[[#This Row],[Trim I]],Registro[[#This Row],[Trim II]],Registro[[#This Row],[Trim III]],Registro[[#This Row],[Trim IV]])</f>
        <v>0</v>
      </c>
      <c r="Y1494" s="22">
        <f>IFERROR((Registro[[#This Row],[Avance Total]]/Registro[[#This Row],[Meta]]),0)</f>
        <v>0</v>
      </c>
      <c r="Z1494" s="22">
        <f>IFERROR((Registro[[#This Row],[Avance Total]]-Registro[[#This Row],[Línea Base 2025]])/Registro[[#This Row],[Línea Base 2025]],0)</f>
        <v>-1</v>
      </c>
      <c r="AA1494" s="20"/>
    </row>
    <row r="1495" spans="1:27" hidden="1">
      <c r="A1495" s="14">
        <v>1115</v>
      </c>
      <c r="B1495" s="15" t="s">
        <v>132</v>
      </c>
      <c r="C1495" s="16">
        <v>122</v>
      </c>
      <c r="D1495" s="16" t="s">
        <v>196</v>
      </c>
      <c r="E1495" s="17" t="s">
        <v>195</v>
      </c>
      <c r="F1495" s="24">
        <v>8</v>
      </c>
      <c r="G1495" s="19">
        <v>7</v>
      </c>
      <c r="H1495" s="19">
        <v>0</v>
      </c>
      <c r="I1495" s="19">
        <v>0</v>
      </c>
      <c r="T1495" s="20">
        <f>Registro[[#This Row],[Mes 1]]+Registro[[#This Row],[Mes 2]]+Registro[[#This Row],[Mes 3]]</f>
        <v>0</v>
      </c>
      <c r="U1495" s="20">
        <f>Registro[[#This Row],[Mes 4]]+Registro[[#This Row],[Mes 5]]+Registro[[#This Row],[Mes 6]]</f>
        <v>0</v>
      </c>
      <c r="V1495" s="20">
        <f>Registro[[#This Row],[Mes 7]]+Registro[[#This Row],[Mes 8]]+Registro[[#This Row],[Mes 9]]</f>
        <v>0</v>
      </c>
      <c r="W1495" s="20">
        <f>Registro[[#This Row],[Mes 10]]+Registro[[#This Row],[Mes 11]]+Registro[[#This Row],[Mes 12]]</f>
        <v>0</v>
      </c>
      <c r="X1495" s="20">
        <f>SUM(Registro[[#This Row],[Trim I]],Registro[[#This Row],[Trim II]],Registro[[#This Row],[Trim III]],Registro[[#This Row],[Trim IV]])</f>
        <v>0</v>
      </c>
      <c r="Y1495" s="22">
        <f>IFERROR((Registro[[#This Row],[Avance Total]]/Registro[[#This Row],[Meta]]),0)</f>
        <v>0</v>
      </c>
      <c r="Z1495" s="22">
        <f>IFERROR((Registro[[#This Row],[Avance Total]]-Registro[[#This Row],[Línea Base 2025]])/Registro[[#This Row],[Línea Base 2025]],0)</f>
        <v>-1</v>
      </c>
      <c r="AA1495" s="20"/>
    </row>
    <row r="1496" spans="1:27" hidden="1">
      <c r="A1496" s="14">
        <v>1115</v>
      </c>
      <c r="B1496" s="15" t="s">
        <v>132</v>
      </c>
      <c r="C1496" s="26">
        <v>123</v>
      </c>
      <c r="D1496" s="26" t="s">
        <v>198</v>
      </c>
      <c r="E1496" s="17" t="s">
        <v>197</v>
      </c>
      <c r="F1496" s="32">
        <v>0</v>
      </c>
      <c r="G1496" s="28">
        <v>6</v>
      </c>
      <c r="H1496" s="28">
        <v>0</v>
      </c>
      <c r="I1496" s="28">
        <v>0</v>
      </c>
      <c r="J1496" s="27"/>
      <c r="K1496" s="27"/>
      <c r="L1496" s="27"/>
      <c r="M1496" s="27"/>
      <c r="N1496" s="27"/>
      <c r="O1496" s="27"/>
      <c r="P1496" s="27"/>
      <c r="Q1496" s="27"/>
      <c r="R1496" s="27"/>
      <c r="S1496" s="27"/>
      <c r="T1496" s="29">
        <f>Registro[[#This Row],[Mes 1]]+Registro[[#This Row],[Mes 2]]+Registro[[#This Row],[Mes 3]]</f>
        <v>0</v>
      </c>
      <c r="U1496" s="29">
        <f>Registro[[#This Row],[Mes 4]]+Registro[[#This Row],[Mes 5]]+Registro[[#This Row],[Mes 6]]</f>
        <v>0</v>
      </c>
      <c r="V1496" s="29">
        <f>Registro[[#This Row],[Mes 7]]+Registro[[#This Row],[Mes 8]]+Registro[[#This Row],[Mes 9]]</f>
        <v>0</v>
      </c>
      <c r="W1496" s="29">
        <f>Registro[[#This Row],[Mes 10]]+Registro[[#This Row],[Mes 11]]+Registro[[#This Row],[Mes 12]]</f>
        <v>0</v>
      </c>
      <c r="X1496" s="29">
        <f>SUM(Registro[[#This Row],[Trim I]],Registro[[#This Row],[Trim II]],Registro[[#This Row],[Trim III]],Registro[[#This Row],[Trim IV]])</f>
        <v>0</v>
      </c>
      <c r="Y1496" s="30">
        <f>IFERROR((Registro[[#This Row],[Avance Total]]/Registro[[#This Row],[Meta]]),0)</f>
        <v>0</v>
      </c>
      <c r="Z1496" s="30">
        <f>IFERROR((Registro[[#This Row],[Avance Total]]-Registro[[#This Row],[Línea Base 2025]])/Registro[[#This Row],[Línea Base 2025]],0)</f>
        <v>0</v>
      </c>
      <c r="AA1496" s="29"/>
    </row>
    <row r="1497" spans="1:27" hidden="1">
      <c r="A1497" s="14">
        <v>1116</v>
      </c>
      <c r="B1497" s="15" t="s">
        <v>13</v>
      </c>
      <c r="C1497" s="16">
        <v>111</v>
      </c>
      <c r="D1497" s="16" t="s">
        <v>171</v>
      </c>
      <c r="E1497" s="17" t="s">
        <v>172</v>
      </c>
      <c r="F1497" s="24">
        <v>0</v>
      </c>
      <c r="G1497" s="19">
        <v>108</v>
      </c>
      <c r="H1497" s="19">
        <v>0</v>
      </c>
      <c r="I1497" s="19">
        <v>1</v>
      </c>
      <c r="T1497" s="20">
        <f>Registro[[#This Row],[Mes 1]]+Registro[[#This Row],[Mes 2]]+Registro[[#This Row],[Mes 3]]</f>
        <v>1</v>
      </c>
      <c r="U1497" s="20">
        <f>Registro[[#This Row],[Mes 4]]+Registro[[#This Row],[Mes 5]]+Registro[[#This Row],[Mes 6]]</f>
        <v>0</v>
      </c>
      <c r="V1497" s="20">
        <f>Registro[[#This Row],[Mes 7]]+Registro[[#This Row],[Mes 8]]+Registro[[#This Row],[Mes 9]]</f>
        <v>0</v>
      </c>
      <c r="W1497" s="20">
        <f>Registro[[#This Row],[Mes 10]]+Registro[[#This Row],[Mes 11]]+Registro[[#This Row],[Mes 12]]</f>
        <v>0</v>
      </c>
      <c r="X1497" s="20">
        <f>SUM(Registro[[#This Row],[Trim I]],Registro[[#This Row],[Trim II]],Registro[[#This Row],[Trim III]],Registro[[#This Row],[Trim IV]])</f>
        <v>1</v>
      </c>
      <c r="Y1497" s="22">
        <f>IFERROR((Registro[[#This Row],[Avance Total]]/Registro[[#This Row],[Meta]]),0)</f>
        <v>9.2592592592592587E-3</v>
      </c>
      <c r="Z1497" s="22">
        <f>IFERROR((Registro[[#This Row],[Avance Total]]-Registro[[#This Row],[Línea Base 2025]])/Registro[[#This Row],[Línea Base 2025]],0)</f>
        <v>0</v>
      </c>
      <c r="AA1497" s="20"/>
    </row>
    <row r="1498" spans="1:27" hidden="1">
      <c r="A1498" s="14">
        <v>1116</v>
      </c>
      <c r="B1498" s="15" t="s">
        <v>13</v>
      </c>
      <c r="C1498" s="16">
        <v>112</v>
      </c>
      <c r="D1498" s="16" t="s">
        <v>173</v>
      </c>
      <c r="E1498" s="17" t="s">
        <v>7</v>
      </c>
      <c r="F1498" s="24">
        <v>0</v>
      </c>
      <c r="G1498" s="19">
        <v>0</v>
      </c>
      <c r="H1498" s="19">
        <v>0</v>
      </c>
      <c r="I1498" s="19">
        <v>0</v>
      </c>
      <c r="T1498" s="20">
        <f>Registro[[#This Row],[Mes 1]]+Registro[[#This Row],[Mes 2]]+Registro[[#This Row],[Mes 3]]</f>
        <v>0</v>
      </c>
      <c r="U1498" s="20">
        <f>Registro[[#This Row],[Mes 4]]+Registro[[#This Row],[Mes 5]]+Registro[[#This Row],[Mes 6]]</f>
        <v>0</v>
      </c>
      <c r="V1498" s="20">
        <f>Registro[[#This Row],[Mes 7]]+Registro[[#This Row],[Mes 8]]+Registro[[#This Row],[Mes 9]]</f>
        <v>0</v>
      </c>
      <c r="W1498" s="20">
        <f>Registro[[#This Row],[Mes 10]]+Registro[[#This Row],[Mes 11]]+Registro[[#This Row],[Mes 12]]</f>
        <v>0</v>
      </c>
      <c r="X1498" s="20">
        <f>SUM(Registro[[#This Row],[Trim I]],Registro[[#This Row],[Trim II]],Registro[[#This Row],[Trim III]],Registro[[#This Row],[Trim IV]])</f>
        <v>0</v>
      </c>
      <c r="Y1498" s="22">
        <f>IFERROR((Registro[[#This Row],[Avance Total]]/Registro[[#This Row],[Meta]]),0)</f>
        <v>0</v>
      </c>
      <c r="Z1498" s="22">
        <f>IFERROR((Registro[[#This Row],[Avance Total]]-Registro[[#This Row],[Línea Base 2025]])/Registro[[#This Row],[Línea Base 2025]],0)</f>
        <v>0</v>
      </c>
      <c r="AA1498" s="20"/>
    </row>
    <row r="1499" spans="1:27" hidden="1">
      <c r="A1499" s="14">
        <v>1116</v>
      </c>
      <c r="B1499" s="15" t="s">
        <v>13</v>
      </c>
      <c r="C1499" s="16">
        <v>113</v>
      </c>
      <c r="D1499" s="16" t="s">
        <v>179</v>
      </c>
      <c r="E1499" s="17" t="s">
        <v>178</v>
      </c>
      <c r="F1499" s="24">
        <v>11</v>
      </c>
      <c r="G1499" s="19">
        <v>50</v>
      </c>
      <c r="H1499" s="19">
        <v>0</v>
      </c>
      <c r="I1499" s="19">
        <v>0</v>
      </c>
      <c r="T1499" s="20">
        <f>Registro[[#This Row],[Mes 1]]+Registro[[#This Row],[Mes 2]]+Registro[[#This Row],[Mes 3]]</f>
        <v>0</v>
      </c>
      <c r="U1499" s="20">
        <f>Registro[[#This Row],[Mes 4]]+Registro[[#This Row],[Mes 5]]+Registro[[#This Row],[Mes 6]]</f>
        <v>0</v>
      </c>
      <c r="V1499" s="20">
        <f>Registro[[#This Row],[Mes 7]]+Registro[[#This Row],[Mes 8]]+Registro[[#This Row],[Mes 9]]</f>
        <v>0</v>
      </c>
      <c r="W1499" s="20">
        <f>Registro[[#This Row],[Mes 10]]+Registro[[#This Row],[Mes 11]]+Registro[[#This Row],[Mes 12]]</f>
        <v>0</v>
      </c>
      <c r="X1499" s="20">
        <f>SUM(Registro[[#This Row],[Trim I]],Registro[[#This Row],[Trim II]],Registro[[#This Row],[Trim III]],Registro[[#This Row],[Trim IV]])</f>
        <v>0</v>
      </c>
      <c r="Y1499" s="22">
        <f>IFERROR((Registro[[#This Row],[Avance Total]]/Registro[[#This Row],[Meta]]),0)</f>
        <v>0</v>
      </c>
      <c r="Z1499" s="22">
        <f>IFERROR((Registro[[#This Row],[Avance Total]]-Registro[[#This Row],[Línea Base 2025]])/Registro[[#This Row],[Línea Base 2025]],0)</f>
        <v>-1</v>
      </c>
      <c r="AA1499" s="20"/>
    </row>
    <row r="1500" spans="1:27" hidden="1">
      <c r="A1500" s="14">
        <v>1116</v>
      </c>
      <c r="B1500" s="15" t="s">
        <v>13</v>
      </c>
      <c r="C1500" s="16">
        <v>114</v>
      </c>
      <c r="D1500" s="16" t="s">
        <v>181</v>
      </c>
      <c r="E1500" s="17" t="s">
        <v>180</v>
      </c>
      <c r="F1500" s="24">
        <v>0</v>
      </c>
      <c r="G1500" s="19">
        <v>0</v>
      </c>
      <c r="H1500" s="19">
        <v>1</v>
      </c>
      <c r="I1500" s="19">
        <v>0</v>
      </c>
      <c r="T1500" s="20">
        <f>Registro[[#This Row],[Mes 1]]+Registro[[#This Row],[Mes 2]]+Registro[[#This Row],[Mes 3]]</f>
        <v>1</v>
      </c>
      <c r="U1500" s="20">
        <f>Registro[[#This Row],[Mes 4]]+Registro[[#This Row],[Mes 5]]+Registro[[#This Row],[Mes 6]]</f>
        <v>0</v>
      </c>
      <c r="V1500" s="20">
        <f>Registro[[#This Row],[Mes 7]]+Registro[[#This Row],[Mes 8]]+Registro[[#This Row],[Mes 9]]</f>
        <v>0</v>
      </c>
      <c r="W1500" s="20">
        <f>Registro[[#This Row],[Mes 10]]+Registro[[#This Row],[Mes 11]]+Registro[[#This Row],[Mes 12]]</f>
        <v>0</v>
      </c>
      <c r="X1500" s="20">
        <f>SUM(Registro[[#This Row],[Trim I]],Registro[[#This Row],[Trim II]],Registro[[#This Row],[Trim III]],Registro[[#This Row],[Trim IV]])</f>
        <v>1</v>
      </c>
      <c r="Y1500" s="22">
        <f>IFERROR((Registro[[#This Row],[Avance Total]]/Registro[[#This Row],[Meta]]),0)</f>
        <v>0</v>
      </c>
      <c r="Z1500" s="22">
        <f>IFERROR((Registro[[#This Row],[Avance Total]]-Registro[[#This Row],[Línea Base 2025]])/Registro[[#This Row],[Línea Base 2025]],0)</f>
        <v>0</v>
      </c>
      <c r="AA1500" s="20"/>
    </row>
    <row r="1501" spans="1:27" hidden="1">
      <c r="A1501" s="14">
        <v>1116</v>
      </c>
      <c r="B1501" s="15" t="s">
        <v>13</v>
      </c>
      <c r="C1501" s="16">
        <v>115</v>
      </c>
      <c r="D1501" s="16" t="s">
        <v>183</v>
      </c>
      <c r="E1501" s="17" t="s">
        <v>182</v>
      </c>
      <c r="F1501" s="24">
        <v>0</v>
      </c>
      <c r="G1501" s="19">
        <v>0</v>
      </c>
      <c r="H1501" s="19">
        <v>0</v>
      </c>
      <c r="I1501" s="19">
        <v>0</v>
      </c>
      <c r="T1501" s="20">
        <f>Registro[[#This Row],[Mes 1]]+Registro[[#This Row],[Mes 2]]+Registro[[#This Row],[Mes 3]]</f>
        <v>0</v>
      </c>
      <c r="U1501" s="20">
        <f>Registro[[#This Row],[Mes 4]]+Registro[[#This Row],[Mes 5]]+Registro[[#This Row],[Mes 6]]</f>
        <v>0</v>
      </c>
      <c r="V1501" s="20">
        <f>Registro[[#This Row],[Mes 7]]+Registro[[#This Row],[Mes 8]]+Registro[[#This Row],[Mes 9]]</f>
        <v>0</v>
      </c>
      <c r="W1501" s="20">
        <f>Registro[[#This Row],[Mes 10]]+Registro[[#This Row],[Mes 11]]+Registro[[#This Row],[Mes 12]]</f>
        <v>0</v>
      </c>
      <c r="X1501" s="20">
        <f>SUM(Registro[[#This Row],[Trim I]],Registro[[#This Row],[Trim II]],Registro[[#This Row],[Trim III]],Registro[[#This Row],[Trim IV]])</f>
        <v>0</v>
      </c>
      <c r="Y1501" s="22">
        <f>IFERROR((Registro[[#This Row],[Avance Total]]/Registro[[#This Row],[Meta]]),0)</f>
        <v>0</v>
      </c>
      <c r="Z1501" s="22">
        <f>IFERROR((Registro[[#This Row],[Avance Total]]-Registro[[#This Row],[Línea Base 2025]])/Registro[[#This Row],[Línea Base 2025]],0)</f>
        <v>0</v>
      </c>
      <c r="AA1501" s="20"/>
    </row>
    <row r="1502" spans="1:27">
      <c r="A1502" s="14">
        <v>1116</v>
      </c>
      <c r="B1502" s="15" t="s">
        <v>13</v>
      </c>
      <c r="C1502" s="16">
        <v>116</v>
      </c>
      <c r="D1502" s="16" t="s">
        <v>185</v>
      </c>
      <c r="E1502" s="17" t="s">
        <v>184</v>
      </c>
      <c r="F1502" s="24">
        <v>0</v>
      </c>
      <c r="G1502" s="19">
        <v>0</v>
      </c>
      <c r="H1502" s="19">
        <v>0</v>
      </c>
      <c r="I1502" s="19">
        <v>0</v>
      </c>
      <c r="T1502" s="20">
        <f>Registro[[#This Row],[Mes 1]]+Registro[[#This Row],[Mes 2]]+Registro[[#This Row],[Mes 3]]</f>
        <v>0</v>
      </c>
      <c r="U1502" s="20">
        <f>Registro[[#This Row],[Mes 4]]+Registro[[#This Row],[Mes 5]]+Registro[[#This Row],[Mes 6]]</f>
        <v>0</v>
      </c>
      <c r="V1502" s="20">
        <f>Registro[[#This Row],[Mes 7]]+Registro[[#This Row],[Mes 8]]+Registro[[#This Row],[Mes 9]]</f>
        <v>0</v>
      </c>
      <c r="W1502" s="20">
        <f>Registro[[#This Row],[Mes 10]]+Registro[[#This Row],[Mes 11]]+Registro[[#This Row],[Mes 12]]</f>
        <v>0</v>
      </c>
      <c r="X1502" s="20">
        <f>SUM(Registro[[#This Row],[Trim I]],Registro[[#This Row],[Trim II]],Registro[[#This Row],[Trim III]],Registro[[#This Row],[Trim IV]])</f>
        <v>0</v>
      </c>
      <c r="Y1502" s="22">
        <f>IFERROR((Registro[[#This Row],[Avance Total]]/Registro[[#This Row],[Meta]]),0)</f>
        <v>0</v>
      </c>
      <c r="Z1502" s="22">
        <f>IFERROR((Registro[[#This Row],[Avance Total]]-Registro[[#This Row],[Línea Base 2025]])/Registro[[#This Row],[Línea Base 2025]],0)</f>
        <v>0</v>
      </c>
      <c r="AA1502" s="20"/>
    </row>
    <row r="1503" spans="1:27" hidden="1">
      <c r="A1503" s="14">
        <v>1116</v>
      </c>
      <c r="B1503" s="15" t="s">
        <v>13</v>
      </c>
      <c r="C1503" s="16">
        <v>117</v>
      </c>
      <c r="D1503" s="16" t="s">
        <v>187</v>
      </c>
      <c r="E1503" s="17" t="s">
        <v>186</v>
      </c>
      <c r="F1503" s="24">
        <v>0</v>
      </c>
      <c r="G1503" s="19">
        <v>0</v>
      </c>
      <c r="H1503" s="19">
        <v>0</v>
      </c>
      <c r="I1503" s="19">
        <v>0</v>
      </c>
      <c r="T1503" s="20">
        <f>Registro[[#This Row],[Mes 1]]+Registro[[#This Row],[Mes 2]]+Registro[[#This Row],[Mes 3]]</f>
        <v>0</v>
      </c>
      <c r="U1503" s="20">
        <f>Registro[[#This Row],[Mes 4]]+Registro[[#This Row],[Mes 5]]+Registro[[#This Row],[Mes 6]]</f>
        <v>0</v>
      </c>
      <c r="V1503" s="20">
        <f>Registro[[#This Row],[Mes 7]]+Registro[[#This Row],[Mes 8]]+Registro[[#This Row],[Mes 9]]</f>
        <v>0</v>
      </c>
      <c r="W1503" s="20">
        <f>Registro[[#This Row],[Mes 10]]+Registro[[#This Row],[Mes 11]]+Registro[[#This Row],[Mes 12]]</f>
        <v>0</v>
      </c>
      <c r="X1503" s="20">
        <f>SUM(Registro[[#This Row],[Trim I]],Registro[[#This Row],[Trim II]],Registro[[#This Row],[Trim III]],Registro[[#This Row],[Trim IV]])</f>
        <v>0</v>
      </c>
      <c r="Y1503" s="22">
        <f>IFERROR((Registro[[#This Row],[Avance Total]]/Registro[[#This Row],[Meta]]),0)</f>
        <v>0</v>
      </c>
      <c r="Z1503" s="22">
        <f>IFERROR((Registro[[#This Row],[Avance Total]]-Registro[[#This Row],[Línea Base 2025]])/Registro[[#This Row],[Línea Base 2025]],0)</f>
        <v>0</v>
      </c>
      <c r="AA1503" s="20"/>
    </row>
    <row r="1504" spans="1:27" hidden="1">
      <c r="A1504" s="14">
        <v>1116</v>
      </c>
      <c r="B1504" s="15" t="s">
        <v>13</v>
      </c>
      <c r="C1504" s="16">
        <v>118</v>
      </c>
      <c r="D1504" s="16" t="s">
        <v>188</v>
      </c>
      <c r="E1504" s="17" t="s">
        <v>9</v>
      </c>
      <c r="F1504" s="24">
        <v>0</v>
      </c>
      <c r="G1504" s="19">
        <v>0</v>
      </c>
      <c r="H1504" s="19">
        <v>0</v>
      </c>
      <c r="I1504" s="19">
        <v>0</v>
      </c>
      <c r="T1504" s="20">
        <f>Registro[[#This Row],[Mes 1]]+Registro[[#This Row],[Mes 2]]+Registro[[#This Row],[Mes 3]]</f>
        <v>0</v>
      </c>
      <c r="U1504" s="20">
        <f>Registro[[#This Row],[Mes 4]]+Registro[[#This Row],[Mes 5]]+Registro[[#This Row],[Mes 6]]</f>
        <v>0</v>
      </c>
      <c r="V1504" s="20">
        <f>Registro[[#This Row],[Mes 7]]+Registro[[#This Row],[Mes 8]]+Registro[[#This Row],[Mes 9]]</f>
        <v>0</v>
      </c>
      <c r="W1504" s="20">
        <f>Registro[[#This Row],[Mes 10]]+Registro[[#This Row],[Mes 11]]+Registro[[#This Row],[Mes 12]]</f>
        <v>0</v>
      </c>
      <c r="X1504" s="20">
        <f>SUM(Registro[[#This Row],[Trim I]],Registro[[#This Row],[Trim II]],Registro[[#This Row],[Trim III]],Registro[[#This Row],[Trim IV]])</f>
        <v>0</v>
      </c>
      <c r="Y1504" s="22">
        <f>IFERROR((Registro[[#This Row],[Avance Total]]/Registro[[#This Row],[Meta]]),0)</f>
        <v>0</v>
      </c>
      <c r="Z1504" s="22">
        <f>IFERROR((Registro[[#This Row],[Avance Total]]-Registro[[#This Row],[Línea Base 2025]])/Registro[[#This Row],[Línea Base 2025]],0)</f>
        <v>0</v>
      </c>
      <c r="AA1504" s="20"/>
    </row>
    <row r="1505" spans="1:27" hidden="1">
      <c r="A1505" s="14">
        <v>1116</v>
      </c>
      <c r="B1505" s="15" t="s">
        <v>13</v>
      </c>
      <c r="C1505" s="16">
        <v>119</v>
      </c>
      <c r="D1505" s="16" t="s">
        <v>190</v>
      </c>
      <c r="E1505" s="17" t="s">
        <v>189</v>
      </c>
      <c r="F1505" s="24">
        <v>0</v>
      </c>
      <c r="G1505" s="19">
        <v>0</v>
      </c>
      <c r="H1505" s="19">
        <v>0</v>
      </c>
      <c r="I1505" s="19">
        <v>0</v>
      </c>
      <c r="T1505" s="20">
        <f>Registro[[#This Row],[Mes 1]]+Registro[[#This Row],[Mes 2]]+Registro[[#This Row],[Mes 3]]</f>
        <v>0</v>
      </c>
      <c r="U1505" s="20">
        <f>Registro[[#This Row],[Mes 4]]+Registro[[#This Row],[Mes 5]]+Registro[[#This Row],[Mes 6]]</f>
        <v>0</v>
      </c>
      <c r="V1505" s="20">
        <f>Registro[[#This Row],[Mes 7]]+Registro[[#This Row],[Mes 8]]+Registro[[#This Row],[Mes 9]]</f>
        <v>0</v>
      </c>
      <c r="W1505" s="20">
        <f>Registro[[#This Row],[Mes 10]]+Registro[[#This Row],[Mes 11]]+Registro[[#This Row],[Mes 12]]</f>
        <v>0</v>
      </c>
      <c r="X1505" s="20">
        <f>SUM(Registro[[#This Row],[Trim I]],Registro[[#This Row],[Trim II]],Registro[[#This Row],[Trim III]],Registro[[#This Row],[Trim IV]])</f>
        <v>0</v>
      </c>
      <c r="Y1505" s="22">
        <f>IFERROR((Registro[[#This Row],[Avance Total]]/Registro[[#This Row],[Meta]]),0)</f>
        <v>0</v>
      </c>
      <c r="Z1505" s="22">
        <f>IFERROR((Registro[[#This Row],[Avance Total]]-Registro[[#This Row],[Línea Base 2025]])/Registro[[#This Row],[Línea Base 2025]],0)</f>
        <v>0</v>
      </c>
      <c r="AA1505" s="20"/>
    </row>
    <row r="1506" spans="1:27" hidden="1">
      <c r="A1506" s="14">
        <v>1116</v>
      </c>
      <c r="B1506" s="15" t="s">
        <v>13</v>
      </c>
      <c r="C1506" s="16">
        <v>120</v>
      </c>
      <c r="D1506" s="16" t="s">
        <v>192</v>
      </c>
      <c r="E1506" s="17" t="s">
        <v>191</v>
      </c>
      <c r="F1506" s="24">
        <v>0</v>
      </c>
      <c r="G1506" s="19">
        <v>0</v>
      </c>
      <c r="H1506" s="19">
        <v>0</v>
      </c>
      <c r="I1506" s="19">
        <v>0</v>
      </c>
      <c r="T1506" s="20">
        <f>Registro[[#This Row],[Mes 1]]+Registro[[#This Row],[Mes 2]]+Registro[[#This Row],[Mes 3]]</f>
        <v>0</v>
      </c>
      <c r="U1506" s="20">
        <f>Registro[[#This Row],[Mes 4]]+Registro[[#This Row],[Mes 5]]+Registro[[#This Row],[Mes 6]]</f>
        <v>0</v>
      </c>
      <c r="V1506" s="20">
        <f>Registro[[#This Row],[Mes 7]]+Registro[[#This Row],[Mes 8]]+Registro[[#This Row],[Mes 9]]</f>
        <v>0</v>
      </c>
      <c r="W1506" s="20">
        <f>Registro[[#This Row],[Mes 10]]+Registro[[#This Row],[Mes 11]]+Registro[[#This Row],[Mes 12]]</f>
        <v>0</v>
      </c>
      <c r="X1506" s="20">
        <f>SUM(Registro[[#This Row],[Trim I]],Registro[[#This Row],[Trim II]],Registro[[#This Row],[Trim III]],Registro[[#This Row],[Trim IV]])</f>
        <v>0</v>
      </c>
      <c r="Y1506" s="22">
        <f>IFERROR((Registro[[#This Row],[Avance Total]]/Registro[[#This Row],[Meta]]),0)</f>
        <v>0</v>
      </c>
      <c r="Z1506" s="22">
        <f>IFERROR((Registro[[#This Row],[Avance Total]]-Registro[[#This Row],[Línea Base 2025]])/Registro[[#This Row],[Línea Base 2025]],0)</f>
        <v>0</v>
      </c>
      <c r="AA1506" s="20"/>
    </row>
    <row r="1507" spans="1:27" hidden="1">
      <c r="A1507" s="14">
        <v>1116</v>
      </c>
      <c r="B1507" s="15" t="s">
        <v>13</v>
      </c>
      <c r="C1507" s="16">
        <v>121</v>
      </c>
      <c r="D1507" s="16" t="s">
        <v>194</v>
      </c>
      <c r="E1507" s="17" t="s">
        <v>193</v>
      </c>
      <c r="F1507" s="24">
        <v>0</v>
      </c>
      <c r="G1507" s="19">
        <v>0</v>
      </c>
      <c r="H1507" s="19">
        <v>0</v>
      </c>
      <c r="I1507" s="19">
        <v>0</v>
      </c>
      <c r="T1507" s="20">
        <f>Registro[[#This Row],[Mes 1]]+Registro[[#This Row],[Mes 2]]+Registro[[#This Row],[Mes 3]]</f>
        <v>0</v>
      </c>
      <c r="U1507" s="20">
        <f>Registro[[#This Row],[Mes 4]]+Registro[[#This Row],[Mes 5]]+Registro[[#This Row],[Mes 6]]</f>
        <v>0</v>
      </c>
      <c r="V1507" s="20">
        <f>Registro[[#This Row],[Mes 7]]+Registro[[#This Row],[Mes 8]]+Registro[[#This Row],[Mes 9]]</f>
        <v>0</v>
      </c>
      <c r="W1507" s="20">
        <f>Registro[[#This Row],[Mes 10]]+Registro[[#This Row],[Mes 11]]+Registro[[#This Row],[Mes 12]]</f>
        <v>0</v>
      </c>
      <c r="X1507" s="20">
        <f>SUM(Registro[[#This Row],[Trim I]],Registro[[#This Row],[Trim II]],Registro[[#This Row],[Trim III]],Registro[[#This Row],[Trim IV]])</f>
        <v>0</v>
      </c>
      <c r="Y1507" s="22">
        <f>IFERROR((Registro[[#This Row],[Avance Total]]/Registro[[#This Row],[Meta]]),0)</f>
        <v>0</v>
      </c>
      <c r="Z1507" s="22">
        <f>IFERROR((Registro[[#This Row],[Avance Total]]-Registro[[#This Row],[Línea Base 2025]])/Registro[[#This Row],[Línea Base 2025]],0)</f>
        <v>0</v>
      </c>
      <c r="AA1507" s="20"/>
    </row>
    <row r="1508" spans="1:27" hidden="1">
      <c r="A1508" s="14">
        <v>1116</v>
      </c>
      <c r="B1508" s="15" t="s">
        <v>13</v>
      </c>
      <c r="C1508" s="16">
        <v>122</v>
      </c>
      <c r="D1508" s="16" t="s">
        <v>196</v>
      </c>
      <c r="E1508" s="17" t="s">
        <v>195</v>
      </c>
      <c r="F1508" s="24">
        <v>0</v>
      </c>
      <c r="G1508" s="19">
        <v>0</v>
      </c>
      <c r="H1508" s="19">
        <v>0</v>
      </c>
      <c r="I1508" s="19">
        <v>0</v>
      </c>
      <c r="T1508" s="20">
        <f>Registro[[#This Row],[Mes 1]]+Registro[[#This Row],[Mes 2]]+Registro[[#This Row],[Mes 3]]</f>
        <v>0</v>
      </c>
      <c r="U1508" s="20">
        <f>Registro[[#This Row],[Mes 4]]+Registro[[#This Row],[Mes 5]]+Registro[[#This Row],[Mes 6]]</f>
        <v>0</v>
      </c>
      <c r="V1508" s="20">
        <f>Registro[[#This Row],[Mes 7]]+Registro[[#This Row],[Mes 8]]+Registro[[#This Row],[Mes 9]]</f>
        <v>0</v>
      </c>
      <c r="W1508" s="20">
        <f>Registro[[#This Row],[Mes 10]]+Registro[[#This Row],[Mes 11]]+Registro[[#This Row],[Mes 12]]</f>
        <v>0</v>
      </c>
      <c r="X1508" s="20">
        <f>SUM(Registro[[#This Row],[Trim I]],Registro[[#This Row],[Trim II]],Registro[[#This Row],[Trim III]],Registro[[#This Row],[Trim IV]])</f>
        <v>0</v>
      </c>
      <c r="Y1508" s="22">
        <f>IFERROR((Registro[[#This Row],[Avance Total]]/Registro[[#This Row],[Meta]]),0)</f>
        <v>0</v>
      </c>
      <c r="Z1508" s="22">
        <f>IFERROR((Registro[[#This Row],[Avance Total]]-Registro[[#This Row],[Línea Base 2025]])/Registro[[#This Row],[Línea Base 2025]],0)</f>
        <v>0</v>
      </c>
      <c r="AA1508" s="20"/>
    </row>
    <row r="1509" spans="1:27" hidden="1">
      <c r="A1509" s="14">
        <v>1116</v>
      </c>
      <c r="B1509" s="15" t="s">
        <v>13</v>
      </c>
      <c r="C1509" s="26">
        <v>123</v>
      </c>
      <c r="D1509" s="26" t="s">
        <v>198</v>
      </c>
      <c r="E1509" s="17" t="s">
        <v>197</v>
      </c>
      <c r="F1509" s="32">
        <v>0</v>
      </c>
      <c r="G1509" s="28">
        <v>0</v>
      </c>
      <c r="H1509" s="28">
        <v>0</v>
      </c>
      <c r="I1509" s="28">
        <v>0</v>
      </c>
      <c r="J1509" s="27"/>
      <c r="K1509" s="27"/>
      <c r="L1509" s="27"/>
      <c r="M1509" s="27"/>
      <c r="N1509" s="27"/>
      <c r="O1509" s="27"/>
      <c r="P1509" s="27"/>
      <c r="Q1509" s="27"/>
      <c r="R1509" s="27"/>
      <c r="S1509" s="27"/>
      <c r="T1509" s="29">
        <f>Registro[[#This Row],[Mes 1]]+Registro[[#This Row],[Mes 2]]+Registro[[#This Row],[Mes 3]]</f>
        <v>0</v>
      </c>
      <c r="U1509" s="29">
        <f>Registro[[#This Row],[Mes 4]]+Registro[[#This Row],[Mes 5]]+Registro[[#This Row],[Mes 6]]</f>
        <v>0</v>
      </c>
      <c r="V1509" s="29">
        <f>Registro[[#This Row],[Mes 7]]+Registro[[#This Row],[Mes 8]]+Registro[[#This Row],[Mes 9]]</f>
        <v>0</v>
      </c>
      <c r="W1509" s="29">
        <f>Registro[[#This Row],[Mes 10]]+Registro[[#This Row],[Mes 11]]+Registro[[#This Row],[Mes 12]]</f>
        <v>0</v>
      </c>
      <c r="X1509" s="29">
        <f>SUM(Registro[[#This Row],[Trim I]],Registro[[#This Row],[Trim II]],Registro[[#This Row],[Trim III]],Registro[[#This Row],[Trim IV]])</f>
        <v>0</v>
      </c>
      <c r="Y1509" s="30">
        <f>IFERROR((Registro[[#This Row],[Avance Total]]/Registro[[#This Row],[Meta]]),0)</f>
        <v>0</v>
      </c>
      <c r="Z1509" s="30">
        <f>IFERROR((Registro[[#This Row],[Avance Total]]-Registro[[#This Row],[Línea Base 2025]])/Registro[[#This Row],[Línea Base 2025]],0)</f>
        <v>0</v>
      </c>
      <c r="AA1509" s="29"/>
    </row>
    <row r="1510" spans="1:27" hidden="1">
      <c r="A1510" s="14">
        <v>1117</v>
      </c>
      <c r="B1510" s="15" t="s">
        <v>133</v>
      </c>
      <c r="C1510" s="16">
        <v>111</v>
      </c>
      <c r="D1510" s="16" t="s">
        <v>171</v>
      </c>
      <c r="E1510" s="17" t="s">
        <v>172</v>
      </c>
      <c r="F1510" s="24">
        <v>72</v>
      </c>
      <c r="G1510" s="19">
        <v>287</v>
      </c>
      <c r="H1510" s="19">
        <v>0</v>
      </c>
      <c r="I1510" s="19">
        <v>8</v>
      </c>
      <c r="T1510" s="20">
        <f>Registro[[#This Row],[Mes 1]]+Registro[[#This Row],[Mes 2]]+Registro[[#This Row],[Mes 3]]</f>
        <v>8</v>
      </c>
      <c r="U1510" s="20">
        <f>Registro[[#This Row],[Mes 4]]+Registro[[#This Row],[Mes 5]]+Registro[[#This Row],[Mes 6]]</f>
        <v>0</v>
      </c>
      <c r="V1510" s="20">
        <f>Registro[[#This Row],[Mes 7]]+Registro[[#This Row],[Mes 8]]+Registro[[#This Row],[Mes 9]]</f>
        <v>0</v>
      </c>
      <c r="W1510" s="20">
        <f>Registro[[#This Row],[Mes 10]]+Registro[[#This Row],[Mes 11]]+Registro[[#This Row],[Mes 12]]</f>
        <v>0</v>
      </c>
      <c r="X1510" s="20">
        <f>SUM(Registro[[#This Row],[Trim I]],Registro[[#This Row],[Trim II]],Registro[[#This Row],[Trim III]],Registro[[#This Row],[Trim IV]])</f>
        <v>8</v>
      </c>
      <c r="Y1510" s="22">
        <f>IFERROR((Registro[[#This Row],[Avance Total]]/Registro[[#This Row],[Meta]]),0)</f>
        <v>2.7874564459930314E-2</v>
      </c>
      <c r="Z1510" s="22">
        <f>IFERROR((Registro[[#This Row],[Avance Total]]-Registro[[#This Row],[Línea Base 2025]])/Registro[[#This Row],[Línea Base 2025]],0)</f>
        <v>-0.88888888888888884</v>
      </c>
      <c r="AA1510" s="20"/>
    </row>
    <row r="1511" spans="1:27" hidden="1">
      <c r="A1511" s="14">
        <v>1117</v>
      </c>
      <c r="B1511" s="15" t="s">
        <v>133</v>
      </c>
      <c r="C1511" s="16">
        <v>112</v>
      </c>
      <c r="D1511" s="16" t="s">
        <v>173</v>
      </c>
      <c r="E1511" s="17" t="s">
        <v>7</v>
      </c>
      <c r="F1511" s="24">
        <v>42</v>
      </c>
      <c r="G1511" s="19">
        <v>128</v>
      </c>
      <c r="H1511" s="19">
        <v>0</v>
      </c>
      <c r="I1511" s="19">
        <v>0</v>
      </c>
      <c r="T1511" s="20">
        <f>Registro[[#This Row],[Mes 1]]+Registro[[#This Row],[Mes 2]]+Registro[[#This Row],[Mes 3]]</f>
        <v>0</v>
      </c>
      <c r="U1511" s="20">
        <f>Registro[[#This Row],[Mes 4]]+Registro[[#This Row],[Mes 5]]+Registro[[#This Row],[Mes 6]]</f>
        <v>0</v>
      </c>
      <c r="V1511" s="20">
        <f>Registro[[#This Row],[Mes 7]]+Registro[[#This Row],[Mes 8]]+Registro[[#This Row],[Mes 9]]</f>
        <v>0</v>
      </c>
      <c r="W1511" s="20">
        <f>Registro[[#This Row],[Mes 10]]+Registro[[#This Row],[Mes 11]]+Registro[[#This Row],[Mes 12]]</f>
        <v>0</v>
      </c>
      <c r="X1511" s="20">
        <f>SUM(Registro[[#This Row],[Trim I]],Registro[[#This Row],[Trim II]],Registro[[#This Row],[Trim III]],Registro[[#This Row],[Trim IV]])</f>
        <v>0</v>
      </c>
      <c r="Y1511" s="22">
        <f>IFERROR((Registro[[#This Row],[Avance Total]]/Registro[[#This Row],[Meta]]),0)</f>
        <v>0</v>
      </c>
      <c r="Z1511" s="22">
        <f>IFERROR((Registro[[#This Row],[Avance Total]]-Registro[[#This Row],[Línea Base 2025]])/Registro[[#This Row],[Línea Base 2025]],0)</f>
        <v>-1</v>
      </c>
      <c r="AA1511" s="20"/>
    </row>
    <row r="1512" spans="1:27" hidden="1">
      <c r="A1512" s="14">
        <v>1117</v>
      </c>
      <c r="B1512" s="15" t="s">
        <v>133</v>
      </c>
      <c r="C1512" s="16">
        <v>113</v>
      </c>
      <c r="D1512" s="16" t="s">
        <v>179</v>
      </c>
      <c r="E1512" s="17" t="s">
        <v>178</v>
      </c>
      <c r="F1512" s="24">
        <v>51</v>
      </c>
      <c r="G1512" s="19">
        <v>415</v>
      </c>
      <c r="H1512" s="19">
        <v>0</v>
      </c>
      <c r="I1512" s="19">
        <v>0</v>
      </c>
      <c r="T1512" s="20">
        <f>Registro[[#This Row],[Mes 1]]+Registro[[#This Row],[Mes 2]]+Registro[[#This Row],[Mes 3]]</f>
        <v>0</v>
      </c>
      <c r="U1512" s="20">
        <f>Registro[[#This Row],[Mes 4]]+Registro[[#This Row],[Mes 5]]+Registro[[#This Row],[Mes 6]]</f>
        <v>0</v>
      </c>
      <c r="V1512" s="20">
        <f>Registro[[#This Row],[Mes 7]]+Registro[[#This Row],[Mes 8]]+Registro[[#This Row],[Mes 9]]</f>
        <v>0</v>
      </c>
      <c r="W1512" s="20">
        <f>Registro[[#This Row],[Mes 10]]+Registro[[#This Row],[Mes 11]]+Registro[[#This Row],[Mes 12]]</f>
        <v>0</v>
      </c>
      <c r="X1512" s="20">
        <f>SUM(Registro[[#This Row],[Trim I]],Registro[[#This Row],[Trim II]],Registro[[#This Row],[Trim III]],Registro[[#This Row],[Trim IV]])</f>
        <v>0</v>
      </c>
      <c r="Y1512" s="22">
        <f>IFERROR((Registro[[#This Row],[Avance Total]]/Registro[[#This Row],[Meta]]),0)</f>
        <v>0</v>
      </c>
      <c r="Z1512" s="22">
        <f>IFERROR((Registro[[#This Row],[Avance Total]]-Registro[[#This Row],[Línea Base 2025]])/Registro[[#This Row],[Línea Base 2025]],0)</f>
        <v>-1</v>
      </c>
      <c r="AA1512" s="20"/>
    </row>
    <row r="1513" spans="1:27" hidden="1">
      <c r="A1513" s="14">
        <v>1117</v>
      </c>
      <c r="B1513" s="15" t="s">
        <v>133</v>
      </c>
      <c r="C1513" s="16">
        <v>114</v>
      </c>
      <c r="D1513" s="16" t="s">
        <v>181</v>
      </c>
      <c r="E1513" s="17" t="s">
        <v>180</v>
      </c>
      <c r="F1513" s="24">
        <v>3</v>
      </c>
      <c r="G1513" s="19">
        <v>20</v>
      </c>
      <c r="H1513" s="19">
        <v>3</v>
      </c>
      <c r="I1513" s="19">
        <v>5</v>
      </c>
      <c r="T1513" s="20">
        <f>Registro[[#This Row],[Mes 1]]+Registro[[#This Row],[Mes 2]]+Registro[[#This Row],[Mes 3]]</f>
        <v>8</v>
      </c>
      <c r="U1513" s="20">
        <f>Registro[[#This Row],[Mes 4]]+Registro[[#This Row],[Mes 5]]+Registro[[#This Row],[Mes 6]]</f>
        <v>0</v>
      </c>
      <c r="V1513" s="20">
        <f>Registro[[#This Row],[Mes 7]]+Registro[[#This Row],[Mes 8]]+Registro[[#This Row],[Mes 9]]</f>
        <v>0</v>
      </c>
      <c r="W1513" s="20">
        <f>Registro[[#This Row],[Mes 10]]+Registro[[#This Row],[Mes 11]]+Registro[[#This Row],[Mes 12]]</f>
        <v>0</v>
      </c>
      <c r="X1513" s="20">
        <f>SUM(Registro[[#This Row],[Trim I]],Registro[[#This Row],[Trim II]],Registro[[#This Row],[Trim III]],Registro[[#This Row],[Trim IV]])</f>
        <v>8</v>
      </c>
      <c r="Y1513" s="22">
        <f>IFERROR((Registro[[#This Row],[Avance Total]]/Registro[[#This Row],[Meta]]),0)</f>
        <v>0.4</v>
      </c>
      <c r="Z1513" s="22">
        <f>IFERROR((Registro[[#This Row],[Avance Total]]-Registro[[#This Row],[Línea Base 2025]])/Registro[[#This Row],[Línea Base 2025]],0)</f>
        <v>1.6666666666666667</v>
      </c>
      <c r="AA1513" s="20"/>
    </row>
    <row r="1514" spans="1:27" hidden="1">
      <c r="A1514" s="14">
        <v>1117</v>
      </c>
      <c r="B1514" s="15" t="s">
        <v>133</v>
      </c>
      <c r="C1514" s="16">
        <v>115</v>
      </c>
      <c r="D1514" s="16" t="s">
        <v>183</v>
      </c>
      <c r="E1514" s="17" t="s">
        <v>182</v>
      </c>
      <c r="F1514" s="24">
        <v>20</v>
      </c>
      <c r="G1514" s="19">
        <v>18</v>
      </c>
      <c r="H1514" s="19">
        <v>0</v>
      </c>
      <c r="I1514" s="19">
        <v>0</v>
      </c>
      <c r="T1514" s="20">
        <f>Registro[[#This Row],[Mes 1]]+Registro[[#This Row],[Mes 2]]+Registro[[#This Row],[Mes 3]]</f>
        <v>0</v>
      </c>
      <c r="U1514" s="20">
        <f>Registro[[#This Row],[Mes 4]]+Registro[[#This Row],[Mes 5]]+Registro[[#This Row],[Mes 6]]</f>
        <v>0</v>
      </c>
      <c r="V1514" s="20">
        <f>Registro[[#This Row],[Mes 7]]+Registro[[#This Row],[Mes 8]]+Registro[[#This Row],[Mes 9]]</f>
        <v>0</v>
      </c>
      <c r="W1514" s="20">
        <f>Registro[[#This Row],[Mes 10]]+Registro[[#This Row],[Mes 11]]+Registro[[#This Row],[Mes 12]]</f>
        <v>0</v>
      </c>
      <c r="X1514" s="20">
        <f>SUM(Registro[[#This Row],[Trim I]],Registro[[#This Row],[Trim II]],Registro[[#This Row],[Trim III]],Registro[[#This Row],[Trim IV]])</f>
        <v>0</v>
      </c>
      <c r="Y1514" s="22">
        <f>IFERROR((Registro[[#This Row],[Avance Total]]/Registro[[#This Row],[Meta]]),0)</f>
        <v>0</v>
      </c>
      <c r="Z1514" s="22">
        <f>IFERROR((Registro[[#This Row],[Avance Total]]-Registro[[#This Row],[Línea Base 2025]])/Registro[[#This Row],[Línea Base 2025]],0)</f>
        <v>-1</v>
      </c>
      <c r="AA1514" s="20"/>
    </row>
    <row r="1515" spans="1:27">
      <c r="A1515" s="14">
        <v>1117</v>
      </c>
      <c r="B1515" s="15" t="s">
        <v>133</v>
      </c>
      <c r="C1515" s="16">
        <v>116</v>
      </c>
      <c r="D1515" s="16" t="s">
        <v>185</v>
      </c>
      <c r="E1515" s="17" t="s">
        <v>184</v>
      </c>
      <c r="F1515" s="24">
        <v>1</v>
      </c>
      <c r="G1515" s="19">
        <v>5</v>
      </c>
      <c r="H1515" s="19">
        <v>0</v>
      </c>
      <c r="I1515" s="19">
        <v>0</v>
      </c>
      <c r="T1515" s="20">
        <f>Registro[[#This Row],[Mes 1]]+Registro[[#This Row],[Mes 2]]+Registro[[#This Row],[Mes 3]]</f>
        <v>0</v>
      </c>
      <c r="U1515" s="20">
        <f>Registro[[#This Row],[Mes 4]]+Registro[[#This Row],[Mes 5]]+Registro[[#This Row],[Mes 6]]</f>
        <v>0</v>
      </c>
      <c r="V1515" s="20">
        <f>Registro[[#This Row],[Mes 7]]+Registro[[#This Row],[Mes 8]]+Registro[[#This Row],[Mes 9]]</f>
        <v>0</v>
      </c>
      <c r="W1515" s="20">
        <f>Registro[[#This Row],[Mes 10]]+Registro[[#This Row],[Mes 11]]+Registro[[#This Row],[Mes 12]]</f>
        <v>0</v>
      </c>
      <c r="X1515" s="20">
        <f>SUM(Registro[[#This Row],[Trim I]],Registro[[#This Row],[Trim II]],Registro[[#This Row],[Trim III]],Registro[[#This Row],[Trim IV]])</f>
        <v>0</v>
      </c>
      <c r="Y1515" s="22">
        <f>IFERROR((Registro[[#This Row],[Avance Total]]/Registro[[#This Row],[Meta]]),0)</f>
        <v>0</v>
      </c>
      <c r="Z1515" s="22">
        <f>IFERROR((Registro[[#This Row],[Avance Total]]-Registro[[#This Row],[Línea Base 2025]])/Registro[[#This Row],[Línea Base 2025]],0)</f>
        <v>-1</v>
      </c>
      <c r="AA1515" s="20"/>
    </row>
    <row r="1516" spans="1:27" hidden="1">
      <c r="A1516" s="14">
        <v>1117</v>
      </c>
      <c r="B1516" s="15" t="s">
        <v>133</v>
      </c>
      <c r="C1516" s="16">
        <v>117</v>
      </c>
      <c r="D1516" s="16" t="s">
        <v>187</v>
      </c>
      <c r="E1516" s="17" t="s">
        <v>186</v>
      </c>
      <c r="F1516" s="24">
        <v>3</v>
      </c>
      <c r="G1516" s="19">
        <v>3</v>
      </c>
      <c r="H1516" s="19">
        <v>0</v>
      </c>
      <c r="I1516" s="19">
        <v>0</v>
      </c>
      <c r="T1516" s="20">
        <f>Registro[[#This Row],[Mes 1]]+Registro[[#This Row],[Mes 2]]+Registro[[#This Row],[Mes 3]]</f>
        <v>0</v>
      </c>
      <c r="U1516" s="20">
        <f>Registro[[#This Row],[Mes 4]]+Registro[[#This Row],[Mes 5]]+Registro[[#This Row],[Mes 6]]</f>
        <v>0</v>
      </c>
      <c r="V1516" s="20">
        <f>Registro[[#This Row],[Mes 7]]+Registro[[#This Row],[Mes 8]]+Registro[[#This Row],[Mes 9]]</f>
        <v>0</v>
      </c>
      <c r="W1516" s="20">
        <f>Registro[[#This Row],[Mes 10]]+Registro[[#This Row],[Mes 11]]+Registro[[#This Row],[Mes 12]]</f>
        <v>0</v>
      </c>
      <c r="X1516" s="20">
        <f>SUM(Registro[[#This Row],[Trim I]],Registro[[#This Row],[Trim II]],Registro[[#This Row],[Trim III]],Registro[[#This Row],[Trim IV]])</f>
        <v>0</v>
      </c>
      <c r="Y1516" s="22">
        <f>IFERROR((Registro[[#This Row],[Avance Total]]/Registro[[#This Row],[Meta]]),0)</f>
        <v>0</v>
      </c>
      <c r="Z1516" s="22">
        <f>IFERROR((Registro[[#This Row],[Avance Total]]-Registro[[#This Row],[Línea Base 2025]])/Registro[[#This Row],[Línea Base 2025]],0)</f>
        <v>-1</v>
      </c>
      <c r="AA1516" s="20"/>
    </row>
    <row r="1517" spans="1:27" hidden="1">
      <c r="A1517" s="14">
        <v>1117</v>
      </c>
      <c r="B1517" s="15" t="s">
        <v>133</v>
      </c>
      <c r="C1517" s="16">
        <v>118</v>
      </c>
      <c r="D1517" s="16" t="s">
        <v>188</v>
      </c>
      <c r="E1517" s="17" t="s">
        <v>9</v>
      </c>
      <c r="F1517" s="24">
        <v>0</v>
      </c>
      <c r="G1517" s="19">
        <v>18</v>
      </c>
      <c r="H1517" s="19">
        <v>0</v>
      </c>
      <c r="I1517" s="19">
        <v>0</v>
      </c>
      <c r="T1517" s="20">
        <f>Registro[[#This Row],[Mes 1]]+Registro[[#This Row],[Mes 2]]+Registro[[#This Row],[Mes 3]]</f>
        <v>0</v>
      </c>
      <c r="U1517" s="20">
        <f>Registro[[#This Row],[Mes 4]]+Registro[[#This Row],[Mes 5]]+Registro[[#This Row],[Mes 6]]</f>
        <v>0</v>
      </c>
      <c r="V1517" s="20">
        <f>Registro[[#This Row],[Mes 7]]+Registro[[#This Row],[Mes 8]]+Registro[[#This Row],[Mes 9]]</f>
        <v>0</v>
      </c>
      <c r="W1517" s="20">
        <f>Registro[[#This Row],[Mes 10]]+Registro[[#This Row],[Mes 11]]+Registro[[#This Row],[Mes 12]]</f>
        <v>0</v>
      </c>
      <c r="X1517" s="20">
        <f>SUM(Registro[[#This Row],[Trim I]],Registro[[#This Row],[Trim II]],Registro[[#This Row],[Trim III]],Registro[[#This Row],[Trim IV]])</f>
        <v>0</v>
      </c>
      <c r="Y1517" s="22">
        <f>IFERROR((Registro[[#This Row],[Avance Total]]/Registro[[#This Row],[Meta]]),0)</f>
        <v>0</v>
      </c>
      <c r="Z1517" s="22">
        <f>IFERROR((Registro[[#This Row],[Avance Total]]-Registro[[#This Row],[Línea Base 2025]])/Registro[[#This Row],[Línea Base 2025]],0)</f>
        <v>0</v>
      </c>
      <c r="AA1517" s="20"/>
    </row>
    <row r="1518" spans="1:27" hidden="1">
      <c r="A1518" s="14">
        <v>1117</v>
      </c>
      <c r="B1518" s="15" t="s">
        <v>133</v>
      </c>
      <c r="C1518" s="16">
        <v>119</v>
      </c>
      <c r="D1518" s="16" t="s">
        <v>190</v>
      </c>
      <c r="E1518" s="17" t="s">
        <v>189</v>
      </c>
      <c r="F1518" s="24">
        <v>0</v>
      </c>
      <c r="G1518" s="19">
        <v>4</v>
      </c>
      <c r="H1518" s="19">
        <v>0</v>
      </c>
      <c r="I1518" s="19">
        <v>0</v>
      </c>
      <c r="T1518" s="20">
        <f>Registro[[#This Row],[Mes 1]]+Registro[[#This Row],[Mes 2]]+Registro[[#This Row],[Mes 3]]</f>
        <v>0</v>
      </c>
      <c r="U1518" s="20">
        <f>Registro[[#This Row],[Mes 4]]+Registro[[#This Row],[Mes 5]]+Registro[[#This Row],[Mes 6]]</f>
        <v>0</v>
      </c>
      <c r="V1518" s="20">
        <f>Registro[[#This Row],[Mes 7]]+Registro[[#This Row],[Mes 8]]+Registro[[#This Row],[Mes 9]]</f>
        <v>0</v>
      </c>
      <c r="W1518" s="20">
        <f>Registro[[#This Row],[Mes 10]]+Registro[[#This Row],[Mes 11]]+Registro[[#This Row],[Mes 12]]</f>
        <v>0</v>
      </c>
      <c r="X1518" s="20">
        <f>SUM(Registro[[#This Row],[Trim I]],Registro[[#This Row],[Trim II]],Registro[[#This Row],[Trim III]],Registro[[#This Row],[Trim IV]])</f>
        <v>0</v>
      </c>
      <c r="Y1518" s="22">
        <f>IFERROR((Registro[[#This Row],[Avance Total]]/Registro[[#This Row],[Meta]]),0)</f>
        <v>0</v>
      </c>
      <c r="Z1518" s="22">
        <f>IFERROR((Registro[[#This Row],[Avance Total]]-Registro[[#This Row],[Línea Base 2025]])/Registro[[#This Row],[Línea Base 2025]],0)</f>
        <v>0</v>
      </c>
      <c r="AA1518" s="20"/>
    </row>
    <row r="1519" spans="1:27" hidden="1">
      <c r="A1519" s="14">
        <v>1117</v>
      </c>
      <c r="B1519" s="15" t="s">
        <v>133</v>
      </c>
      <c r="C1519" s="16">
        <v>120</v>
      </c>
      <c r="D1519" s="16" t="s">
        <v>192</v>
      </c>
      <c r="E1519" s="17" t="s">
        <v>191</v>
      </c>
      <c r="F1519" s="24">
        <v>9</v>
      </c>
      <c r="G1519" s="19">
        <v>22</v>
      </c>
      <c r="H1519" s="19">
        <v>0</v>
      </c>
      <c r="I1519" s="19">
        <v>0</v>
      </c>
      <c r="T1519" s="20">
        <f>Registro[[#This Row],[Mes 1]]+Registro[[#This Row],[Mes 2]]+Registro[[#This Row],[Mes 3]]</f>
        <v>0</v>
      </c>
      <c r="U1519" s="20">
        <f>Registro[[#This Row],[Mes 4]]+Registro[[#This Row],[Mes 5]]+Registro[[#This Row],[Mes 6]]</f>
        <v>0</v>
      </c>
      <c r="V1519" s="20">
        <f>Registro[[#This Row],[Mes 7]]+Registro[[#This Row],[Mes 8]]+Registro[[#This Row],[Mes 9]]</f>
        <v>0</v>
      </c>
      <c r="W1519" s="20">
        <f>Registro[[#This Row],[Mes 10]]+Registro[[#This Row],[Mes 11]]+Registro[[#This Row],[Mes 12]]</f>
        <v>0</v>
      </c>
      <c r="X1519" s="20">
        <f>SUM(Registro[[#This Row],[Trim I]],Registro[[#This Row],[Trim II]],Registro[[#This Row],[Trim III]],Registro[[#This Row],[Trim IV]])</f>
        <v>0</v>
      </c>
      <c r="Y1519" s="22">
        <f>IFERROR((Registro[[#This Row],[Avance Total]]/Registro[[#This Row],[Meta]]),0)</f>
        <v>0</v>
      </c>
      <c r="Z1519" s="22">
        <f>IFERROR((Registro[[#This Row],[Avance Total]]-Registro[[#This Row],[Línea Base 2025]])/Registro[[#This Row],[Línea Base 2025]],0)</f>
        <v>-1</v>
      </c>
      <c r="AA1519" s="20"/>
    </row>
    <row r="1520" spans="1:27" hidden="1">
      <c r="A1520" s="14">
        <v>1117</v>
      </c>
      <c r="B1520" s="15" t="s">
        <v>133</v>
      </c>
      <c r="C1520" s="16">
        <v>121</v>
      </c>
      <c r="D1520" s="16" t="s">
        <v>194</v>
      </c>
      <c r="E1520" s="17" t="s">
        <v>193</v>
      </c>
      <c r="F1520" s="24">
        <v>17</v>
      </c>
      <c r="G1520" s="19">
        <v>12</v>
      </c>
      <c r="H1520" s="19">
        <v>0</v>
      </c>
      <c r="I1520" s="19">
        <v>0</v>
      </c>
      <c r="T1520" s="20">
        <f>Registro[[#This Row],[Mes 1]]+Registro[[#This Row],[Mes 2]]+Registro[[#This Row],[Mes 3]]</f>
        <v>0</v>
      </c>
      <c r="U1520" s="20">
        <f>Registro[[#This Row],[Mes 4]]+Registro[[#This Row],[Mes 5]]+Registro[[#This Row],[Mes 6]]</f>
        <v>0</v>
      </c>
      <c r="V1520" s="20">
        <f>Registro[[#This Row],[Mes 7]]+Registro[[#This Row],[Mes 8]]+Registro[[#This Row],[Mes 9]]</f>
        <v>0</v>
      </c>
      <c r="W1520" s="20">
        <f>Registro[[#This Row],[Mes 10]]+Registro[[#This Row],[Mes 11]]+Registro[[#This Row],[Mes 12]]</f>
        <v>0</v>
      </c>
      <c r="X1520" s="20">
        <f>SUM(Registro[[#This Row],[Trim I]],Registro[[#This Row],[Trim II]],Registro[[#This Row],[Trim III]],Registro[[#This Row],[Trim IV]])</f>
        <v>0</v>
      </c>
      <c r="Y1520" s="22">
        <f>IFERROR((Registro[[#This Row],[Avance Total]]/Registro[[#This Row],[Meta]]),0)</f>
        <v>0</v>
      </c>
      <c r="Z1520" s="22">
        <f>IFERROR((Registro[[#This Row],[Avance Total]]-Registro[[#This Row],[Línea Base 2025]])/Registro[[#This Row],[Línea Base 2025]],0)</f>
        <v>-1</v>
      </c>
      <c r="AA1520" s="20"/>
    </row>
    <row r="1521" spans="1:27" hidden="1">
      <c r="A1521" s="14">
        <v>1117</v>
      </c>
      <c r="B1521" s="15" t="s">
        <v>133</v>
      </c>
      <c r="C1521" s="16">
        <v>122</v>
      </c>
      <c r="D1521" s="16" t="s">
        <v>196</v>
      </c>
      <c r="E1521" s="17" t="s">
        <v>195</v>
      </c>
      <c r="F1521" s="24">
        <v>13</v>
      </c>
      <c r="G1521" s="19">
        <v>21</v>
      </c>
      <c r="H1521" s="19">
        <v>0</v>
      </c>
      <c r="I1521" s="19">
        <v>0</v>
      </c>
      <c r="T1521" s="20">
        <f>Registro[[#This Row],[Mes 1]]+Registro[[#This Row],[Mes 2]]+Registro[[#This Row],[Mes 3]]</f>
        <v>0</v>
      </c>
      <c r="U1521" s="20">
        <f>Registro[[#This Row],[Mes 4]]+Registro[[#This Row],[Mes 5]]+Registro[[#This Row],[Mes 6]]</f>
        <v>0</v>
      </c>
      <c r="V1521" s="20">
        <f>Registro[[#This Row],[Mes 7]]+Registro[[#This Row],[Mes 8]]+Registro[[#This Row],[Mes 9]]</f>
        <v>0</v>
      </c>
      <c r="W1521" s="20">
        <f>Registro[[#This Row],[Mes 10]]+Registro[[#This Row],[Mes 11]]+Registro[[#This Row],[Mes 12]]</f>
        <v>0</v>
      </c>
      <c r="X1521" s="20">
        <f>SUM(Registro[[#This Row],[Trim I]],Registro[[#This Row],[Trim II]],Registro[[#This Row],[Trim III]],Registro[[#This Row],[Trim IV]])</f>
        <v>0</v>
      </c>
      <c r="Y1521" s="22">
        <f>IFERROR((Registro[[#This Row],[Avance Total]]/Registro[[#This Row],[Meta]]),0)</f>
        <v>0</v>
      </c>
      <c r="Z1521" s="22">
        <f>IFERROR((Registro[[#This Row],[Avance Total]]-Registro[[#This Row],[Línea Base 2025]])/Registro[[#This Row],[Línea Base 2025]],0)</f>
        <v>-1</v>
      </c>
      <c r="AA1521" s="20"/>
    </row>
    <row r="1522" spans="1:27" hidden="1">
      <c r="A1522" s="14">
        <v>1117</v>
      </c>
      <c r="B1522" s="15" t="s">
        <v>133</v>
      </c>
      <c r="C1522" s="26">
        <v>123</v>
      </c>
      <c r="D1522" s="26" t="s">
        <v>198</v>
      </c>
      <c r="E1522" s="17" t="s">
        <v>197</v>
      </c>
      <c r="F1522" s="32">
        <v>0</v>
      </c>
      <c r="G1522" s="28">
        <v>5</v>
      </c>
      <c r="H1522" s="28">
        <v>0</v>
      </c>
      <c r="I1522" s="28">
        <v>0</v>
      </c>
      <c r="J1522" s="27"/>
      <c r="K1522" s="27"/>
      <c r="L1522" s="27"/>
      <c r="M1522" s="27"/>
      <c r="N1522" s="27"/>
      <c r="O1522" s="27"/>
      <c r="P1522" s="27"/>
      <c r="Q1522" s="27"/>
      <c r="R1522" s="27"/>
      <c r="S1522" s="27"/>
      <c r="T1522" s="29">
        <f>Registro[[#This Row],[Mes 1]]+Registro[[#This Row],[Mes 2]]+Registro[[#This Row],[Mes 3]]</f>
        <v>0</v>
      </c>
      <c r="U1522" s="29">
        <f>Registro[[#This Row],[Mes 4]]+Registro[[#This Row],[Mes 5]]+Registro[[#This Row],[Mes 6]]</f>
        <v>0</v>
      </c>
      <c r="V1522" s="29">
        <f>Registro[[#This Row],[Mes 7]]+Registro[[#This Row],[Mes 8]]+Registro[[#This Row],[Mes 9]]</f>
        <v>0</v>
      </c>
      <c r="W1522" s="29">
        <f>Registro[[#This Row],[Mes 10]]+Registro[[#This Row],[Mes 11]]+Registro[[#This Row],[Mes 12]]</f>
        <v>0</v>
      </c>
      <c r="X1522" s="29">
        <f>SUM(Registro[[#This Row],[Trim I]],Registro[[#This Row],[Trim II]],Registro[[#This Row],[Trim III]],Registro[[#This Row],[Trim IV]])</f>
        <v>0</v>
      </c>
      <c r="Y1522" s="30">
        <f>IFERROR((Registro[[#This Row],[Avance Total]]/Registro[[#This Row],[Meta]]),0)</f>
        <v>0</v>
      </c>
      <c r="Z1522" s="30">
        <f>IFERROR((Registro[[#This Row],[Avance Total]]-Registro[[#This Row],[Línea Base 2025]])/Registro[[#This Row],[Línea Base 2025]],0)</f>
        <v>0</v>
      </c>
      <c r="AA1522" s="29"/>
    </row>
    <row r="1523" spans="1:27" hidden="1">
      <c r="A1523" s="14">
        <v>1118</v>
      </c>
      <c r="B1523" s="15" t="s">
        <v>134</v>
      </c>
      <c r="C1523" s="16">
        <v>111</v>
      </c>
      <c r="D1523" s="16" t="s">
        <v>171</v>
      </c>
      <c r="E1523" s="17" t="s">
        <v>172</v>
      </c>
      <c r="F1523" s="24">
        <v>24</v>
      </c>
      <c r="G1523" s="19">
        <v>115</v>
      </c>
      <c r="H1523" s="19">
        <v>5</v>
      </c>
      <c r="I1523" s="19">
        <v>5</v>
      </c>
      <c r="T1523" s="20">
        <f>Registro[[#This Row],[Mes 1]]+Registro[[#This Row],[Mes 2]]+Registro[[#This Row],[Mes 3]]</f>
        <v>10</v>
      </c>
      <c r="U1523" s="20">
        <f>Registro[[#This Row],[Mes 4]]+Registro[[#This Row],[Mes 5]]+Registro[[#This Row],[Mes 6]]</f>
        <v>0</v>
      </c>
      <c r="V1523" s="20">
        <f>Registro[[#This Row],[Mes 7]]+Registro[[#This Row],[Mes 8]]+Registro[[#This Row],[Mes 9]]</f>
        <v>0</v>
      </c>
      <c r="W1523" s="20">
        <f>Registro[[#This Row],[Mes 10]]+Registro[[#This Row],[Mes 11]]+Registro[[#This Row],[Mes 12]]</f>
        <v>0</v>
      </c>
      <c r="X1523" s="20">
        <f>SUM(Registro[[#This Row],[Trim I]],Registro[[#This Row],[Trim II]],Registro[[#This Row],[Trim III]],Registro[[#This Row],[Trim IV]])</f>
        <v>10</v>
      </c>
      <c r="Y1523" s="22">
        <f>IFERROR((Registro[[#This Row],[Avance Total]]/Registro[[#This Row],[Meta]]),0)</f>
        <v>8.6956521739130432E-2</v>
      </c>
      <c r="Z1523" s="22">
        <f>IFERROR((Registro[[#This Row],[Avance Total]]-Registro[[#This Row],[Línea Base 2025]])/Registro[[#This Row],[Línea Base 2025]],0)</f>
        <v>-0.58333333333333337</v>
      </c>
      <c r="AA1523" s="20"/>
    </row>
    <row r="1524" spans="1:27" hidden="1">
      <c r="A1524" s="14">
        <v>1118</v>
      </c>
      <c r="B1524" s="15" t="s">
        <v>134</v>
      </c>
      <c r="C1524" s="16">
        <v>112</v>
      </c>
      <c r="D1524" s="16" t="s">
        <v>173</v>
      </c>
      <c r="E1524" s="17" t="s">
        <v>7</v>
      </c>
      <c r="F1524" s="24">
        <v>8</v>
      </c>
      <c r="G1524" s="19">
        <v>31</v>
      </c>
      <c r="H1524" s="19">
        <v>0</v>
      </c>
      <c r="I1524" s="19">
        <v>0</v>
      </c>
      <c r="T1524" s="20">
        <f>Registro[[#This Row],[Mes 1]]+Registro[[#This Row],[Mes 2]]+Registro[[#This Row],[Mes 3]]</f>
        <v>0</v>
      </c>
      <c r="U1524" s="20">
        <f>Registro[[#This Row],[Mes 4]]+Registro[[#This Row],[Mes 5]]+Registro[[#This Row],[Mes 6]]</f>
        <v>0</v>
      </c>
      <c r="V1524" s="20">
        <f>Registro[[#This Row],[Mes 7]]+Registro[[#This Row],[Mes 8]]+Registro[[#This Row],[Mes 9]]</f>
        <v>0</v>
      </c>
      <c r="W1524" s="20">
        <f>Registro[[#This Row],[Mes 10]]+Registro[[#This Row],[Mes 11]]+Registro[[#This Row],[Mes 12]]</f>
        <v>0</v>
      </c>
      <c r="X1524" s="20">
        <f>SUM(Registro[[#This Row],[Trim I]],Registro[[#This Row],[Trim II]],Registro[[#This Row],[Trim III]],Registro[[#This Row],[Trim IV]])</f>
        <v>0</v>
      </c>
      <c r="Y1524" s="22">
        <f>IFERROR((Registro[[#This Row],[Avance Total]]/Registro[[#This Row],[Meta]]),0)</f>
        <v>0</v>
      </c>
      <c r="Z1524" s="22">
        <f>IFERROR((Registro[[#This Row],[Avance Total]]-Registro[[#This Row],[Línea Base 2025]])/Registro[[#This Row],[Línea Base 2025]],0)</f>
        <v>-1</v>
      </c>
      <c r="AA1524" s="20"/>
    </row>
    <row r="1525" spans="1:27" hidden="1">
      <c r="A1525" s="14">
        <v>1118</v>
      </c>
      <c r="B1525" s="15" t="s">
        <v>134</v>
      </c>
      <c r="C1525" s="16">
        <v>113</v>
      </c>
      <c r="D1525" s="16" t="s">
        <v>179</v>
      </c>
      <c r="E1525" s="17" t="s">
        <v>178</v>
      </c>
      <c r="F1525" s="24">
        <v>17</v>
      </c>
      <c r="G1525" s="19">
        <v>161</v>
      </c>
      <c r="H1525" s="19">
        <v>2</v>
      </c>
      <c r="I1525" s="19">
        <v>2</v>
      </c>
      <c r="T1525" s="20">
        <f>Registro[[#This Row],[Mes 1]]+Registro[[#This Row],[Mes 2]]+Registro[[#This Row],[Mes 3]]</f>
        <v>4</v>
      </c>
      <c r="U1525" s="20">
        <f>Registro[[#This Row],[Mes 4]]+Registro[[#This Row],[Mes 5]]+Registro[[#This Row],[Mes 6]]</f>
        <v>0</v>
      </c>
      <c r="V1525" s="20">
        <f>Registro[[#This Row],[Mes 7]]+Registro[[#This Row],[Mes 8]]+Registro[[#This Row],[Mes 9]]</f>
        <v>0</v>
      </c>
      <c r="W1525" s="20">
        <f>Registro[[#This Row],[Mes 10]]+Registro[[#This Row],[Mes 11]]+Registro[[#This Row],[Mes 12]]</f>
        <v>0</v>
      </c>
      <c r="X1525" s="20">
        <f>SUM(Registro[[#This Row],[Trim I]],Registro[[#This Row],[Trim II]],Registro[[#This Row],[Trim III]],Registro[[#This Row],[Trim IV]])</f>
        <v>4</v>
      </c>
      <c r="Y1525" s="22">
        <f>IFERROR((Registro[[#This Row],[Avance Total]]/Registro[[#This Row],[Meta]]),0)</f>
        <v>2.4844720496894408E-2</v>
      </c>
      <c r="Z1525" s="22">
        <f>IFERROR((Registro[[#This Row],[Avance Total]]-Registro[[#This Row],[Línea Base 2025]])/Registro[[#This Row],[Línea Base 2025]],0)</f>
        <v>-0.76470588235294112</v>
      </c>
      <c r="AA1525" s="20"/>
    </row>
    <row r="1526" spans="1:27" hidden="1">
      <c r="A1526" s="14">
        <v>1118</v>
      </c>
      <c r="B1526" s="15" t="s">
        <v>134</v>
      </c>
      <c r="C1526" s="16">
        <v>114</v>
      </c>
      <c r="D1526" s="16" t="s">
        <v>181</v>
      </c>
      <c r="E1526" s="17" t="s">
        <v>180</v>
      </c>
      <c r="F1526" s="24">
        <v>0</v>
      </c>
      <c r="G1526" s="19">
        <v>37</v>
      </c>
      <c r="H1526" s="19">
        <v>0</v>
      </c>
      <c r="I1526" s="19">
        <v>20</v>
      </c>
      <c r="T1526" s="20">
        <f>Registro[[#This Row],[Mes 1]]+Registro[[#This Row],[Mes 2]]+Registro[[#This Row],[Mes 3]]</f>
        <v>20</v>
      </c>
      <c r="U1526" s="20">
        <f>Registro[[#This Row],[Mes 4]]+Registro[[#This Row],[Mes 5]]+Registro[[#This Row],[Mes 6]]</f>
        <v>0</v>
      </c>
      <c r="V1526" s="20">
        <f>Registro[[#This Row],[Mes 7]]+Registro[[#This Row],[Mes 8]]+Registro[[#This Row],[Mes 9]]</f>
        <v>0</v>
      </c>
      <c r="W1526" s="20">
        <f>Registro[[#This Row],[Mes 10]]+Registro[[#This Row],[Mes 11]]+Registro[[#This Row],[Mes 12]]</f>
        <v>0</v>
      </c>
      <c r="X1526" s="20">
        <f>SUM(Registro[[#This Row],[Trim I]],Registro[[#This Row],[Trim II]],Registro[[#This Row],[Trim III]],Registro[[#This Row],[Trim IV]])</f>
        <v>20</v>
      </c>
      <c r="Y1526" s="22">
        <f>IFERROR((Registro[[#This Row],[Avance Total]]/Registro[[#This Row],[Meta]]),0)</f>
        <v>0.54054054054054057</v>
      </c>
      <c r="Z1526" s="22">
        <f>IFERROR((Registro[[#This Row],[Avance Total]]-Registro[[#This Row],[Línea Base 2025]])/Registro[[#This Row],[Línea Base 2025]],0)</f>
        <v>0</v>
      </c>
      <c r="AA1526" s="20"/>
    </row>
    <row r="1527" spans="1:27" hidden="1">
      <c r="A1527" s="14">
        <v>1118</v>
      </c>
      <c r="B1527" s="15" t="s">
        <v>134</v>
      </c>
      <c r="C1527" s="16">
        <v>115</v>
      </c>
      <c r="D1527" s="16" t="s">
        <v>183</v>
      </c>
      <c r="E1527" s="17" t="s">
        <v>182</v>
      </c>
      <c r="F1527" s="24">
        <v>0</v>
      </c>
      <c r="G1527" s="19">
        <v>2</v>
      </c>
      <c r="H1527" s="19">
        <v>0</v>
      </c>
      <c r="I1527" s="19">
        <v>0</v>
      </c>
      <c r="T1527" s="20">
        <f>Registro[[#This Row],[Mes 1]]+Registro[[#This Row],[Mes 2]]+Registro[[#This Row],[Mes 3]]</f>
        <v>0</v>
      </c>
      <c r="U1527" s="20">
        <f>Registro[[#This Row],[Mes 4]]+Registro[[#This Row],[Mes 5]]+Registro[[#This Row],[Mes 6]]</f>
        <v>0</v>
      </c>
      <c r="V1527" s="20">
        <f>Registro[[#This Row],[Mes 7]]+Registro[[#This Row],[Mes 8]]+Registro[[#This Row],[Mes 9]]</f>
        <v>0</v>
      </c>
      <c r="W1527" s="20">
        <f>Registro[[#This Row],[Mes 10]]+Registro[[#This Row],[Mes 11]]+Registro[[#This Row],[Mes 12]]</f>
        <v>0</v>
      </c>
      <c r="X1527" s="20">
        <f>SUM(Registro[[#This Row],[Trim I]],Registro[[#This Row],[Trim II]],Registro[[#This Row],[Trim III]],Registro[[#This Row],[Trim IV]])</f>
        <v>0</v>
      </c>
      <c r="Y1527" s="22">
        <f>IFERROR((Registro[[#This Row],[Avance Total]]/Registro[[#This Row],[Meta]]),0)</f>
        <v>0</v>
      </c>
      <c r="Z1527" s="22">
        <f>IFERROR((Registro[[#This Row],[Avance Total]]-Registro[[#This Row],[Línea Base 2025]])/Registro[[#This Row],[Línea Base 2025]],0)</f>
        <v>0</v>
      </c>
      <c r="AA1527" s="20"/>
    </row>
    <row r="1528" spans="1:27">
      <c r="A1528" s="14">
        <v>1118</v>
      </c>
      <c r="B1528" s="15" t="s">
        <v>134</v>
      </c>
      <c r="C1528" s="16">
        <v>116</v>
      </c>
      <c r="D1528" s="16" t="s">
        <v>185</v>
      </c>
      <c r="E1528" s="17" t="s">
        <v>184</v>
      </c>
      <c r="F1528" s="24">
        <v>1</v>
      </c>
      <c r="G1528" s="19">
        <v>2</v>
      </c>
      <c r="H1528" s="19">
        <v>0</v>
      </c>
      <c r="I1528" s="19">
        <v>0</v>
      </c>
      <c r="T1528" s="20">
        <f>Registro[[#This Row],[Mes 1]]+Registro[[#This Row],[Mes 2]]+Registro[[#This Row],[Mes 3]]</f>
        <v>0</v>
      </c>
      <c r="U1528" s="20">
        <f>Registro[[#This Row],[Mes 4]]+Registro[[#This Row],[Mes 5]]+Registro[[#This Row],[Mes 6]]</f>
        <v>0</v>
      </c>
      <c r="V1528" s="20">
        <f>Registro[[#This Row],[Mes 7]]+Registro[[#This Row],[Mes 8]]+Registro[[#This Row],[Mes 9]]</f>
        <v>0</v>
      </c>
      <c r="W1528" s="20">
        <f>Registro[[#This Row],[Mes 10]]+Registro[[#This Row],[Mes 11]]+Registro[[#This Row],[Mes 12]]</f>
        <v>0</v>
      </c>
      <c r="X1528" s="20">
        <f>SUM(Registro[[#This Row],[Trim I]],Registro[[#This Row],[Trim II]],Registro[[#This Row],[Trim III]],Registro[[#This Row],[Trim IV]])</f>
        <v>0</v>
      </c>
      <c r="Y1528" s="22">
        <f>IFERROR((Registro[[#This Row],[Avance Total]]/Registro[[#This Row],[Meta]]),0)</f>
        <v>0</v>
      </c>
      <c r="Z1528" s="22">
        <f>IFERROR((Registro[[#This Row],[Avance Total]]-Registro[[#This Row],[Línea Base 2025]])/Registro[[#This Row],[Línea Base 2025]],0)</f>
        <v>-1</v>
      </c>
      <c r="AA1528" s="20"/>
    </row>
    <row r="1529" spans="1:27" hidden="1">
      <c r="A1529" s="14">
        <v>1118</v>
      </c>
      <c r="B1529" s="15" t="s">
        <v>134</v>
      </c>
      <c r="C1529" s="16">
        <v>117</v>
      </c>
      <c r="D1529" s="16" t="s">
        <v>187</v>
      </c>
      <c r="E1529" s="17" t="s">
        <v>186</v>
      </c>
      <c r="F1529" s="24">
        <v>0</v>
      </c>
      <c r="G1529" s="19">
        <v>2</v>
      </c>
      <c r="H1529" s="19">
        <v>0</v>
      </c>
      <c r="I1529" s="19">
        <v>0</v>
      </c>
      <c r="T1529" s="20">
        <f>Registro[[#This Row],[Mes 1]]+Registro[[#This Row],[Mes 2]]+Registro[[#This Row],[Mes 3]]</f>
        <v>0</v>
      </c>
      <c r="U1529" s="20">
        <f>Registro[[#This Row],[Mes 4]]+Registro[[#This Row],[Mes 5]]+Registro[[#This Row],[Mes 6]]</f>
        <v>0</v>
      </c>
      <c r="V1529" s="20">
        <f>Registro[[#This Row],[Mes 7]]+Registro[[#This Row],[Mes 8]]+Registro[[#This Row],[Mes 9]]</f>
        <v>0</v>
      </c>
      <c r="W1529" s="20">
        <f>Registro[[#This Row],[Mes 10]]+Registro[[#This Row],[Mes 11]]+Registro[[#This Row],[Mes 12]]</f>
        <v>0</v>
      </c>
      <c r="X1529" s="20">
        <f>SUM(Registro[[#This Row],[Trim I]],Registro[[#This Row],[Trim II]],Registro[[#This Row],[Trim III]],Registro[[#This Row],[Trim IV]])</f>
        <v>0</v>
      </c>
      <c r="Y1529" s="22">
        <f>IFERROR((Registro[[#This Row],[Avance Total]]/Registro[[#This Row],[Meta]]),0)</f>
        <v>0</v>
      </c>
      <c r="Z1529" s="22">
        <f>IFERROR((Registro[[#This Row],[Avance Total]]-Registro[[#This Row],[Línea Base 2025]])/Registro[[#This Row],[Línea Base 2025]],0)</f>
        <v>0</v>
      </c>
      <c r="AA1529" s="20"/>
    </row>
    <row r="1530" spans="1:27" hidden="1">
      <c r="A1530" s="14">
        <v>1118</v>
      </c>
      <c r="B1530" s="15" t="s">
        <v>134</v>
      </c>
      <c r="C1530" s="16">
        <v>118</v>
      </c>
      <c r="D1530" s="16" t="s">
        <v>188</v>
      </c>
      <c r="E1530" s="17" t="s">
        <v>9</v>
      </c>
      <c r="F1530" s="24">
        <v>0</v>
      </c>
      <c r="G1530" s="19">
        <v>49</v>
      </c>
      <c r="H1530" s="19">
        <v>0</v>
      </c>
      <c r="I1530" s="19">
        <v>0</v>
      </c>
      <c r="T1530" s="20">
        <f>Registro[[#This Row],[Mes 1]]+Registro[[#This Row],[Mes 2]]+Registro[[#This Row],[Mes 3]]</f>
        <v>0</v>
      </c>
      <c r="U1530" s="20">
        <f>Registro[[#This Row],[Mes 4]]+Registro[[#This Row],[Mes 5]]+Registro[[#This Row],[Mes 6]]</f>
        <v>0</v>
      </c>
      <c r="V1530" s="20">
        <f>Registro[[#This Row],[Mes 7]]+Registro[[#This Row],[Mes 8]]+Registro[[#This Row],[Mes 9]]</f>
        <v>0</v>
      </c>
      <c r="W1530" s="20">
        <f>Registro[[#This Row],[Mes 10]]+Registro[[#This Row],[Mes 11]]+Registro[[#This Row],[Mes 12]]</f>
        <v>0</v>
      </c>
      <c r="X1530" s="20">
        <f>SUM(Registro[[#This Row],[Trim I]],Registro[[#This Row],[Trim II]],Registro[[#This Row],[Trim III]],Registro[[#This Row],[Trim IV]])</f>
        <v>0</v>
      </c>
      <c r="Y1530" s="22">
        <f>IFERROR((Registro[[#This Row],[Avance Total]]/Registro[[#This Row],[Meta]]),0)</f>
        <v>0</v>
      </c>
      <c r="Z1530" s="22">
        <f>IFERROR((Registro[[#This Row],[Avance Total]]-Registro[[#This Row],[Línea Base 2025]])/Registro[[#This Row],[Línea Base 2025]],0)</f>
        <v>0</v>
      </c>
      <c r="AA1530" s="20"/>
    </row>
    <row r="1531" spans="1:27" hidden="1">
      <c r="A1531" s="14">
        <v>1118</v>
      </c>
      <c r="B1531" s="15" t="s">
        <v>134</v>
      </c>
      <c r="C1531" s="16">
        <v>119</v>
      </c>
      <c r="D1531" s="16" t="s">
        <v>190</v>
      </c>
      <c r="E1531" s="17" t="s">
        <v>189</v>
      </c>
      <c r="F1531" s="24">
        <v>0</v>
      </c>
      <c r="G1531" s="19">
        <v>2</v>
      </c>
      <c r="H1531" s="19">
        <v>0</v>
      </c>
      <c r="I1531" s="19">
        <v>0</v>
      </c>
      <c r="T1531" s="20">
        <f>Registro[[#This Row],[Mes 1]]+Registro[[#This Row],[Mes 2]]+Registro[[#This Row],[Mes 3]]</f>
        <v>0</v>
      </c>
      <c r="U1531" s="20">
        <f>Registro[[#This Row],[Mes 4]]+Registro[[#This Row],[Mes 5]]+Registro[[#This Row],[Mes 6]]</f>
        <v>0</v>
      </c>
      <c r="V1531" s="20">
        <f>Registro[[#This Row],[Mes 7]]+Registro[[#This Row],[Mes 8]]+Registro[[#This Row],[Mes 9]]</f>
        <v>0</v>
      </c>
      <c r="W1531" s="20">
        <f>Registro[[#This Row],[Mes 10]]+Registro[[#This Row],[Mes 11]]+Registro[[#This Row],[Mes 12]]</f>
        <v>0</v>
      </c>
      <c r="X1531" s="20">
        <f>SUM(Registro[[#This Row],[Trim I]],Registro[[#This Row],[Trim II]],Registro[[#This Row],[Trim III]],Registro[[#This Row],[Trim IV]])</f>
        <v>0</v>
      </c>
      <c r="Y1531" s="22">
        <f>IFERROR((Registro[[#This Row],[Avance Total]]/Registro[[#This Row],[Meta]]),0)</f>
        <v>0</v>
      </c>
      <c r="Z1531" s="22">
        <f>IFERROR((Registro[[#This Row],[Avance Total]]-Registro[[#This Row],[Línea Base 2025]])/Registro[[#This Row],[Línea Base 2025]],0)</f>
        <v>0</v>
      </c>
      <c r="AA1531" s="20"/>
    </row>
    <row r="1532" spans="1:27" hidden="1">
      <c r="A1532" s="14">
        <v>1118</v>
      </c>
      <c r="B1532" s="15" t="s">
        <v>134</v>
      </c>
      <c r="C1532" s="16">
        <v>120</v>
      </c>
      <c r="D1532" s="16" t="s">
        <v>192</v>
      </c>
      <c r="E1532" s="17" t="s">
        <v>191</v>
      </c>
      <c r="F1532" s="24">
        <v>0</v>
      </c>
      <c r="G1532" s="19">
        <v>6</v>
      </c>
      <c r="H1532" s="19">
        <v>0</v>
      </c>
      <c r="I1532" s="19">
        <v>0</v>
      </c>
      <c r="T1532" s="20">
        <f>Registro[[#This Row],[Mes 1]]+Registro[[#This Row],[Mes 2]]+Registro[[#This Row],[Mes 3]]</f>
        <v>0</v>
      </c>
      <c r="U1532" s="20">
        <f>Registro[[#This Row],[Mes 4]]+Registro[[#This Row],[Mes 5]]+Registro[[#This Row],[Mes 6]]</f>
        <v>0</v>
      </c>
      <c r="V1532" s="20">
        <f>Registro[[#This Row],[Mes 7]]+Registro[[#This Row],[Mes 8]]+Registro[[#This Row],[Mes 9]]</f>
        <v>0</v>
      </c>
      <c r="W1532" s="20">
        <f>Registro[[#This Row],[Mes 10]]+Registro[[#This Row],[Mes 11]]+Registro[[#This Row],[Mes 12]]</f>
        <v>0</v>
      </c>
      <c r="X1532" s="20">
        <f>SUM(Registro[[#This Row],[Trim I]],Registro[[#This Row],[Trim II]],Registro[[#This Row],[Trim III]],Registro[[#This Row],[Trim IV]])</f>
        <v>0</v>
      </c>
      <c r="Y1532" s="22">
        <f>IFERROR((Registro[[#This Row],[Avance Total]]/Registro[[#This Row],[Meta]]),0)</f>
        <v>0</v>
      </c>
      <c r="Z1532" s="22">
        <f>IFERROR((Registro[[#This Row],[Avance Total]]-Registro[[#This Row],[Línea Base 2025]])/Registro[[#This Row],[Línea Base 2025]],0)</f>
        <v>0</v>
      </c>
      <c r="AA1532" s="20"/>
    </row>
    <row r="1533" spans="1:27" hidden="1">
      <c r="A1533" s="14">
        <v>1118</v>
      </c>
      <c r="B1533" s="15" t="s">
        <v>134</v>
      </c>
      <c r="C1533" s="16">
        <v>121</v>
      </c>
      <c r="D1533" s="16" t="s">
        <v>194</v>
      </c>
      <c r="E1533" s="17" t="s">
        <v>193</v>
      </c>
      <c r="F1533" s="24">
        <v>0</v>
      </c>
      <c r="G1533" s="19">
        <v>0</v>
      </c>
      <c r="H1533" s="19">
        <v>0</v>
      </c>
      <c r="I1533" s="19">
        <v>0</v>
      </c>
      <c r="T1533" s="20">
        <f>Registro[[#This Row],[Mes 1]]+Registro[[#This Row],[Mes 2]]+Registro[[#This Row],[Mes 3]]</f>
        <v>0</v>
      </c>
      <c r="U1533" s="20">
        <f>Registro[[#This Row],[Mes 4]]+Registro[[#This Row],[Mes 5]]+Registro[[#This Row],[Mes 6]]</f>
        <v>0</v>
      </c>
      <c r="V1533" s="20">
        <f>Registro[[#This Row],[Mes 7]]+Registro[[#This Row],[Mes 8]]+Registro[[#This Row],[Mes 9]]</f>
        <v>0</v>
      </c>
      <c r="W1533" s="20">
        <f>Registro[[#This Row],[Mes 10]]+Registro[[#This Row],[Mes 11]]+Registro[[#This Row],[Mes 12]]</f>
        <v>0</v>
      </c>
      <c r="X1533" s="20">
        <f>SUM(Registro[[#This Row],[Trim I]],Registro[[#This Row],[Trim II]],Registro[[#This Row],[Trim III]],Registro[[#This Row],[Trim IV]])</f>
        <v>0</v>
      </c>
      <c r="Y1533" s="22">
        <f>IFERROR((Registro[[#This Row],[Avance Total]]/Registro[[#This Row],[Meta]]),0)</f>
        <v>0</v>
      </c>
      <c r="Z1533" s="22">
        <f>IFERROR((Registro[[#This Row],[Avance Total]]-Registro[[#This Row],[Línea Base 2025]])/Registro[[#This Row],[Línea Base 2025]],0)</f>
        <v>0</v>
      </c>
      <c r="AA1533" s="20"/>
    </row>
    <row r="1534" spans="1:27" hidden="1">
      <c r="A1534" s="14">
        <v>1118</v>
      </c>
      <c r="B1534" s="15" t="s">
        <v>134</v>
      </c>
      <c r="C1534" s="16">
        <v>122</v>
      </c>
      <c r="D1534" s="16" t="s">
        <v>196</v>
      </c>
      <c r="E1534" s="17" t="s">
        <v>195</v>
      </c>
      <c r="F1534" s="24">
        <v>0</v>
      </c>
      <c r="G1534" s="19">
        <v>1</v>
      </c>
      <c r="H1534" s="19">
        <v>0</v>
      </c>
      <c r="I1534" s="19">
        <v>0</v>
      </c>
      <c r="T1534" s="20">
        <f>Registro[[#This Row],[Mes 1]]+Registro[[#This Row],[Mes 2]]+Registro[[#This Row],[Mes 3]]</f>
        <v>0</v>
      </c>
      <c r="U1534" s="20">
        <f>Registro[[#This Row],[Mes 4]]+Registro[[#This Row],[Mes 5]]+Registro[[#This Row],[Mes 6]]</f>
        <v>0</v>
      </c>
      <c r="V1534" s="20">
        <f>Registro[[#This Row],[Mes 7]]+Registro[[#This Row],[Mes 8]]+Registro[[#This Row],[Mes 9]]</f>
        <v>0</v>
      </c>
      <c r="W1534" s="20">
        <f>Registro[[#This Row],[Mes 10]]+Registro[[#This Row],[Mes 11]]+Registro[[#This Row],[Mes 12]]</f>
        <v>0</v>
      </c>
      <c r="X1534" s="20">
        <f>SUM(Registro[[#This Row],[Trim I]],Registro[[#This Row],[Trim II]],Registro[[#This Row],[Trim III]],Registro[[#This Row],[Trim IV]])</f>
        <v>0</v>
      </c>
      <c r="Y1534" s="22">
        <f>IFERROR((Registro[[#This Row],[Avance Total]]/Registro[[#This Row],[Meta]]),0)</f>
        <v>0</v>
      </c>
      <c r="Z1534" s="22">
        <f>IFERROR((Registro[[#This Row],[Avance Total]]-Registro[[#This Row],[Línea Base 2025]])/Registro[[#This Row],[Línea Base 2025]],0)</f>
        <v>0</v>
      </c>
      <c r="AA1534" s="20"/>
    </row>
    <row r="1535" spans="1:27" hidden="1">
      <c r="A1535" s="14">
        <v>1118</v>
      </c>
      <c r="B1535" s="15" t="s">
        <v>134</v>
      </c>
      <c r="C1535" s="26">
        <v>123</v>
      </c>
      <c r="D1535" s="26" t="s">
        <v>198</v>
      </c>
      <c r="E1535" s="17" t="s">
        <v>197</v>
      </c>
      <c r="F1535" s="32">
        <v>0</v>
      </c>
      <c r="G1535" s="28">
        <v>1</v>
      </c>
      <c r="H1535" s="28">
        <v>0</v>
      </c>
      <c r="I1535" s="28">
        <v>0</v>
      </c>
      <c r="J1535" s="27"/>
      <c r="K1535" s="27"/>
      <c r="L1535" s="27"/>
      <c r="M1535" s="27"/>
      <c r="N1535" s="27"/>
      <c r="O1535" s="27"/>
      <c r="P1535" s="27"/>
      <c r="Q1535" s="27"/>
      <c r="R1535" s="27"/>
      <c r="S1535" s="27"/>
      <c r="T1535" s="29">
        <f>Registro[[#This Row],[Mes 1]]+Registro[[#This Row],[Mes 2]]+Registro[[#This Row],[Mes 3]]</f>
        <v>0</v>
      </c>
      <c r="U1535" s="29">
        <f>Registro[[#This Row],[Mes 4]]+Registro[[#This Row],[Mes 5]]+Registro[[#This Row],[Mes 6]]</f>
        <v>0</v>
      </c>
      <c r="V1535" s="29">
        <f>Registro[[#This Row],[Mes 7]]+Registro[[#This Row],[Mes 8]]+Registro[[#This Row],[Mes 9]]</f>
        <v>0</v>
      </c>
      <c r="W1535" s="29">
        <f>Registro[[#This Row],[Mes 10]]+Registro[[#This Row],[Mes 11]]+Registro[[#This Row],[Mes 12]]</f>
        <v>0</v>
      </c>
      <c r="X1535" s="29">
        <f>SUM(Registro[[#This Row],[Trim I]],Registro[[#This Row],[Trim II]],Registro[[#This Row],[Trim III]],Registro[[#This Row],[Trim IV]])</f>
        <v>0</v>
      </c>
      <c r="Y1535" s="30">
        <f>IFERROR((Registro[[#This Row],[Avance Total]]/Registro[[#This Row],[Meta]]),0)</f>
        <v>0</v>
      </c>
      <c r="Z1535" s="30">
        <f>IFERROR((Registro[[#This Row],[Avance Total]]-Registro[[#This Row],[Línea Base 2025]])/Registro[[#This Row],[Línea Base 2025]],0)</f>
        <v>0</v>
      </c>
      <c r="AA1535" s="29"/>
    </row>
    <row r="1536" spans="1:27" hidden="1">
      <c r="A1536" s="14">
        <v>1119</v>
      </c>
      <c r="B1536" s="15" t="s">
        <v>135</v>
      </c>
      <c r="C1536" s="16">
        <v>111</v>
      </c>
      <c r="D1536" s="16" t="s">
        <v>171</v>
      </c>
      <c r="E1536" s="17" t="s">
        <v>172</v>
      </c>
      <c r="F1536" s="24">
        <v>16</v>
      </c>
      <c r="G1536" s="19">
        <v>119</v>
      </c>
      <c r="H1536" s="19">
        <v>2</v>
      </c>
      <c r="I1536" s="19">
        <v>0</v>
      </c>
      <c r="T1536" s="20">
        <f>Registro[[#This Row],[Mes 1]]+Registro[[#This Row],[Mes 2]]+Registro[[#This Row],[Mes 3]]</f>
        <v>2</v>
      </c>
      <c r="U1536" s="20">
        <f>Registro[[#This Row],[Mes 4]]+Registro[[#This Row],[Mes 5]]+Registro[[#This Row],[Mes 6]]</f>
        <v>0</v>
      </c>
      <c r="V1536" s="20">
        <f>Registro[[#This Row],[Mes 7]]+Registro[[#This Row],[Mes 8]]+Registro[[#This Row],[Mes 9]]</f>
        <v>0</v>
      </c>
      <c r="W1536" s="20">
        <f>Registro[[#This Row],[Mes 10]]+Registro[[#This Row],[Mes 11]]+Registro[[#This Row],[Mes 12]]</f>
        <v>0</v>
      </c>
      <c r="X1536" s="20">
        <f>SUM(Registro[[#This Row],[Trim I]],Registro[[#This Row],[Trim II]],Registro[[#This Row],[Trim III]],Registro[[#This Row],[Trim IV]])</f>
        <v>2</v>
      </c>
      <c r="Y1536" s="22">
        <f>IFERROR((Registro[[#This Row],[Avance Total]]/Registro[[#This Row],[Meta]]),0)</f>
        <v>1.680672268907563E-2</v>
      </c>
      <c r="Z1536" s="22">
        <f>IFERROR((Registro[[#This Row],[Avance Total]]-Registro[[#This Row],[Línea Base 2025]])/Registro[[#This Row],[Línea Base 2025]],0)</f>
        <v>-0.875</v>
      </c>
      <c r="AA1536" s="20"/>
    </row>
    <row r="1537" spans="1:27" hidden="1">
      <c r="A1537" s="14">
        <v>1119</v>
      </c>
      <c r="B1537" s="15" t="s">
        <v>135</v>
      </c>
      <c r="C1537" s="16">
        <v>112</v>
      </c>
      <c r="D1537" s="16" t="s">
        <v>173</v>
      </c>
      <c r="E1537" s="17" t="s">
        <v>7</v>
      </c>
      <c r="F1537" s="24">
        <v>6</v>
      </c>
      <c r="G1537" s="19">
        <v>24</v>
      </c>
      <c r="H1537" s="19">
        <v>0</v>
      </c>
      <c r="I1537" s="19">
        <v>0</v>
      </c>
      <c r="T1537" s="20">
        <f>Registro[[#This Row],[Mes 1]]+Registro[[#This Row],[Mes 2]]+Registro[[#This Row],[Mes 3]]</f>
        <v>0</v>
      </c>
      <c r="U1537" s="20">
        <f>Registro[[#This Row],[Mes 4]]+Registro[[#This Row],[Mes 5]]+Registro[[#This Row],[Mes 6]]</f>
        <v>0</v>
      </c>
      <c r="V1537" s="20">
        <f>Registro[[#This Row],[Mes 7]]+Registro[[#This Row],[Mes 8]]+Registro[[#This Row],[Mes 9]]</f>
        <v>0</v>
      </c>
      <c r="W1537" s="20">
        <f>Registro[[#This Row],[Mes 10]]+Registro[[#This Row],[Mes 11]]+Registro[[#This Row],[Mes 12]]</f>
        <v>0</v>
      </c>
      <c r="X1537" s="20">
        <f>SUM(Registro[[#This Row],[Trim I]],Registro[[#This Row],[Trim II]],Registro[[#This Row],[Trim III]],Registro[[#This Row],[Trim IV]])</f>
        <v>0</v>
      </c>
      <c r="Y1537" s="22">
        <f>IFERROR((Registro[[#This Row],[Avance Total]]/Registro[[#This Row],[Meta]]),0)</f>
        <v>0</v>
      </c>
      <c r="Z1537" s="22">
        <f>IFERROR((Registro[[#This Row],[Avance Total]]-Registro[[#This Row],[Línea Base 2025]])/Registro[[#This Row],[Línea Base 2025]],0)</f>
        <v>-1</v>
      </c>
      <c r="AA1537" s="20"/>
    </row>
    <row r="1538" spans="1:27" hidden="1">
      <c r="A1538" s="14">
        <v>1119</v>
      </c>
      <c r="B1538" s="15" t="s">
        <v>135</v>
      </c>
      <c r="C1538" s="16">
        <v>113</v>
      </c>
      <c r="D1538" s="16" t="s">
        <v>179</v>
      </c>
      <c r="E1538" s="17" t="s">
        <v>178</v>
      </c>
      <c r="F1538" s="24">
        <v>4</v>
      </c>
      <c r="G1538" s="19">
        <v>121</v>
      </c>
      <c r="H1538" s="19">
        <v>1</v>
      </c>
      <c r="I1538" s="19">
        <v>2</v>
      </c>
      <c r="T1538" s="20">
        <f>Registro[[#This Row],[Mes 1]]+Registro[[#This Row],[Mes 2]]+Registro[[#This Row],[Mes 3]]</f>
        <v>3</v>
      </c>
      <c r="U1538" s="20">
        <f>Registro[[#This Row],[Mes 4]]+Registro[[#This Row],[Mes 5]]+Registro[[#This Row],[Mes 6]]</f>
        <v>0</v>
      </c>
      <c r="V1538" s="20">
        <f>Registro[[#This Row],[Mes 7]]+Registro[[#This Row],[Mes 8]]+Registro[[#This Row],[Mes 9]]</f>
        <v>0</v>
      </c>
      <c r="W1538" s="20">
        <f>Registro[[#This Row],[Mes 10]]+Registro[[#This Row],[Mes 11]]+Registro[[#This Row],[Mes 12]]</f>
        <v>0</v>
      </c>
      <c r="X1538" s="20">
        <f>SUM(Registro[[#This Row],[Trim I]],Registro[[#This Row],[Trim II]],Registro[[#This Row],[Trim III]],Registro[[#This Row],[Trim IV]])</f>
        <v>3</v>
      </c>
      <c r="Y1538" s="22">
        <f>IFERROR((Registro[[#This Row],[Avance Total]]/Registro[[#This Row],[Meta]]),0)</f>
        <v>2.4793388429752067E-2</v>
      </c>
      <c r="Z1538" s="22">
        <f>IFERROR((Registro[[#This Row],[Avance Total]]-Registro[[#This Row],[Línea Base 2025]])/Registro[[#This Row],[Línea Base 2025]],0)</f>
        <v>-0.25</v>
      </c>
      <c r="AA1538" s="20"/>
    </row>
    <row r="1539" spans="1:27" hidden="1">
      <c r="A1539" s="14">
        <v>1119</v>
      </c>
      <c r="B1539" s="15" t="s">
        <v>135</v>
      </c>
      <c r="C1539" s="16">
        <v>114</v>
      </c>
      <c r="D1539" s="16" t="s">
        <v>181</v>
      </c>
      <c r="E1539" s="17" t="s">
        <v>180</v>
      </c>
      <c r="F1539" s="24">
        <v>1</v>
      </c>
      <c r="G1539" s="19">
        <v>2</v>
      </c>
      <c r="H1539" s="19">
        <v>0</v>
      </c>
      <c r="I1539" s="19">
        <v>0</v>
      </c>
      <c r="T1539" s="20">
        <f>Registro[[#This Row],[Mes 1]]+Registro[[#This Row],[Mes 2]]+Registro[[#This Row],[Mes 3]]</f>
        <v>0</v>
      </c>
      <c r="U1539" s="20">
        <f>Registro[[#This Row],[Mes 4]]+Registro[[#This Row],[Mes 5]]+Registro[[#This Row],[Mes 6]]</f>
        <v>0</v>
      </c>
      <c r="V1539" s="20">
        <f>Registro[[#This Row],[Mes 7]]+Registro[[#This Row],[Mes 8]]+Registro[[#This Row],[Mes 9]]</f>
        <v>0</v>
      </c>
      <c r="W1539" s="20">
        <f>Registro[[#This Row],[Mes 10]]+Registro[[#This Row],[Mes 11]]+Registro[[#This Row],[Mes 12]]</f>
        <v>0</v>
      </c>
      <c r="X1539" s="20">
        <f>SUM(Registro[[#This Row],[Trim I]],Registro[[#This Row],[Trim II]],Registro[[#This Row],[Trim III]],Registro[[#This Row],[Trim IV]])</f>
        <v>0</v>
      </c>
      <c r="Y1539" s="22">
        <f>IFERROR((Registro[[#This Row],[Avance Total]]/Registro[[#This Row],[Meta]]),0)</f>
        <v>0</v>
      </c>
      <c r="Z1539" s="22">
        <f>IFERROR((Registro[[#This Row],[Avance Total]]-Registro[[#This Row],[Línea Base 2025]])/Registro[[#This Row],[Línea Base 2025]],0)</f>
        <v>-1</v>
      </c>
      <c r="AA1539" s="20"/>
    </row>
    <row r="1540" spans="1:27" hidden="1">
      <c r="A1540" s="14">
        <v>1119</v>
      </c>
      <c r="B1540" s="15" t="s">
        <v>135</v>
      </c>
      <c r="C1540" s="16">
        <v>115</v>
      </c>
      <c r="D1540" s="16" t="s">
        <v>183</v>
      </c>
      <c r="E1540" s="17" t="s">
        <v>182</v>
      </c>
      <c r="F1540" s="24">
        <v>8</v>
      </c>
      <c r="G1540" s="19">
        <v>2</v>
      </c>
      <c r="H1540" s="19">
        <v>0</v>
      </c>
      <c r="I1540" s="19">
        <v>0</v>
      </c>
      <c r="T1540" s="20">
        <f>Registro[[#This Row],[Mes 1]]+Registro[[#This Row],[Mes 2]]+Registro[[#This Row],[Mes 3]]</f>
        <v>0</v>
      </c>
      <c r="U1540" s="20">
        <f>Registro[[#This Row],[Mes 4]]+Registro[[#This Row],[Mes 5]]+Registro[[#This Row],[Mes 6]]</f>
        <v>0</v>
      </c>
      <c r="V1540" s="20">
        <f>Registro[[#This Row],[Mes 7]]+Registro[[#This Row],[Mes 8]]+Registro[[#This Row],[Mes 9]]</f>
        <v>0</v>
      </c>
      <c r="W1540" s="20">
        <f>Registro[[#This Row],[Mes 10]]+Registro[[#This Row],[Mes 11]]+Registro[[#This Row],[Mes 12]]</f>
        <v>0</v>
      </c>
      <c r="X1540" s="20">
        <f>SUM(Registro[[#This Row],[Trim I]],Registro[[#This Row],[Trim II]],Registro[[#This Row],[Trim III]],Registro[[#This Row],[Trim IV]])</f>
        <v>0</v>
      </c>
      <c r="Y1540" s="22">
        <f>IFERROR((Registro[[#This Row],[Avance Total]]/Registro[[#This Row],[Meta]]),0)</f>
        <v>0</v>
      </c>
      <c r="Z1540" s="22">
        <f>IFERROR((Registro[[#This Row],[Avance Total]]-Registro[[#This Row],[Línea Base 2025]])/Registro[[#This Row],[Línea Base 2025]],0)</f>
        <v>-1</v>
      </c>
      <c r="AA1540" s="20"/>
    </row>
    <row r="1541" spans="1:27">
      <c r="A1541" s="14">
        <v>1119</v>
      </c>
      <c r="B1541" s="15" t="s">
        <v>135</v>
      </c>
      <c r="C1541" s="16">
        <v>116</v>
      </c>
      <c r="D1541" s="16" t="s">
        <v>185</v>
      </c>
      <c r="E1541" s="17" t="s">
        <v>184</v>
      </c>
      <c r="F1541" s="24">
        <v>1</v>
      </c>
      <c r="G1541" s="19">
        <v>1</v>
      </c>
      <c r="H1541" s="19">
        <v>0</v>
      </c>
      <c r="I1541" s="19">
        <v>0</v>
      </c>
      <c r="T1541" s="20">
        <f>Registro[[#This Row],[Mes 1]]+Registro[[#This Row],[Mes 2]]+Registro[[#This Row],[Mes 3]]</f>
        <v>0</v>
      </c>
      <c r="U1541" s="20">
        <f>Registro[[#This Row],[Mes 4]]+Registro[[#This Row],[Mes 5]]+Registro[[#This Row],[Mes 6]]</f>
        <v>0</v>
      </c>
      <c r="V1541" s="20">
        <f>Registro[[#This Row],[Mes 7]]+Registro[[#This Row],[Mes 8]]+Registro[[#This Row],[Mes 9]]</f>
        <v>0</v>
      </c>
      <c r="W1541" s="20">
        <f>Registro[[#This Row],[Mes 10]]+Registro[[#This Row],[Mes 11]]+Registro[[#This Row],[Mes 12]]</f>
        <v>0</v>
      </c>
      <c r="X1541" s="20">
        <f>SUM(Registro[[#This Row],[Trim I]],Registro[[#This Row],[Trim II]],Registro[[#This Row],[Trim III]],Registro[[#This Row],[Trim IV]])</f>
        <v>0</v>
      </c>
      <c r="Y1541" s="22">
        <f>IFERROR((Registro[[#This Row],[Avance Total]]/Registro[[#This Row],[Meta]]),0)</f>
        <v>0</v>
      </c>
      <c r="Z1541" s="22">
        <f>IFERROR((Registro[[#This Row],[Avance Total]]-Registro[[#This Row],[Línea Base 2025]])/Registro[[#This Row],[Línea Base 2025]],0)</f>
        <v>-1</v>
      </c>
      <c r="AA1541" s="20"/>
    </row>
    <row r="1542" spans="1:27" hidden="1">
      <c r="A1542" s="14">
        <v>1119</v>
      </c>
      <c r="B1542" s="15" t="s">
        <v>135</v>
      </c>
      <c r="C1542" s="16">
        <v>117</v>
      </c>
      <c r="D1542" s="16" t="s">
        <v>187</v>
      </c>
      <c r="E1542" s="17" t="s">
        <v>186</v>
      </c>
      <c r="F1542" s="24">
        <v>2</v>
      </c>
      <c r="G1542" s="19">
        <v>1</v>
      </c>
      <c r="H1542" s="19">
        <v>0</v>
      </c>
      <c r="I1542" s="19">
        <v>0</v>
      </c>
      <c r="T1542" s="20">
        <f>Registro[[#This Row],[Mes 1]]+Registro[[#This Row],[Mes 2]]+Registro[[#This Row],[Mes 3]]</f>
        <v>0</v>
      </c>
      <c r="U1542" s="20">
        <f>Registro[[#This Row],[Mes 4]]+Registro[[#This Row],[Mes 5]]+Registro[[#This Row],[Mes 6]]</f>
        <v>0</v>
      </c>
      <c r="V1542" s="20">
        <f>Registro[[#This Row],[Mes 7]]+Registro[[#This Row],[Mes 8]]+Registro[[#This Row],[Mes 9]]</f>
        <v>0</v>
      </c>
      <c r="W1542" s="20">
        <f>Registro[[#This Row],[Mes 10]]+Registro[[#This Row],[Mes 11]]+Registro[[#This Row],[Mes 12]]</f>
        <v>0</v>
      </c>
      <c r="X1542" s="20">
        <f>SUM(Registro[[#This Row],[Trim I]],Registro[[#This Row],[Trim II]],Registro[[#This Row],[Trim III]],Registro[[#This Row],[Trim IV]])</f>
        <v>0</v>
      </c>
      <c r="Y1542" s="22">
        <f>IFERROR((Registro[[#This Row],[Avance Total]]/Registro[[#This Row],[Meta]]),0)</f>
        <v>0</v>
      </c>
      <c r="Z1542" s="22">
        <f>IFERROR((Registro[[#This Row],[Avance Total]]-Registro[[#This Row],[Línea Base 2025]])/Registro[[#This Row],[Línea Base 2025]],0)</f>
        <v>-1</v>
      </c>
      <c r="AA1542" s="20"/>
    </row>
    <row r="1543" spans="1:27" hidden="1">
      <c r="A1543" s="14">
        <v>1119</v>
      </c>
      <c r="B1543" s="15" t="s">
        <v>135</v>
      </c>
      <c r="C1543" s="16">
        <v>118</v>
      </c>
      <c r="D1543" s="16" t="s">
        <v>188</v>
      </c>
      <c r="E1543" s="17" t="s">
        <v>9</v>
      </c>
      <c r="F1543" s="24">
        <v>0</v>
      </c>
      <c r="G1543" s="19">
        <v>1</v>
      </c>
      <c r="H1543" s="19">
        <v>0</v>
      </c>
      <c r="I1543" s="19">
        <v>0</v>
      </c>
      <c r="T1543" s="20">
        <f>Registro[[#This Row],[Mes 1]]+Registro[[#This Row],[Mes 2]]+Registro[[#This Row],[Mes 3]]</f>
        <v>0</v>
      </c>
      <c r="U1543" s="20">
        <f>Registro[[#This Row],[Mes 4]]+Registro[[#This Row],[Mes 5]]+Registro[[#This Row],[Mes 6]]</f>
        <v>0</v>
      </c>
      <c r="V1543" s="20">
        <f>Registro[[#This Row],[Mes 7]]+Registro[[#This Row],[Mes 8]]+Registro[[#This Row],[Mes 9]]</f>
        <v>0</v>
      </c>
      <c r="W1543" s="20">
        <f>Registro[[#This Row],[Mes 10]]+Registro[[#This Row],[Mes 11]]+Registro[[#This Row],[Mes 12]]</f>
        <v>0</v>
      </c>
      <c r="X1543" s="20">
        <f>SUM(Registro[[#This Row],[Trim I]],Registro[[#This Row],[Trim II]],Registro[[#This Row],[Trim III]],Registro[[#This Row],[Trim IV]])</f>
        <v>0</v>
      </c>
      <c r="Y1543" s="22">
        <f>IFERROR((Registro[[#This Row],[Avance Total]]/Registro[[#This Row],[Meta]]),0)</f>
        <v>0</v>
      </c>
      <c r="Z1543" s="22">
        <f>IFERROR((Registro[[#This Row],[Avance Total]]-Registro[[#This Row],[Línea Base 2025]])/Registro[[#This Row],[Línea Base 2025]],0)</f>
        <v>0</v>
      </c>
      <c r="AA1543" s="20"/>
    </row>
    <row r="1544" spans="1:27" hidden="1">
      <c r="A1544" s="14">
        <v>1119</v>
      </c>
      <c r="B1544" s="15" t="s">
        <v>135</v>
      </c>
      <c r="C1544" s="16">
        <v>119</v>
      </c>
      <c r="D1544" s="16" t="s">
        <v>190</v>
      </c>
      <c r="E1544" s="17" t="s">
        <v>189</v>
      </c>
      <c r="F1544" s="24">
        <v>0</v>
      </c>
      <c r="G1544" s="19">
        <v>1</v>
      </c>
      <c r="H1544" s="19">
        <v>0</v>
      </c>
      <c r="I1544" s="19">
        <v>0</v>
      </c>
      <c r="T1544" s="20">
        <f>Registro[[#This Row],[Mes 1]]+Registro[[#This Row],[Mes 2]]+Registro[[#This Row],[Mes 3]]</f>
        <v>0</v>
      </c>
      <c r="U1544" s="20">
        <f>Registro[[#This Row],[Mes 4]]+Registro[[#This Row],[Mes 5]]+Registro[[#This Row],[Mes 6]]</f>
        <v>0</v>
      </c>
      <c r="V1544" s="20">
        <f>Registro[[#This Row],[Mes 7]]+Registro[[#This Row],[Mes 8]]+Registro[[#This Row],[Mes 9]]</f>
        <v>0</v>
      </c>
      <c r="W1544" s="20">
        <f>Registro[[#This Row],[Mes 10]]+Registro[[#This Row],[Mes 11]]+Registro[[#This Row],[Mes 12]]</f>
        <v>0</v>
      </c>
      <c r="X1544" s="20">
        <f>SUM(Registro[[#This Row],[Trim I]],Registro[[#This Row],[Trim II]],Registro[[#This Row],[Trim III]],Registro[[#This Row],[Trim IV]])</f>
        <v>0</v>
      </c>
      <c r="Y1544" s="22">
        <f>IFERROR((Registro[[#This Row],[Avance Total]]/Registro[[#This Row],[Meta]]),0)</f>
        <v>0</v>
      </c>
      <c r="Z1544" s="22">
        <f>IFERROR((Registro[[#This Row],[Avance Total]]-Registro[[#This Row],[Línea Base 2025]])/Registro[[#This Row],[Línea Base 2025]],0)</f>
        <v>0</v>
      </c>
      <c r="AA1544" s="20"/>
    </row>
    <row r="1545" spans="1:27" hidden="1">
      <c r="A1545" s="14">
        <v>1119</v>
      </c>
      <c r="B1545" s="15" t="s">
        <v>135</v>
      </c>
      <c r="C1545" s="16">
        <v>120</v>
      </c>
      <c r="D1545" s="16" t="s">
        <v>192</v>
      </c>
      <c r="E1545" s="17" t="s">
        <v>191</v>
      </c>
      <c r="F1545" s="24">
        <v>14</v>
      </c>
      <c r="G1545" s="19">
        <v>6</v>
      </c>
      <c r="H1545" s="19">
        <v>0</v>
      </c>
      <c r="I1545" s="19">
        <v>3</v>
      </c>
      <c r="T1545" s="20">
        <f>Registro[[#This Row],[Mes 1]]+Registro[[#This Row],[Mes 2]]+Registro[[#This Row],[Mes 3]]</f>
        <v>3</v>
      </c>
      <c r="U1545" s="20">
        <f>Registro[[#This Row],[Mes 4]]+Registro[[#This Row],[Mes 5]]+Registro[[#This Row],[Mes 6]]</f>
        <v>0</v>
      </c>
      <c r="V1545" s="20">
        <f>Registro[[#This Row],[Mes 7]]+Registro[[#This Row],[Mes 8]]+Registro[[#This Row],[Mes 9]]</f>
        <v>0</v>
      </c>
      <c r="W1545" s="20">
        <f>Registro[[#This Row],[Mes 10]]+Registro[[#This Row],[Mes 11]]+Registro[[#This Row],[Mes 12]]</f>
        <v>0</v>
      </c>
      <c r="X1545" s="20">
        <f>SUM(Registro[[#This Row],[Trim I]],Registro[[#This Row],[Trim II]],Registro[[#This Row],[Trim III]],Registro[[#This Row],[Trim IV]])</f>
        <v>3</v>
      </c>
      <c r="Y1545" s="22">
        <f>IFERROR((Registro[[#This Row],[Avance Total]]/Registro[[#This Row],[Meta]]),0)</f>
        <v>0.5</v>
      </c>
      <c r="Z1545" s="22">
        <f>IFERROR((Registro[[#This Row],[Avance Total]]-Registro[[#This Row],[Línea Base 2025]])/Registro[[#This Row],[Línea Base 2025]],0)</f>
        <v>-0.7857142857142857</v>
      </c>
      <c r="AA1545" s="20"/>
    </row>
    <row r="1546" spans="1:27" hidden="1">
      <c r="A1546" s="14">
        <v>1119</v>
      </c>
      <c r="B1546" s="15" t="s">
        <v>135</v>
      </c>
      <c r="C1546" s="16">
        <v>121</v>
      </c>
      <c r="D1546" s="16" t="s">
        <v>194</v>
      </c>
      <c r="E1546" s="17" t="s">
        <v>193</v>
      </c>
      <c r="F1546" s="24">
        <v>0</v>
      </c>
      <c r="G1546" s="19">
        <v>0</v>
      </c>
      <c r="H1546" s="19">
        <v>0</v>
      </c>
      <c r="I1546" s="19">
        <v>0</v>
      </c>
      <c r="T1546" s="20">
        <f>Registro[[#This Row],[Mes 1]]+Registro[[#This Row],[Mes 2]]+Registro[[#This Row],[Mes 3]]</f>
        <v>0</v>
      </c>
      <c r="U1546" s="20">
        <f>Registro[[#This Row],[Mes 4]]+Registro[[#This Row],[Mes 5]]+Registro[[#This Row],[Mes 6]]</f>
        <v>0</v>
      </c>
      <c r="V1546" s="20">
        <f>Registro[[#This Row],[Mes 7]]+Registro[[#This Row],[Mes 8]]+Registro[[#This Row],[Mes 9]]</f>
        <v>0</v>
      </c>
      <c r="W1546" s="20">
        <f>Registro[[#This Row],[Mes 10]]+Registro[[#This Row],[Mes 11]]+Registro[[#This Row],[Mes 12]]</f>
        <v>0</v>
      </c>
      <c r="X1546" s="20">
        <f>SUM(Registro[[#This Row],[Trim I]],Registro[[#This Row],[Trim II]],Registro[[#This Row],[Trim III]],Registro[[#This Row],[Trim IV]])</f>
        <v>0</v>
      </c>
      <c r="Y1546" s="22">
        <f>IFERROR((Registro[[#This Row],[Avance Total]]/Registro[[#This Row],[Meta]]),0)</f>
        <v>0</v>
      </c>
      <c r="Z1546" s="22">
        <f>IFERROR((Registro[[#This Row],[Avance Total]]-Registro[[#This Row],[Línea Base 2025]])/Registro[[#This Row],[Línea Base 2025]],0)</f>
        <v>0</v>
      </c>
      <c r="AA1546" s="20"/>
    </row>
    <row r="1547" spans="1:27" hidden="1">
      <c r="A1547" s="14">
        <v>1119</v>
      </c>
      <c r="B1547" s="15" t="s">
        <v>135</v>
      </c>
      <c r="C1547" s="16">
        <v>122</v>
      </c>
      <c r="D1547" s="16" t="s">
        <v>196</v>
      </c>
      <c r="E1547" s="17" t="s">
        <v>195</v>
      </c>
      <c r="F1547" s="24">
        <v>4</v>
      </c>
      <c r="G1547" s="19">
        <v>5</v>
      </c>
      <c r="H1547" s="19">
        <v>0</v>
      </c>
      <c r="I1547" s="19">
        <v>0</v>
      </c>
      <c r="T1547" s="20">
        <f>Registro[[#This Row],[Mes 1]]+Registro[[#This Row],[Mes 2]]+Registro[[#This Row],[Mes 3]]</f>
        <v>0</v>
      </c>
      <c r="U1547" s="20">
        <f>Registro[[#This Row],[Mes 4]]+Registro[[#This Row],[Mes 5]]+Registro[[#This Row],[Mes 6]]</f>
        <v>0</v>
      </c>
      <c r="V1547" s="20">
        <f>Registro[[#This Row],[Mes 7]]+Registro[[#This Row],[Mes 8]]+Registro[[#This Row],[Mes 9]]</f>
        <v>0</v>
      </c>
      <c r="W1547" s="20">
        <f>Registro[[#This Row],[Mes 10]]+Registro[[#This Row],[Mes 11]]+Registro[[#This Row],[Mes 12]]</f>
        <v>0</v>
      </c>
      <c r="X1547" s="20">
        <f>SUM(Registro[[#This Row],[Trim I]],Registro[[#This Row],[Trim II]],Registro[[#This Row],[Trim III]],Registro[[#This Row],[Trim IV]])</f>
        <v>0</v>
      </c>
      <c r="Y1547" s="22">
        <f>IFERROR((Registro[[#This Row],[Avance Total]]/Registro[[#This Row],[Meta]]),0)</f>
        <v>0</v>
      </c>
      <c r="Z1547" s="22">
        <f>IFERROR((Registro[[#This Row],[Avance Total]]-Registro[[#This Row],[Línea Base 2025]])/Registro[[#This Row],[Línea Base 2025]],0)</f>
        <v>-1</v>
      </c>
      <c r="AA1547" s="20"/>
    </row>
    <row r="1548" spans="1:27" hidden="1">
      <c r="A1548" s="14">
        <v>1119</v>
      </c>
      <c r="B1548" s="15" t="s">
        <v>135</v>
      </c>
      <c r="C1548" s="26">
        <v>123</v>
      </c>
      <c r="D1548" s="26" t="s">
        <v>198</v>
      </c>
      <c r="E1548" s="17" t="s">
        <v>197</v>
      </c>
      <c r="F1548" s="32">
        <v>0</v>
      </c>
      <c r="G1548" s="28">
        <v>1</v>
      </c>
      <c r="H1548" s="28">
        <v>0</v>
      </c>
      <c r="I1548" s="28">
        <v>0</v>
      </c>
      <c r="J1548" s="27"/>
      <c r="K1548" s="27"/>
      <c r="L1548" s="27"/>
      <c r="M1548" s="27"/>
      <c r="N1548" s="27"/>
      <c r="O1548" s="27"/>
      <c r="P1548" s="27"/>
      <c r="Q1548" s="27"/>
      <c r="R1548" s="27"/>
      <c r="S1548" s="27"/>
      <c r="T1548" s="29">
        <f>Registro[[#This Row],[Mes 1]]+Registro[[#This Row],[Mes 2]]+Registro[[#This Row],[Mes 3]]</f>
        <v>0</v>
      </c>
      <c r="U1548" s="29">
        <f>Registro[[#This Row],[Mes 4]]+Registro[[#This Row],[Mes 5]]+Registro[[#This Row],[Mes 6]]</f>
        <v>0</v>
      </c>
      <c r="V1548" s="29">
        <f>Registro[[#This Row],[Mes 7]]+Registro[[#This Row],[Mes 8]]+Registro[[#This Row],[Mes 9]]</f>
        <v>0</v>
      </c>
      <c r="W1548" s="29">
        <f>Registro[[#This Row],[Mes 10]]+Registro[[#This Row],[Mes 11]]+Registro[[#This Row],[Mes 12]]</f>
        <v>0</v>
      </c>
      <c r="X1548" s="29">
        <f>SUM(Registro[[#This Row],[Trim I]],Registro[[#This Row],[Trim II]],Registro[[#This Row],[Trim III]],Registro[[#This Row],[Trim IV]])</f>
        <v>0</v>
      </c>
      <c r="Y1548" s="30">
        <f>IFERROR((Registro[[#This Row],[Avance Total]]/Registro[[#This Row],[Meta]]),0)</f>
        <v>0</v>
      </c>
      <c r="Z1548" s="30">
        <f>IFERROR((Registro[[#This Row],[Avance Total]]-Registro[[#This Row],[Línea Base 2025]])/Registro[[#This Row],[Línea Base 2025]],0)</f>
        <v>0</v>
      </c>
      <c r="AA1548" s="29"/>
    </row>
    <row r="1549" spans="1:27" hidden="1">
      <c r="A1549">
        <v>1120</v>
      </c>
      <c r="B1549" t="s">
        <v>136</v>
      </c>
      <c r="C1549" s="16">
        <v>111</v>
      </c>
      <c r="D1549" s="16" t="s">
        <v>171</v>
      </c>
      <c r="E1549" s="17" t="s">
        <v>172</v>
      </c>
      <c r="F1549" s="24">
        <v>17</v>
      </c>
      <c r="G1549" s="19">
        <v>101</v>
      </c>
      <c r="H1549" s="19">
        <v>1</v>
      </c>
      <c r="I1549" s="19">
        <v>1</v>
      </c>
      <c r="T1549" s="20">
        <f>Registro[[#This Row],[Mes 1]]+Registro[[#This Row],[Mes 2]]+Registro[[#This Row],[Mes 3]]</f>
        <v>2</v>
      </c>
      <c r="U1549" s="20">
        <f>Registro[[#This Row],[Mes 4]]+Registro[[#This Row],[Mes 5]]+Registro[[#This Row],[Mes 6]]</f>
        <v>0</v>
      </c>
      <c r="V1549" s="20">
        <f>Registro[[#This Row],[Mes 7]]+Registro[[#This Row],[Mes 8]]+Registro[[#This Row],[Mes 9]]</f>
        <v>0</v>
      </c>
      <c r="W1549" s="20">
        <f>Registro[[#This Row],[Mes 10]]+Registro[[#This Row],[Mes 11]]+Registro[[#This Row],[Mes 12]]</f>
        <v>0</v>
      </c>
      <c r="X1549" s="20">
        <f>SUM(Registro[[#This Row],[Trim I]],Registro[[#This Row],[Trim II]],Registro[[#This Row],[Trim III]],Registro[[#This Row],[Trim IV]])</f>
        <v>2</v>
      </c>
      <c r="Y1549" s="22">
        <f>IFERROR((Registro[[#This Row],[Avance Total]]/Registro[[#This Row],[Meta]]),0)</f>
        <v>1.9801980198019802E-2</v>
      </c>
      <c r="Z1549" s="22">
        <f>IFERROR((Registro[[#This Row],[Avance Total]]-Registro[[#This Row],[Línea Base 2025]])/Registro[[#This Row],[Línea Base 2025]],0)</f>
        <v>-0.88235294117647056</v>
      </c>
      <c r="AA1549" s="20"/>
    </row>
    <row r="1550" spans="1:27" hidden="1">
      <c r="A1550">
        <v>1120</v>
      </c>
      <c r="B1550" t="s">
        <v>136</v>
      </c>
      <c r="C1550" s="16">
        <v>112</v>
      </c>
      <c r="D1550" s="16" t="s">
        <v>173</v>
      </c>
      <c r="E1550" s="17" t="s">
        <v>7</v>
      </c>
      <c r="F1550" s="24">
        <v>3</v>
      </c>
      <c r="G1550" s="19">
        <v>35</v>
      </c>
      <c r="H1550" s="19">
        <v>0</v>
      </c>
      <c r="I1550" s="19">
        <v>0</v>
      </c>
      <c r="T1550" s="20">
        <f>Registro[[#This Row],[Mes 1]]+Registro[[#This Row],[Mes 2]]+Registro[[#This Row],[Mes 3]]</f>
        <v>0</v>
      </c>
      <c r="U1550" s="20">
        <f>Registro[[#This Row],[Mes 4]]+Registro[[#This Row],[Mes 5]]+Registro[[#This Row],[Mes 6]]</f>
        <v>0</v>
      </c>
      <c r="V1550" s="20">
        <f>Registro[[#This Row],[Mes 7]]+Registro[[#This Row],[Mes 8]]+Registro[[#This Row],[Mes 9]]</f>
        <v>0</v>
      </c>
      <c r="W1550" s="20">
        <f>Registro[[#This Row],[Mes 10]]+Registro[[#This Row],[Mes 11]]+Registro[[#This Row],[Mes 12]]</f>
        <v>0</v>
      </c>
      <c r="X1550" s="20">
        <f>SUM(Registro[[#This Row],[Trim I]],Registro[[#This Row],[Trim II]],Registro[[#This Row],[Trim III]],Registro[[#This Row],[Trim IV]])</f>
        <v>0</v>
      </c>
      <c r="Y1550" s="22">
        <f>IFERROR((Registro[[#This Row],[Avance Total]]/Registro[[#This Row],[Meta]]),0)</f>
        <v>0</v>
      </c>
      <c r="Z1550" s="22">
        <f>IFERROR((Registro[[#This Row],[Avance Total]]-Registro[[#This Row],[Línea Base 2025]])/Registro[[#This Row],[Línea Base 2025]],0)</f>
        <v>-1</v>
      </c>
      <c r="AA1550" s="20"/>
    </row>
    <row r="1551" spans="1:27" hidden="1">
      <c r="A1551">
        <v>1120</v>
      </c>
      <c r="B1551" t="s">
        <v>136</v>
      </c>
      <c r="C1551" s="16">
        <v>113</v>
      </c>
      <c r="D1551" s="16" t="s">
        <v>179</v>
      </c>
      <c r="E1551" s="17" t="s">
        <v>178</v>
      </c>
      <c r="F1551" s="24">
        <v>21</v>
      </c>
      <c r="G1551" s="19">
        <v>130</v>
      </c>
      <c r="H1551" s="19">
        <v>0</v>
      </c>
      <c r="I1551" s="19">
        <v>0</v>
      </c>
      <c r="T1551" s="20">
        <f>Registro[[#This Row],[Mes 1]]+Registro[[#This Row],[Mes 2]]+Registro[[#This Row],[Mes 3]]</f>
        <v>0</v>
      </c>
      <c r="U1551" s="20">
        <f>Registro[[#This Row],[Mes 4]]+Registro[[#This Row],[Mes 5]]+Registro[[#This Row],[Mes 6]]</f>
        <v>0</v>
      </c>
      <c r="V1551" s="20">
        <f>Registro[[#This Row],[Mes 7]]+Registro[[#This Row],[Mes 8]]+Registro[[#This Row],[Mes 9]]</f>
        <v>0</v>
      </c>
      <c r="W1551" s="20">
        <f>Registro[[#This Row],[Mes 10]]+Registro[[#This Row],[Mes 11]]+Registro[[#This Row],[Mes 12]]</f>
        <v>0</v>
      </c>
      <c r="X1551" s="20">
        <f>SUM(Registro[[#This Row],[Trim I]],Registro[[#This Row],[Trim II]],Registro[[#This Row],[Trim III]],Registro[[#This Row],[Trim IV]])</f>
        <v>0</v>
      </c>
      <c r="Y1551" s="22">
        <f>IFERROR((Registro[[#This Row],[Avance Total]]/Registro[[#This Row],[Meta]]),0)</f>
        <v>0</v>
      </c>
      <c r="Z1551" s="22">
        <f>IFERROR((Registro[[#This Row],[Avance Total]]-Registro[[#This Row],[Línea Base 2025]])/Registro[[#This Row],[Línea Base 2025]],0)</f>
        <v>-1</v>
      </c>
      <c r="AA1551" s="20"/>
    </row>
    <row r="1552" spans="1:27" hidden="1">
      <c r="A1552">
        <v>1120</v>
      </c>
      <c r="B1552" t="s">
        <v>136</v>
      </c>
      <c r="C1552" s="16">
        <v>114</v>
      </c>
      <c r="D1552" s="16" t="s">
        <v>181</v>
      </c>
      <c r="E1552" s="17" t="s">
        <v>180</v>
      </c>
      <c r="F1552" s="24">
        <v>1</v>
      </c>
      <c r="G1552" s="19">
        <v>3</v>
      </c>
      <c r="H1552" s="19">
        <v>0</v>
      </c>
      <c r="I1552" s="19">
        <v>0</v>
      </c>
      <c r="T1552" s="20">
        <f>Registro[[#This Row],[Mes 1]]+Registro[[#This Row],[Mes 2]]+Registro[[#This Row],[Mes 3]]</f>
        <v>0</v>
      </c>
      <c r="U1552" s="20">
        <f>Registro[[#This Row],[Mes 4]]+Registro[[#This Row],[Mes 5]]+Registro[[#This Row],[Mes 6]]</f>
        <v>0</v>
      </c>
      <c r="V1552" s="20">
        <f>Registro[[#This Row],[Mes 7]]+Registro[[#This Row],[Mes 8]]+Registro[[#This Row],[Mes 9]]</f>
        <v>0</v>
      </c>
      <c r="W1552" s="20">
        <f>Registro[[#This Row],[Mes 10]]+Registro[[#This Row],[Mes 11]]+Registro[[#This Row],[Mes 12]]</f>
        <v>0</v>
      </c>
      <c r="X1552" s="20">
        <f>SUM(Registro[[#This Row],[Trim I]],Registro[[#This Row],[Trim II]],Registro[[#This Row],[Trim III]],Registro[[#This Row],[Trim IV]])</f>
        <v>0</v>
      </c>
      <c r="Y1552" s="22">
        <f>IFERROR((Registro[[#This Row],[Avance Total]]/Registro[[#This Row],[Meta]]),0)</f>
        <v>0</v>
      </c>
      <c r="Z1552" s="22">
        <f>IFERROR((Registro[[#This Row],[Avance Total]]-Registro[[#This Row],[Línea Base 2025]])/Registro[[#This Row],[Línea Base 2025]],0)</f>
        <v>-1</v>
      </c>
      <c r="AA1552" s="20"/>
    </row>
    <row r="1553" spans="1:27" hidden="1">
      <c r="A1553">
        <v>1120</v>
      </c>
      <c r="B1553" t="s">
        <v>136</v>
      </c>
      <c r="C1553" s="16">
        <v>115</v>
      </c>
      <c r="D1553" s="16" t="s">
        <v>183</v>
      </c>
      <c r="E1553" s="17" t="s">
        <v>182</v>
      </c>
      <c r="F1553" s="24">
        <v>17</v>
      </c>
      <c r="G1553" s="19">
        <v>3</v>
      </c>
      <c r="H1553" s="19">
        <v>0</v>
      </c>
      <c r="I1553" s="19">
        <v>0</v>
      </c>
      <c r="T1553" s="20">
        <f>Registro[[#This Row],[Mes 1]]+Registro[[#This Row],[Mes 2]]+Registro[[#This Row],[Mes 3]]</f>
        <v>0</v>
      </c>
      <c r="U1553" s="20">
        <f>Registro[[#This Row],[Mes 4]]+Registro[[#This Row],[Mes 5]]+Registro[[#This Row],[Mes 6]]</f>
        <v>0</v>
      </c>
      <c r="V1553" s="20">
        <f>Registro[[#This Row],[Mes 7]]+Registro[[#This Row],[Mes 8]]+Registro[[#This Row],[Mes 9]]</f>
        <v>0</v>
      </c>
      <c r="W1553" s="20">
        <f>Registro[[#This Row],[Mes 10]]+Registro[[#This Row],[Mes 11]]+Registro[[#This Row],[Mes 12]]</f>
        <v>0</v>
      </c>
      <c r="X1553" s="20">
        <f>SUM(Registro[[#This Row],[Trim I]],Registro[[#This Row],[Trim II]],Registro[[#This Row],[Trim III]],Registro[[#This Row],[Trim IV]])</f>
        <v>0</v>
      </c>
      <c r="Y1553" s="22">
        <f>IFERROR((Registro[[#This Row],[Avance Total]]/Registro[[#This Row],[Meta]]),0)</f>
        <v>0</v>
      </c>
      <c r="Z1553" s="22">
        <f>IFERROR((Registro[[#This Row],[Avance Total]]-Registro[[#This Row],[Línea Base 2025]])/Registro[[#This Row],[Línea Base 2025]],0)</f>
        <v>-1</v>
      </c>
      <c r="AA1553" s="20"/>
    </row>
    <row r="1554" spans="1:27">
      <c r="A1554">
        <v>1120</v>
      </c>
      <c r="B1554" t="s">
        <v>136</v>
      </c>
      <c r="C1554" s="16">
        <v>116</v>
      </c>
      <c r="D1554" s="16" t="s">
        <v>185</v>
      </c>
      <c r="E1554" s="17" t="s">
        <v>184</v>
      </c>
      <c r="F1554" s="24">
        <v>2</v>
      </c>
      <c r="G1554" s="19">
        <v>1</v>
      </c>
      <c r="H1554" s="19">
        <v>0</v>
      </c>
      <c r="I1554" s="19">
        <v>0</v>
      </c>
      <c r="T1554" s="20">
        <f>Registro[[#This Row],[Mes 1]]+Registro[[#This Row],[Mes 2]]+Registro[[#This Row],[Mes 3]]</f>
        <v>0</v>
      </c>
      <c r="U1554" s="20">
        <f>Registro[[#This Row],[Mes 4]]+Registro[[#This Row],[Mes 5]]+Registro[[#This Row],[Mes 6]]</f>
        <v>0</v>
      </c>
      <c r="V1554" s="20">
        <f>Registro[[#This Row],[Mes 7]]+Registro[[#This Row],[Mes 8]]+Registro[[#This Row],[Mes 9]]</f>
        <v>0</v>
      </c>
      <c r="W1554" s="20">
        <f>Registro[[#This Row],[Mes 10]]+Registro[[#This Row],[Mes 11]]+Registro[[#This Row],[Mes 12]]</f>
        <v>0</v>
      </c>
      <c r="X1554" s="20">
        <f>SUM(Registro[[#This Row],[Trim I]],Registro[[#This Row],[Trim II]],Registro[[#This Row],[Trim III]],Registro[[#This Row],[Trim IV]])</f>
        <v>0</v>
      </c>
      <c r="Y1554" s="22">
        <f>IFERROR((Registro[[#This Row],[Avance Total]]/Registro[[#This Row],[Meta]]),0)</f>
        <v>0</v>
      </c>
      <c r="Z1554" s="22">
        <f>IFERROR((Registro[[#This Row],[Avance Total]]-Registro[[#This Row],[Línea Base 2025]])/Registro[[#This Row],[Línea Base 2025]],0)</f>
        <v>-1</v>
      </c>
      <c r="AA1554" s="20"/>
    </row>
    <row r="1555" spans="1:27" hidden="1">
      <c r="A1555">
        <v>1120</v>
      </c>
      <c r="B1555" t="s">
        <v>136</v>
      </c>
      <c r="C1555" s="16">
        <v>117</v>
      </c>
      <c r="D1555" s="16" t="s">
        <v>187</v>
      </c>
      <c r="E1555" s="17" t="s">
        <v>186</v>
      </c>
      <c r="F1555" s="24">
        <v>1</v>
      </c>
      <c r="G1555" s="19">
        <v>1</v>
      </c>
      <c r="H1555" s="19">
        <v>0</v>
      </c>
      <c r="I1555" s="19">
        <v>0</v>
      </c>
      <c r="T1555" s="20">
        <f>Registro[[#This Row],[Mes 1]]+Registro[[#This Row],[Mes 2]]+Registro[[#This Row],[Mes 3]]</f>
        <v>0</v>
      </c>
      <c r="U1555" s="20">
        <f>Registro[[#This Row],[Mes 4]]+Registro[[#This Row],[Mes 5]]+Registro[[#This Row],[Mes 6]]</f>
        <v>0</v>
      </c>
      <c r="V1555" s="20">
        <f>Registro[[#This Row],[Mes 7]]+Registro[[#This Row],[Mes 8]]+Registro[[#This Row],[Mes 9]]</f>
        <v>0</v>
      </c>
      <c r="W1555" s="20">
        <f>Registro[[#This Row],[Mes 10]]+Registro[[#This Row],[Mes 11]]+Registro[[#This Row],[Mes 12]]</f>
        <v>0</v>
      </c>
      <c r="X1555" s="20">
        <f>SUM(Registro[[#This Row],[Trim I]],Registro[[#This Row],[Trim II]],Registro[[#This Row],[Trim III]],Registro[[#This Row],[Trim IV]])</f>
        <v>0</v>
      </c>
      <c r="Y1555" s="22">
        <f>IFERROR((Registro[[#This Row],[Avance Total]]/Registro[[#This Row],[Meta]]),0)</f>
        <v>0</v>
      </c>
      <c r="Z1555" s="22">
        <f>IFERROR((Registro[[#This Row],[Avance Total]]-Registro[[#This Row],[Línea Base 2025]])/Registro[[#This Row],[Línea Base 2025]],0)</f>
        <v>-1</v>
      </c>
      <c r="AA1555" s="20"/>
    </row>
    <row r="1556" spans="1:27" hidden="1">
      <c r="A1556">
        <v>1120</v>
      </c>
      <c r="B1556" t="s">
        <v>136</v>
      </c>
      <c r="C1556" s="16">
        <v>118</v>
      </c>
      <c r="D1556" s="16" t="s">
        <v>188</v>
      </c>
      <c r="E1556" s="17" t="s">
        <v>9</v>
      </c>
      <c r="F1556" s="24">
        <v>0</v>
      </c>
      <c r="G1556" s="19">
        <v>3</v>
      </c>
      <c r="H1556" s="19">
        <v>0</v>
      </c>
      <c r="I1556" s="19">
        <v>0</v>
      </c>
      <c r="T1556" s="20">
        <f>Registro[[#This Row],[Mes 1]]+Registro[[#This Row],[Mes 2]]+Registro[[#This Row],[Mes 3]]</f>
        <v>0</v>
      </c>
      <c r="U1556" s="20">
        <f>Registro[[#This Row],[Mes 4]]+Registro[[#This Row],[Mes 5]]+Registro[[#This Row],[Mes 6]]</f>
        <v>0</v>
      </c>
      <c r="V1556" s="20">
        <f>Registro[[#This Row],[Mes 7]]+Registro[[#This Row],[Mes 8]]+Registro[[#This Row],[Mes 9]]</f>
        <v>0</v>
      </c>
      <c r="W1556" s="20">
        <f>Registro[[#This Row],[Mes 10]]+Registro[[#This Row],[Mes 11]]+Registro[[#This Row],[Mes 12]]</f>
        <v>0</v>
      </c>
      <c r="X1556" s="20">
        <f>SUM(Registro[[#This Row],[Trim I]],Registro[[#This Row],[Trim II]],Registro[[#This Row],[Trim III]],Registro[[#This Row],[Trim IV]])</f>
        <v>0</v>
      </c>
      <c r="Y1556" s="22">
        <f>IFERROR((Registro[[#This Row],[Avance Total]]/Registro[[#This Row],[Meta]]),0)</f>
        <v>0</v>
      </c>
      <c r="Z1556" s="22">
        <f>IFERROR((Registro[[#This Row],[Avance Total]]-Registro[[#This Row],[Línea Base 2025]])/Registro[[#This Row],[Línea Base 2025]],0)</f>
        <v>0</v>
      </c>
      <c r="AA1556" s="20"/>
    </row>
    <row r="1557" spans="1:27" hidden="1">
      <c r="A1557">
        <v>1120</v>
      </c>
      <c r="B1557" t="s">
        <v>136</v>
      </c>
      <c r="C1557" s="16">
        <v>119</v>
      </c>
      <c r="D1557" s="16" t="s">
        <v>190</v>
      </c>
      <c r="E1557" s="17" t="s">
        <v>189</v>
      </c>
      <c r="F1557" s="24">
        <v>0</v>
      </c>
      <c r="G1557" s="19">
        <v>1</v>
      </c>
      <c r="H1557" s="19">
        <v>0</v>
      </c>
      <c r="I1557" s="19">
        <v>0</v>
      </c>
      <c r="T1557" s="20">
        <f>Registro[[#This Row],[Mes 1]]+Registro[[#This Row],[Mes 2]]+Registro[[#This Row],[Mes 3]]</f>
        <v>0</v>
      </c>
      <c r="U1557" s="20">
        <f>Registro[[#This Row],[Mes 4]]+Registro[[#This Row],[Mes 5]]+Registro[[#This Row],[Mes 6]]</f>
        <v>0</v>
      </c>
      <c r="V1557" s="20">
        <f>Registro[[#This Row],[Mes 7]]+Registro[[#This Row],[Mes 8]]+Registro[[#This Row],[Mes 9]]</f>
        <v>0</v>
      </c>
      <c r="W1557" s="20">
        <f>Registro[[#This Row],[Mes 10]]+Registro[[#This Row],[Mes 11]]+Registro[[#This Row],[Mes 12]]</f>
        <v>0</v>
      </c>
      <c r="X1557" s="20">
        <f>SUM(Registro[[#This Row],[Trim I]],Registro[[#This Row],[Trim II]],Registro[[#This Row],[Trim III]],Registro[[#This Row],[Trim IV]])</f>
        <v>0</v>
      </c>
      <c r="Y1557" s="22">
        <f>IFERROR((Registro[[#This Row],[Avance Total]]/Registro[[#This Row],[Meta]]),0)</f>
        <v>0</v>
      </c>
      <c r="Z1557" s="22">
        <f>IFERROR((Registro[[#This Row],[Avance Total]]-Registro[[#This Row],[Línea Base 2025]])/Registro[[#This Row],[Línea Base 2025]],0)</f>
        <v>0</v>
      </c>
      <c r="AA1557" s="20"/>
    </row>
    <row r="1558" spans="1:27" hidden="1">
      <c r="A1558">
        <v>1120</v>
      </c>
      <c r="B1558" t="s">
        <v>136</v>
      </c>
      <c r="C1558" s="16">
        <v>120</v>
      </c>
      <c r="D1558" s="16" t="s">
        <v>192</v>
      </c>
      <c r="E1558" s="17" t="s">
        <v>191</v>
      </c>
      <c r="F1558" s="24">
        <v>0</v>
      </c>
      <c r="G1558" s="19">
        <v>5</v>
      </c>
      <c r="H1558" s="19">
        <v>0</v>
      </c>
      <c r="I1558" s="19">
        <v>0</v>
      </c>
      <c r="T1558" s="20">
        <f>Registro[[#This Row],[Mes 1]]+Registro[[#This Row],[Mes 2]]+Registro[[#This Row],[Mes 3]]</f>
        <v>0</v>
      </c>
      <c r="U1558" s="20">
        <f>Registro[[#This Row],[Mes 4]]+Registro[[#This Row],[Mes 5]]+Registro[[#This Row],[Mes 6]]</f>
        <v>0</v>
      </c>
      <c r="V1558" s="20">
        <f>Registro[[#This Row],[Mes 7]]+Registro[[#This Row],[Mes 8]]+Registro[[#This Row],[Mes 9]]</f>
        <v>0</v>
      </c>
      <c r="W1558" s="20">
        <f>Registro[[#This Row],[Mes 10]]+Registro[[#This Row],[Mes 11]]+Registro[[#This Row],[Mes 12]]</f>
        <v>0</v>
      </c>
      <c r="X1558" s="20">
        <f>SUM(Registro[[#This Row],[Trim I]],Registro[[#This Row],[Trim II]],Registro[[#This Row],[Trim III]],Registro[[#This Row],[Trim IV]])</f>
        <v>0</v>
      </c>
      <c r="Y1558" s="22">
        <f>IFERROR((Registro[[#This Row],[Avance Total]]/Registro[[#This Row],[Meta]]),0)</f>
        <v>0</v>
      </c>
      <c r="Z1558" s="22">
        <f>IFERROR((Registro[[#This Row],[Avance Total]]-Registro[[#This Row],[Línea Base 2025]])/Registro[[#This Row],[Línea Base 2025]],0)</f>
        <v>0</v>
      </c>
      <c r="AA1558" s="20"/>
    </row>
    <row r="1559" spans="1:27" hidden="1">
      <c r="A1559">
        <v>1120</v>
      </c>
      <c r="B1559" t="s">
        <v>136</v>
      </c>
      <c r="C1559" s="16">
        <v>121</v>
      </c>
      <c r="D1559" s="16" t="s">
        <v>194</v>
      </c>
      <c r="E1559" s="17" t="s">
        <v>193</v>
      </c>
      <c r="F1559" s="24">
        <v>2</v>
      </c>
      <c r="G1559" s="19">
        <v>9</v>
      </c>
      <c r="H1559" s="19">
        <v>0</v>
      </c>
      <c r="I1559" s="19">
        <v>0</v>
      </c>
      <c r="T1559" s="20">
        <f>Registro[[#This Row],[Mes 1]]+Registro[[#This Row],[Mes 2]]+Registro[[#This Row],[Mes 3]]</f>
        <v>0</v>
      </c>
      <c r="U1559" s="20">
        <f>Registro[[#This Row],[Mes 4]]+Registro[[#This Row],[Mes 5]]+Registro[[#This Row],[Mes 6]]</f>
        <v>0</v>
      </c>
      <c r="V1559" s="20">
        <f>Registro[[#This Row],[Mes 7]]+Registro[[#This Row],[Mes 8]]+Registro[[#This Row],[Mes 9]]</f>
        <v>0</v>
      </c>
      <c r="W1559" s="20">
        <f>Registro[[#This Row],[Mes 10]]+Registro[[#This Row],[Mes 11]]+Registro[[#This Row],[Mes 12]]</f>
        <v>0</v>
      </c>
      <c r="X1559" s="20">
        <f>SUM(Registro[[#This Row],[Trim I]],Registro[[#This Row],[Trim II]],Registro[[#This Row],[Trim III]],Registro[[#This Row],[Trim IV]])</f>
        <v>0</v>
      </c>
      <c r="Y1559" s="22">
        <f>IFERROR((Registro[[#This Row],[Avance Total]]/Registro[[#This Row],[Meta]]),0)</f>
        <v>0</v>
      </c>
      <c r="Z1559" s="22">
        <f>IFERROR((Registro[[#This Row],[Avance Total]]-Registro[[#This Row],[Línea Base 2025]])/Registro[[#This Row],[Línea Base 2025]],0)</f>
        <v>-1</v>
      </c>
      <c r="AA1559" s="20"/>
    </row>
    <row r="1560" spans="1:27" hidden="1">
      <c r="A1560">
        <v>1120</v>
      </c>
      <c r="B1560" t="s">
        <v>136</v>
      </c>
      <c r="C1560" s="16">
        <v>122</v>
      </c>
      <c r="D1560" s="16" t="s">
        <v>196</v>
      </c>
      <c r="E1560" s="17" t="s">
        <v>195</v>
      </c>
      <c r="F1560" s="24">
        <v>0</v>
      </c>
      <c r="G1560" s="19">
        <v>1</v>
      </c>
      <c r="H1560" s="19">
        <v>0</v>
      </c>
      <c r="I1560" s="19">
        <v>0</v>
      </c>
      <c r="T1560" s="20">
        <f>Registro[[#This Row],[Mes 1]]+Registro[[#This Row],[Mes 2]]+Registro[[#This Row],[Mes 3]]</f>
        <v>0</v>
      </c>
      <c r="U1560" s="20">
        <f>Registro[[#This Row],[Mes 4]]+Registro[[#This Row],[Mes 5]]+Registro[[#This Row],[Mes 6]]</f>
        <v>0</v>
      </c>
      <c r="V1560" s="20">
        <f>Registro[[#This Row],[Mes 7]]+Registro[[#This Row],[Mes 8]]+Registro[[#This Row],[Mes 9]]</f>
        <v>0</v>
      </c>
      <c r="W1560" s="20">
        <f>Registro[[#This Row],[Mes 10]]+Registro[[#This Row],[Mes 11]]+Registro[[#This Row],[Mes 12]]</f>
        <v>0</v>
      </c>
      <c r="X1560" s="20">
        <f>SUM(Registro[[#This Row],[Trim I]],Registro[[#This Row],[Trim II]],Registro[[#This Row],[Trim III]],Registro[[#This Row],[Trim IV]])</f>
        <v>0</v>
      </c>
      <c r="Y1560" s="22">
        <f>IFERROR((Registro[[#This Row],[Avance Total]]/Registro[[#This Row],[Meta]]),0)</f>
        <v>0</v>
      </c>
      <c r="Z1560" s="22">
        <f>IFERROR((Registro[[#This Row],[Avance Total]]-Registro[[#This Row],[Línea Base 2025]])/Registro[[#This Row],[Línea Base 2025]],0)</f>
        <v>0</v>
      </c>
      <c r="AA1560" s="20"/>
    </row>
    <row r="1561" spans="1:27" hidden="1">
      <c r="A1561">
        <v>1120</v>
      </c>
      <c r="B1561" t="s">
        <v>136</v>
      </c>
      <c r="C1561" s="26">
        <v>123</v>
      </c>
      <c r="D1561" s="26" t="s">
        <v>198</v>
      </c>
      <c r="E1561" s="17" t="s">
        <v>197</v>
      </c>
      <c r="F1561" s="32">
        <v>0</v>
      </c>
      <c r="G1561" s="28">
        <v>1</v>
      </c>
      <c r="H1561" s="28">
        <v>0</v>
      </c>
      <c r="I1561" s="28">
        <v>0</v>
      </c>
      <c r="J1561" s="27"/>
      <c r="K1561" s="27"/>
      <c r="L1561" s="27"/>
      <c r="M1561" s="27"/>
      <c r="N1561" s="27"/>
      <c r="O1561" s="27"/>
      <c r="P1561" s="27"/>
      <c r="Q1561" s="27"/>
      <c r="R1561" s="27"/>
      <c r="S1561" s="27"/>
      <c r="T1561" s="29">
        <f>Registro[[#This Row],[Mes 1]]+Registro[[#This Row],[Mes 2]]+Registro[[#This Row],[Mes 3]]</f>
        <v>0</v>
      </c>
      <c r="U1561" s="29">
        <f>Registro[[#This Row],[Mes 4]]+Registro[[#This Row],[Mes 5]]+Registro[[#This Row],[Mes 6]]</f>
        <v>0</v>
      </c>
      <c r="V1561" s="29">
        <f>Registro[[#This Row],[Mes 7]]+Registro[[#This Row],[Mes 8]]+Registro[[#This Row],[Mes 9]]</f>
        <v>0</v>
      </c>
      <c r="W1561" s="29">
        <f>Registro[[#This Row],[Mes 10]]+Registro[[#This Row],[Mes 11]]+Registro[[#This Row],[Mes 12]]</f>
        <v>0</v>
      </c>
      <c r="X1561" s="29">
        <f>SUM(Registro[[#This Row],[Trim I]],Registro[[#This Row],[Trim II]],Registro[[#This Row],[Trim III]],Registro[[#This Row],[Trim IV]])</f>
        <v>0</v>
      </c>
      <c r="Y1561" s="30">
        <f>IFERROR((Registro[[#This Row],[Avance Total]]/Registro[[#This Row],[Meta]]),0)</f>
        <v>0</v>
      </c>
      <c r="Z1561" s="30">
        <f>IFERROR((Registro[[#This Row],[Avance Total]]-Registro[[#This Row],[Línea Base 2025]])/Registro[[#This Row],[Línea Base 2025]],0)</f>
        <v>0</v>
      </c>
      <c r="AA1561" s="29"/>
    </row>
    <row r="1562" spans="1:27" hidden="1">
      <c r="A1562">
        <v>1121</v>
      </c>
      <c r="B1562" t="s">
        <v>137</v>
      </c>
      <c r="C1562" s="16">
        <v>111</v>
      </c>
      <c r="D1562" s="16" t="s">
        <v>171</v>
      </c>
      <c r="E1562" s="17" t="s">
        <v>172</v>
      </c>
      <c r="F1562" s="24">
        <v>19</v>
      </c>
      <c r="G1562" s="19">
        <v>104</v>
      </c>
      <c r="H1562" s="19">
        <v>0</v>
      </c>
      <c r="I1562" s="19">
        <v>1</v>
      </c>
      <c r="T1562" s="20">
        <f>Registro[[#This Row],[Mes 1]]+Registro[[#This Row],[Mes 2]]+Registro[[#This Row],[Mes 3]]</f>
        <v>1</v>
      </c>
      <c r="U1562" s="20">
        <f>Registro[[#This Row],[Mes 4]]+Registro[[#This Row],[Mes 5]]+Registro[[#This Row],[Mes 6]]</f>
        <v>0</v>
      </c>
      <c r="V1562" s="20">
        <f>Registro[[#This Row],[Mes 7]]+Registro[[#This Row],[Mes 8]]+Registro[[#This Row],[Mes 9]]</f>
        <v>0</v>
      </c>
      <c r="W1562" s="20">
        <f>Registro[[#This Row],[Mes 10]]+Registro[[#This Row],[Mes 11]]+Registro[[#This Row],[Mes 12]]</f>
        <v>0</v>
      </c>
      <c r="X1562" s="20">
        <f>SUM(Registro[[#This Row],[Trim I]],Registro[[#This Row],[Trim II]],Registro[[#This Row],[Trim III]],Registro[[#This Row],[Trim IV]])</f>
        <v>1</v>
      </c>
      <c r="Y1562" s="22">
        <f>IFERROR((Registro[[#This Row],[Avance Total]]/Registro[[#This Row],[Meta]]),0)</f>
        <v>9.6153846153846159E-3</v>
      </c>
      <c r="Z1562" s="22">
        <f>IFERROR((Registro[[#This Row],[Avance Total]]-Registro[[#This Row],[Línea Base 2025]])/Registro[[#This Row],[Línea Base 2025]],0)</f>
        <v>-0.94736842105263153</v>
      </c>
      <c r="AA1562" s="20"/>
    </row>
    <row r="1563" spans="1:27" hidden="1">
      <c r="A1563">
        <v>1121</v>
      </c>
      <c r="B1563" t="s">
        <v>137</v>
      </c>
      <c r="C1563" s="16">
        <v>112</v>
      </c>
      <c r="D1563" s="16" t="s">
        <v>173</v>
      </c>
      <c r="E1563" s="17" t="s">
        <v>7</v>
      </c>
      <c r="F1563" s="24">
        <v>5</v>
      </c>
      <c r="G1563" s="19">
        <v>37</v>
      </c>
      <c r="H1563" s="19">
        <v>0</v>
      </c>
      <c r="I1563" s="19">
        <v>0</v>
      </c>
      <c r="T1563" s="20">
        <f>Registro[[#This Row],[Mes 1]]+Registro[[#This Row],[Mes 2]]+Registro[[#This Row],[Mes 3]]</f>
        <v>0</v>
      </c>
      <c r="U1563" s="20">
        <f>Registro[[#This Row],[Mes 4]]+Registro[[#This Row],[Mes 5]]+Registro[[#This Row],[Mes 6]]</f>
        <v>0</v>
      </c>
      <c r="V1563" s="20">
        <f>Registro[[#This Row],[Mes 7]]+Registro[[#This Row],[Mes 8]]+Registro[[#This Row],[Mes 9]]</f>
        <v>0</v>
      </c>
      <c r="W1563" s="20">
        <f>Registro[[#This Row],[Mes 10]]+Registro[[#This Row],[Mes 11]]+Registro[[#This Row],[Mes 12]]</f>
        <v>0</v>
      </c>
      <c r="X1563" s="20">
        <f>SUM(Registro[[#This Row],[Trim I]],Registro[[#This Row],[Trim II]],Registro[[#This Row],[Trim III]],Registro[[#This Row],[Trim IV]])</f>
        <v>0</v>
      </c>
      <c r="Y1563" s="22">
        <f>IFERROR((Registro[[#This Row],[Avance Total]]/Registro[[#This Row],[Meta]]),0)</f>
        <v>0</v>
      </c>
      <c r="Z1563" s="22">
        <f>IFERROR((Registro[[#This Row],[Avance Total]]-Registro[[#This Row],[Línea Base 2025]])/Registro[[#This Row],[Línea Base 2025]],0)</f>
        <v>-1</v>
      </c>
      <c r="AA1563" s="20"/>
    </row>
    <row r="1564" spans="1:27" hidden="1">
      <c r="A1564">
        <v>1121</v>
      </c>
      <c r="B1564" t="s">
        <v>137</v>
      </c>
      <c r="C1564" s="16">
        <v>113</v>
      </c>
      <c r="D1564" s="16" t="s">
        <v>179</v>
      </c>
      <c r="E1564" s="17" t="s">
        <v>178</v>
      </c>
      <c r="F1564" s="24">
        <v>19</v>
      </c>
      <c r="G1564" s="19">
        <v>144</v>
      </c>
      <c r="H1564" s="19">
        <v>1</v>
      </c>
      <c r="I1564" s="19">
        <v>0</v>
      </c>
      <c r="T1564" s="20">
        <f>Registro[[#This Row],[Mes 1]]+Registro[[#This Row],[Mes 2]]+Registro[[#This Row],[Mes 3]]</f>
        <v>1</v>
      </c>
      <c r="U1564" s="20">
        <f>Registro[[#This Row],[Mes 4]]+Registro[[#This Row],[Mes 5]]+Registro[[#This Row],[Mes 6]]</f>
        <v>0</v>
      </c>
      <c r="V1564" s="20">
        <f>Registro[[#This Row],[Mes 7]]+Registro[[#This Row],[Mes 8]]+Registro[[#This Row],[Mes 9]]</f>
        <v>0</v>
      </c>
      <c r="W1564" s="20">
        <f>Registro[[#This Row],[Mes 10]]+Registro[[#This Row],[Mes 11]]+Registro[[#This Row],[Mes 12]]</f>
        <v>0</v>
      </c>
      <c r="X1564" s="20">
        <f>SUM(Registro[[#This Row],[Trim I]],Registro[[#This Row],[Trim II]],Registro[[#This Row],[Trim III]],Registro[[#This Row],[Trim IV]])</f>
        <v>1</v>
      </c>
      <c r="Y1564" s="22">
        <f>IFERROR((Registro[[#This Row],[Avance Total]]/Registro[[#This Row],[Meta]]),0)</f>
        <v>6.9444444444444441E-3</v>
      </c>
      <c r="Z1564" s="22">
        <f>IFERROR((Registro[[#This Row],[Avance Total]]-Registro[[#This Row],[Línea Base 2025]])/Registro[[#This Row],[Línea Base 2025]],0)</f>
        <v>-0.94736842105263153</v>
      </c>
      <c r="AA1564" s="20"/>
    </row>
    <row r="1565" spans="1:27" hidden="1">
      <c r="A1565">
        <v>1121</v>
      </c>
      <c r="B1565" t="s">
        <v>137</v>
      </c>
      <c r="C1565" s="16">
        <v>114</v>
      </c>
      <c r="D1565" s="16" t="s">
        <v>181</v>
      </c>
      <c r="E1565" s="17" t="s">
        <v>180</v>
      </c>
      <c r="F1565" s="24">
        <v>0</v>
      </c>
      <c r="G1565" s="19">
        <v>1</v>
      </c>
      <c r="H1565" s="19">
        <v>0</v>
      </c>
      <c r="I1565" s="19">
        <v>0</v>
      </c>
      <c r="T1565" s="20">
        <f>Registro[[#This Row],[Mes 1]]+Registro[[#This Row],[Mes 2]]+Registro[[#This Row],[Mes 3]]</f>
        <v>0</v>
      </c>
      <c r="U1565" s="20">
        <f>Registro[[#This Row],[Mes 4]]+Registro[[#This Row],[Mes 5]]+Registro[[#This Row],[Mes 6]]</f>
        <v>0</v>
      </c>
      <c r="V1565" s="20">
        <f>Registro[[#This Row],[Mes 7]]+Registro[[#This Row],[Mes 8]]+Registro[[#This Row],[Mes 9]]</f>
        <v>0</v>
      </c>
      <c r="W1565" s="20">
        <f>Registro[[#This Row],[Mes 10]]+Registro[[#This Row],[Mes 11]]+Registro[[#This Row],[Mes 12]]</f>
        <v>0</v>
      </c>
      <c r="X1565" s="20">
        <f>SUM(Registro[[#This Row],[Trim I]],Registro[[#This Row],[Trim II]],Registro[[#This Row],[Trim III]],Registro[[#This Row],[Trim IV]])</f>
        <v>0</v>
      </c>
      <c r="Y1565" s="22">
        <f>IFERROR((Registro[[#This Row],[Avance Total]]/Registro[[#This Row],[Meta]]),0)</f>
        <v>0</v>
      </c>
      <c r="Z1565" s="22">
        <f>IFERROR((Registro[[#This Row],[Avance Total]]-Registro[[#This Row],[Línea Base 2025]])/Registro[[#This Row],[Línea Base 2025]],0)</f>
        <v>0</v>
      </c>
      <c r="AA1565" s="20"/>
    </row>
    <row r="1566" spans="1:27" hidden="1">
      <c r="A1566">
        <v>1121</v>
      </c>
      <c r="B1566" t="s">
        <v>137</v>
      </c>
      <c r="C1566" s="16">
        <v>115</v>
      </c>
      <c r="D1566" s="16" t="s">
        <v>183</v>
      </c>
      <c r="E1566" s="17" t="s">
        <v>182</v>
      </c>
      <c r="F1566" s="24">
        <v>14</v>
      </c>
      <c r="G1566" s="19">
        <v>1</v>
      </c>
      <c r="H1566" s="19">
        <v>0</v>
      </c>
      <c r="I1566" s="19">
        <v>0</v>
      </c>
      <c r="T1566" s="20">
        <f>Registro[[#This Row],[Mes 1]]+Registro[[#This Row],[Mes 2]]+Registro[[#This Row],[Mes 3]]</f>
        <v>0</v>
      </c>
      <c r="U1566" s="20">
        <f>Registro[[#This Row],[Mes 4]]+Registro[[#This Row],[Mes 5]]+Registro[[#This Row],[Mes 6]]</f>
        <v>0</v>
      </c>
      <c r="V1566" s="20">
        <f>Registro[[#This Row],[Mes 7]]+Registro[[#This Row],[Mes 8]]+Registro[[#This Row],[Mes 9]]</f>
        <v>0</v>
      </c>
      <c r="W1566" s="20">
        <f>Registro[[#This Row],[Mes 10]]+Registro[[#This Row],[Mes 11]]+Registro[[#This Row],[Mes 12]]</f>
        <v>0</v>
      </c>
      <c r="X1566" s="20">
        <f>SUM(Registro[[#This Row],[Trim I]],Registro[[#This Row],[Trim II]],Registro[[#This Row],[Trim III]],Registro[[#This Row],[Trim IV]])</f>
        <v>0</v>
      </c>
      <c r="Y1566" s="22">
        <f>IFERROR((Registro[[#This Row],[Avance Total]]/Registro[[#This Row],[Meta]]),0)</f>
        <v>0</v>
      </c>
      <c r="Z1566" s="22">
        <f>IFERROR((Registro[[#This Row],[Avance Total]]-Registro[[#This Row],[Línea Base 2025]])/Registro[[#This Row],[Línea Base 2025]],0)</f>
        <v>-1</v>
      </c>
      <c r="AA1566" s="20"/>
    </row>
    <row r="1567" spans="1:27">
      <c r="A1567">
        <v>1121</v>
      </c>
      <c r="B1567" t="s">
        <v>137</v>
      </c>
      <c r="C1567" s="16">
        <v>116</v>
      </c>
      <c r="D1567" s="16" t="s">
        <v>185</v>
      </c>
      <c r="E1567" s="17" t="s">
        <v>184</v>
      </c>
      <c r="F1567" s="24">
        <v>1</v>
      </c>
      <c r="G1567" s="19">
        <v>3</v>
      </c>
      <c r="H1567" s="19">
        <v>0</v>
      </c>
      <c r="I1567" s="19">
        <v>0</v>
      </c>
      <c r="T1567" s="20">
        <f>Registro[[#This Row],[Mes 1]]+Registro[[#This Row],[Mes 2]]+Registro[[#This Row],[Mes 3]]</f>
        <v>0</v>
      </c>
      <c r="U1567" s="20">
        <f>Registro[[#This Row],[Mes 4]]+Registro[[#This Row],[Mes 5]]+Registro[[#This Row],[Mes 6]]</f>
        <v>0</v>
      </c>
      <c r="V1567" s="20">
        <f>Registro[[#This Row],[Mes 7]]+Registro[[#This Row],[Mes 8]]+Registro[[#This Row],[Mes 9]]</f>
        <v>0</v>
      </c>
      <c r="W1567" s="20">
        <f>Registro[[#This Row],[Mes 10]]+Registro[[#This Row],[Mes 11]]+Registro[[#This Row],[Mes 12]]</f>
        <v>0</v>
      </c>
      <c r="X1567" s="20">
        <f>SUM(Registro[[#This Row],[Trim I]],Registro[[#This Row],[Trim II]],Registro[[#This Row],[Trim III]],Registro[[#This Row],[Trim IV]])</f>
        <v>0</v>
      </c>
      <c r="Y1567" s="22">
        <f>IFERROR((Registro[[#This Row],[Avance Total]]/Registro[[#This Row],[Meta]]),0)</f>
        <v>0</v>
      </c>
      <c r="Z1567" s="22">
        <f>IFERROR((Registro[[#This Row],[Avance Total]]-Registro[[#This Row],[Línea Base 2025]])/Registro[[#This Row],[Línea Base 2025]],0)</f>
        <v>-1</v>
      </c>
      <c r="AA1567" s="20"/>
    </row>
    <row r="1568" spans="1:27" hidden="1">
      <c r="A1568">
        <v>1121</v>
      </c>
      <c r="B1568" t="s">
        <v>137</v>
      </c>
      <c r="C1568" s="16">
        <v>117</v>
      </c>
      <c r="D1568" s="16" t="s">
        <v>187</v>
      </c>
      <c r="E1568" s="17" t="s">
        <v>186</v>
      </c>
      <c r="F1568" s="24">
        <v>0</v>
      </c>
      <c r="G1568" s="19">
        <v>1</v>
      </c>
      <c r="H1568" s="19">
        <v>0</v>
      </c>
      <c r="I1568" s="19">
        <v>0</v>
      </c>
      <c r="T1568" s="20">
        <f>Registro[[#This Row],[Mes 1]]+Registro[[#This Row],[Mes 2]]+Registro[[#This Row],[Mes 3]]</f>
        <v>0</v>
      </c>
      <c r="U1568" s="20">
        <f>Registro[[#This Row],[Mes 4]]+Registro[[#This Row],[Mes 5]]+Registro[[#This Row],[Mes 6]]</f>
        <v>0</v>
      </c>
      <c r="V1568" s="20">
        <f>Registro[[#This Row],[Mes 7]]+Registro[[#This Row],[Mes 8]]+Registro[[#This Row],[Mes 9]]</f>
        <v>0</v>
      </c>
      <c r="W1568" s="20">
        <f>Registro[[#This Row],[Mes 10]]+Registro[[#This Row],[Mes 11]]+Registro[[#This Row],[Mes 12]]</f>
        <v>0</v>
      </c>
      <c r="X1568" s="20">
        <f>SUM(Registro[[#This Row],[Trim I]],Registro[[#This Row],[Trim II]],Registro[[#This Row],[Trim III]],Registro[[#This Row],[Trim IV]])</f>
        <v>0</v>
      </c>
      <c r="Y1568" s="22">
        <f>IFERROR((Registro[[#This Row],[Avance Total]]/Registro[[#This Row],[Meta]]),0)</f>
        <v>0</v>
      </c>
      <c r="Z1568" s="22">
        <f>IFERROR((Registro[[#This Row],[Avance Total]]-Registro[[#This Row],[Línea Base 2025]])/Registro[[#This Row],[Línea Base 2025]],0)</f>
        <v>0</v>
      </c>
      <c r="AA1568" s="20"/>
    </row>
    <row r="1569" spans="1:27" hidden="1">
      <c r="A1569">
        <v>1121</v>
      </c>
      <c r="B1569" t="s">
        <v>137</v>
      </c>
      <c r="C1569" s="16">
        <v>118</v>
      </c>
      <c r="D1569" s="16" t="s">
        <v>188</v>
      </c>
      <c r="E1569" s="17" t="s">
        <v>9</v>
      </c>
      <c r="F1569" s="24">
        <v>0</v>
      </c>
      <c r="G1569" s="19">
        <v>3</v>
      </c>
      <c r="H1569" s="19">
        <v>0</v>
      </c>
      <c r="I1569" s="19">
        <v>0</v>
      </c>
      <c r="T1569" s="20">
        <f>Registro[[#This Row],[Mes 1]]+Registro[[#This Row],[Mes 2]]+Registro[[#This Row],[Mes 3]]</f>
        <v>0</v>
      </c>
      <c r="U1569" s="20">
        <f>Registro[[#This Row],[Mes 4]]+Registro[[#This Row],[Mes 5]]+Registro[[#This Row],[Mes 6]]</f>
        <v>0</v>
      </c>
      <c r="V1569" s="20">
        <f>Registro[[#This Row],[Mes 7]]+Registro[[#This Row],[Mes 8]]+Registro[[#This Row],[Mes 9]]</f>
        <v>0</v>
      </c>
      <c r="W1569" s="20">
        <f>Registro[[#This Row],[Mes 10]]+Registro[[#This Row],[Mes 11]]+Registro[[#This Row],[Mes 12]]</f>
        <v>0</v>
      </c>
      <c r="X1569" s="20">
        <f>SUM(Registro[[#This Row],[Trim I]],Registro[[#This Row],[Trim II]],Registro[[#This Row],[Trim III]],Registro[[#This Row],[Trim IV]])</f>
        <v>0</v>
      </c>
      <c r="Y1569" s="22">
        <f>IFERROR((Registro[[#This Row],[Avance Total]]/Registro[[#This Row],[Meta]]),0)</f>
        <v>0</v>
      </c>
      <c r="Z1569" s="22">
        <f>IFERROR((Registro[[#This Row],[Avance Total]]-Registro[[#This Row],[Línea Base 2025]])/Registro[[#This Row],[Línea Base 2025]],0)</f>
        <v>0</v>
      </c>
      <c r="AA1569" s="20"/>
    </row>
    <row r="1570" spans="1:27" hidden="1">
      <c r="A1570">
        <v>1121</v>
      </c>
      <c r="B1570" t="s">
        <v>137</v>
      </c>
      <c r="C1570" s="16">
        <v>119</v>
      </c>
      <c r="D1570" s="16" t="s">
        <v>190</v>
      </c>
      <c r="E1570" s="17" t="s">
        <v>189</v>
      </c>
      <c r="F1570" s="24">
        <v>0</v>
      </c>
      <c r="G1570" s="19">
        <v>2</v>
      </c>
      <c r="H1570" s="19">
        <v>0</v>
      </c>
      <c r="I1570" s="19">
        <v>0</v>
      </c>
      <c r="T1570" s="20">
        <f>Registro[[#This Row],[Mes 1]]+Registro[[#This Row],[Mes 2]]+Registro[[#This Row],[Mes 3]]</f>
        <v>0</v>
      </c>
      <c r="U1570" s="20">
        <f>Registro[[#This Row],[Mes 4]]+Registro[[#This Row],[Mes 5]]+Registro[[#This Row],[Mes 6]]</f>
        <v>0</v>
      </c>
      <c r="V1570" s="20">
        <f>Registro[[#This Row],[Mes 7]]+Registro[[#This Row],[Mes 8]]+Registro[[#This Row],[Mes 9]]</f>
        <v>0</v>
      </c>
      <c r="W1570" s="20">
        <f>Registro[[#This Row],[Mes 10]]+Registro[[#This Row],[Mes 11]]+Registro[[#This Row],[Mes 12]]</f>
        <v>0</v>
      </c>
      <c r="X1570" s="20">
        <f>SUM(Registro[[#This Row],[Trim I]],Registro[[#This Row],[Trim II]],Registro[[#This Row],[Trim III]],Registro[[#This Row],[Trim IV]])</f>
        <v>0</v>
      </c>
      <c r="Y1570" s="22">
        <f>IFERROR((Registro[[#This Row],[Avance Total]]/Registro[[#This Row],[Meta]]),0)</f>
        <v>0</v>
      </c>
      <c r="Z1570" s="22">
        <f>IFERROR((Registro[[#This Row],[Avance Total]]-Registro[[#This Row],[Línea Base 2025]])/Registro[[#This Row],[Línea Base 2025]],0)</f>
        <v>0</v>
      </c>
      <c r="AA1570" s="20"/>
    </row>
    <row r="1571" spans="1:27" hidden="1">
      <c r="A1571">
        <v>1121</v>
      </c>
      <c r="B1571" t="s">
        <v>137</v>
      </c>
      <c r="C1571" s="16">
        <v>120</v>
      </c>
      <c r="D1571" s="16" t="s">
        <v>192</v>
      </c>
      <c r="E1571" s="17" t="s">
        <v>191</v>
      </c>
      <c r="F1571" s="24">
        <v>7</v>
      </c>
      <c r="G1571" s="19">
        <v>3</v>
      </c>
      <c r="H1571" s="19">
        <v>0</v>
      </c>
      <c r="I1571" s="19">
        <v>0</v>
      </c>
      <c r="T1571" s="20">
        <f>Registro[[#This Row],[Mes 1]]+Registro[[#This Row],[Mes 2]]+Registro[[#This Row],[Mes 3]]</f>
        <v>0</v>
      </c>
      <c r="U1571" s="20">
        <f>Registro[[#This Row],[Mes 4]]+Registro[[#This Row],[Mes 5]]+Registro[[#This Row],[Mes 6]]</f>
        <v>0</v>
      </c>
      <c r="V1571" s="20">
        <f>Registro[[#This Row],[Mes 7]]+Registro[[#This Row],[Mes 8]]+Registro[[#This Row],[Mes 9]]</f>
        <v>0</v>
      </c>
      <c r="W1571" s="20">
        <f>Registro[[#This Row],[Mes 10]]+Registro[[#This Row],[Mes 11]]+Registro[[#This Row],[Mes 12]]</f>
        <v>0</v>
      </c>
      <c r="X1571" s="20">
        <f>SUM(Registro[[#This Row],[Trim I]],Registro[[#This Row],[Trim II]],Registro[[#This Row],[Trim III]],Registro[[#This Row],[Trim IV]])</f>
        <v>0</v>
      </c>
      <c r="Y1571" s="22">
        <f>IFERROR((Registro[[#This Row],[Avance Total]]/Registro[[#This Row],[Meta]]),0)</f>
        <v>0</v>
      </c>
      <c r="Z1571" s="22">
        <f>IFERROR((Registro[[#This Row],[Avance Total]]-Registro[[#This Row],[Línea Base 2025]])/Registro[[#This Row],[Línea Base 2025]],0)</f>
        <v>-1</v>
      </c>
      <c r="AA1571" s="20"/>
    </row>
    <row r="1572" spans="1:27" hidden="1">
      <c r="A1572">
        <v>1121</v>
      </c>
      <c r="B1572" t="s">
        <v>137</v>
      </c>
      <c r="C1572" s="16">
        <v>121</v>
      </c>
      <c r="D1572" s="16" t="s">
        <v>194</v>
      </c>
      <c r="E1572" s="17" t="s">
        <v>193</v>
      </c>
      <c r="F1572" s="24">
        <v>8</v>
      </c>
      <c r="G1572" s="19">
        <v>5</v>
      </c>
      <c r="H1572" s="19">
        <v>0</v>
      </c>
      <c r="I1572" s="19">
        <v>0</v>
      </c>
      <c r="T1572" s="20">
        <f>Registro[[#This Row],[Mes 1]]+Registro[[#This Row],[Mes 2]]+Registro[[#This Row],[Mes 3]]</f>
        <v>0</v>
      </c>
      <c r="U1572" s="20">
        <f>Registro[[#This Row],[Mes 4]]+Registro[[#This Row],[Mes 5]]+Registro[[#This Row],[Mes 6]]</f>
        <v>0</v>
      </c>
      <c r="V1572" s="20">
        <f>Registro[[#This Row],[Mes 7]]+Registro[[#This Row],[Mes 8]]+Registro[[#This Row],[Mes 9]]</f>
        <v>0</v>
      </c>
      <c r="W1572" s="20">
        <f>Registro[[#This Row],[Mes 10]]+Registro[[#This Row],[Mes 11]]+Registro[[#This Row],[Mes 12]]</f>
        <v>0</v>
      </c>
      <c r="X1572" s="20">
        <f>SUM(Registro[[#This Row],[Trim I]],Registro[[#This Row],[Trim II]],Registro[[#This Row],[Trim III]],Registro[[#This Row],[Trim IV]])</f>
        <v>0</v>
      </c>
      <c r="Y1572" s="22">
        <f>IFERROR((Registro[[#This Row],[Avance Total]]/Registro[[#This Row],[Meta]]),0)</f>
        <v>0</v>
      </c>
      <c r="Z1572" s="22">
        <f>IFERROR((Registro[[#This Row],[Avance Total]]-Registro[[#This Row],[Línea Base 2025]])/Registro[[#This Row],[Línea Base 2025]],0)</f>
        <v>-1</v>
      </c>
      <c r="AA1572" s="20"/>
    </row>
    <row r="1573" spans="1:27" hidden="1">
      <c r="A1573">
        <v>1121</v>
      </c>
      <c r="B1573" t="s">
        <v>137</v>
      </c>
      <c r="C1573" s="16">
        <v>122</v>
      </c>
      <c r="D1573" s="16" t="s">
        <v>196</v>
      </c>
      <c r="E1573" s="17" t="s">
        <v>195</v>
      </c>
      <c r="F1573" s="24">
        <v>6</v>
      </c>
      <c r="G1573" s="19">
        <v>5</v>
      </c>
      <c r="H1573" s="19">
        <v>0</v>
      </c>
      <c r="I1573" s="19">
        <v>0</v>
      </c>
      <c r="T1573" s="20">
        <f>Registro[[#This Row],[Mes 1]]+Registro[[#This Row],[Mes 2]]+Registro[[#This Row],[Mes 3]]</f>
        <v>0</v>
      </c>
      <c r="U1573" s="20">
        <f>Registro[[#This Row],[Mes 4]]+Registro[[#This Row],[Mes 5]]+Registro[[#This Row],[Mes 6]]</f>
        <v>0</v>
      </c>
      <c r="V1573" s="20">
        <f>Registro[[#This Row],[Mes 7]]+Registro[[#This Row],[Mes 8]]+Registro[[#This Row],[Mes 9]]</f>
        <v>0</v>
      </c>
      <c r="W1573" s="20">
        <f>Registro[[#This Row],[Mes 10]]+Registro[[#This Row],[Mes 11]]+Registro[[#This Row],[Mes 12]]</f>
        <v>0</v>
      </c>
      <c r="X1573" s="20">
        <f>SUM(Registro[[#This Row],[Trim I]],Registro[[#This Row],[Trim II]],Registro[[#This Row],[Trim III]],Registro[[#This Row],[Trim IV]])</f>
        <v>0</v>
      </c>
      <c r="Y1573" s="22">
        <f>IFERROR((Registro[[#This Row],[Avance Total]]/Registro[[#This Row],[Meta]]),0)</f>
        <v>0</v>
      </c>
      <c r="Z1573" s="22">
        <f>IFERROR((Registro[[#This Row],[Avance Total]]-Registro[[#This Row],[Línea Base 2025]])/Registro[[#This Row],[Línea Base 2025]],0)</f>
        <v>-1</v>
      </c>
      <c r="AA1573" s="20"/>
    </row>
    <row r="1574" spans="1:27" hidden="1">
      <c r="A1574">
        <v>1121</v>
      </c>
      <c r="B1574" t="s">
        <v>137</v>
      </c>
      <c r="C1574" s="26">
        <v>123</v>
      </c>
      <c r="D1574" s="26" t="s">
        <v>198</v>
      </c>
      <c r="E1574" s="17" t="s">
        <v>197</v>
      </c>
      <c r="F1574" s="32">
        <v>0</v>
      </c>
      <c r="G1574" s="28">
        <v>1</v>
      </c>
      <c r="H1574" s="28">
        <v>0</v>
      </c>
      <c r="I1574" s="28">
        <v>0</v>
      </c>
      <c r="J1574" s="27"/>
      <c r="K1574" s="27"/>
      <c r="L1574" s="27"/>
      <c r="M1574" s="27"/>
      <c r="N1574" s="27"/>
      <c r="O1574" s="27"/>
      <c r="P1574" s="27"/>
      <c r="Q1574" s="27"/>
      <c r="R1574" s="27"/>
      <c r="S1574" s="27"/>
      <c r="T1574" s="29">
        <f>Registro[[#This Row],[Mes 1]]+Registro[[#This Row],[Mes 2]]+Registro[[#This Row],[Mes 3]]</f>
        <v>0</v>
      </c>
      <c r="U1574" s="29">
        <f>Registro[[#This Row],[Mes 4]]+Registro[[#This Row],[Mes 5]]+Registro[[#This Row],[Mes 6]]</f>
        <v>0</v>
      </c>
      <c r="V1574" s="29">
        <f>Registro[[#This Row],[Mes 7]]+Registro[[#This Row],[Mes 8]]+Registro[[#This Row],[Mes 9]]</f>
        <v>0</v>
      </c>
      <c r="W1574" s="29">
        <f>Registro[[#This Row],[Mes 10]]+Registro[[#This Row],[Mes 11]]+Registro[[#This Row],[Mes 12]]</f>
        <v>0</v>
      </c>
      <c r="X1574" s="29">
        <f>SUM(Registro[[#This Row],[Trim I]],Registro[[#This Row],[Trim II]],Registro[[#This Row],[Trim III]],Registro[[#This Row],[Trim IV]])</f>
        <v>0</v>
      </c>
      <c r="Y1574" s="30">
        <f>IFERROR((Registro[[#This Row],[Avance Total]]/Registro[[#This Row],[Meta]]),0)</f>
        <v>0</v>
      </c>
      <c r="Z1574" s="30">
        <f>IFERROR((Registro[[#This Row],[Avance Total]]-Registro[[#This Row],[Línea Base 2025]])/Registro[[#This Row],[Línea Base 2025]],0)</f>
        <v>0</v>
      </c>
      <c r="AA1574" s="29"/>
    </row>
    <row r="1575" spans="1:27" hidden="1">
      <c r="A1575">
        <v>1122</v>
      </c>
      <c r="B1575" t="s">
        <v>13</v>
      </c>
      <c r="C1575" s="16">
        <v>111</v>
      </c>
      <c r="D1575" s="16" t="s">
        <v>171</v>
      </c>
      <c r="E1575" s="17" t="s">
        <v>172</v>
      </c>
      <c r="F1575" s="24">
        <v>2</v>
      </c>
      <c r="G1575" s="19">
        <v>50</v>
      </c>
      <c r="H1575" s="19">
        <v>0</v>
      </c>
      <c r="I1575" s="19">
        <v>4</v>
      </c>
      <c r="T1575" s="20">
        <f>Registro[[#This Row],[Mes 1]]+Registro[[#This Row],[Mes 2]]+Registro[[#This Row],[Mes 3]]</f>
        <v>4</v>
      </c>
      <c r="U1575" s="20">
        <f>Registro[[#This Row],[Mes 4]]+Registro[[#This Row],[Mes 5]]+Registro[[#This Row],[Mes 6]]</f>
        <v>0</v>
      </c>
      <c r="V1575" s="20">
        <f>Registro[[#This Row],[Mes 7]]+Registro[[#This Row],[Mes 8]]+Registro[[#This Row],[Mes 9]]</f>
        <v>0</v>
      </c>
      <c r="W1575" s="20">
        <f>Registro[[#This Row],[Mes 10]]+Registro[[#This Row],[Mes 11]]+Registro[[#This Row],[Mes 12]]</f>
        <v>0</v>
      </c>
      <c r="X1575" s="20">
        <f>SUM(Registro[[#This Row],[Trim I]],Registro[[#This Row],[Trim II]],Registro[[#This Row],[Trim III]],Registro[[#This Row],[Trim IV]])</f>
        <v>4</v>
      </c>
      <c r="Y1575" s="22">
        <f>IFERROR((Registro[[#This Row],[Avance Total]]/Registro[[#This Row],[Meta]]),0)</f>
        <v>0.08</v>
      </c>
      <c r="Z1575" s="22">
        <f>IFERROR((Registro[[#This Row],[Avance Total]]-Registro[[#This Row],[Línea Base 2025]])/Registro[[#This Row],[Línea Base 2025]],0)</f>
        <v>1</v>
      </c>
      <c r="AA1575" s="20"/>
    </row>
    <row r="1576" spans="1:27" hidden="1">
      <c r="A1576">
        <v>1122</v>
      </c>
      <c r="B1576" t="s">
        <v>13</v>
      </c>
      <c r="C1576" s="16">
        <v>112</v>
      </c>
      <c r="D1576" s="16" t="s">
        <v>173</v>
      </c>
      <c r="E1576" s="17" t="s">
        <v>7</v>
      </c>
      <c r="F1576" s="24">
        <v>1</v>
      </c>
      <c r="G1576" s="19">
        <v>3</v>
      </c>
      <c r="H1576" s="19">
        <v>0</v>
      </c>
      <c r="I1576" s="19">
        <v>0</v>
      </c>
      <c r="T1576" s="20">
        <f>Registro[[#This Row],[Mes 1]]+Registro[[#This Row],[Mes 2]]+Registro[[#This Row],[Mes 3]]</f>
        <v>0</v>
      </c>
      <c r="U1576" s="20">
        <f>Registro[[#This Row],[Mes 4]]+Registro[[#This Row],[Mes 5]]+Registro[[#This Row],[Mes 6]]</f>
        <v>0</v>
      </c>
      <c r="V1576" s="20">
        <f>Registro[[#This Row],[Mes 7]]+Registro[[#This Row],[Mes 8]]+Registro[[#This Row],[Mes 9]]</f>
        <v>0</v>
      </c>
      <c r="W1576" s="20">
        <f>Registro[[#This Row],[Mes 10]]+Registro[[#This Row],[Mes 11]]+Registro[[#This Row],[Mes 12]]</f>
        <v>0</v>
      </c>
      <c r="X1576" s="20">
        <f>SUM(Registro[[#This Row],[Trim I]],Registro[[#This Row],[Trim II]],Registro[[#This Row],[Trim III]],Registro[[#This Row],[Trim IV]])</f>
        <v>0</v>
      </c>
      <c r="Y1576" s="22">
        <f>IFERROR((Registro[[#This Row],[Avance Total]]/Registro[[#This Row],[Meta]]),0)</f>
        <v>0</v>
      </c>
      <c r="Z1576" s="22">
        <f>IFERROR((Registro[[#This Row],[Avance Total]]-Registro[[#This Row],[Línea Base 2025]])/Registro[[#This Row],[Línea Base 2025]],0)</f>
        <v>-1</v>
      </c>
      <c r="AA1576" s="20"/>
    </row>
    <row r="1577" spans="1:27" hidden="1">
      <c r="A1577">
        <v>1122</v>
      </c>
      <c r="B1577" t="s">
        <v>13</v>
      </c>
      <c r="C1577" s="16">
        <v>113</v>
      </c>
      <c r="D1577" s="16" t="s">
        <v>179</v>
      </c>
      <c r="E1577" s="17" t="s">
        <v>178</v>
      </c>
      <c r="F1577" s="24">
        <v>5</v>
      </c>
      <c r="G1577" s="19">
        <v>43</v>
      </c>
      <c r="H1577" s="19">
        <v>1</v>
      </c>
      <c r="I1577" s="19">
        <v>2</v>
      </c>
      <c r="T1577" s="20">
        <f>Registro[[#This Row],[Mes 1]]+Registro[[#This Row],[Mes 2]]+Registro[[#This Row],[Mes 3]]</f>
        <v>3</v>
      </c>
      <c r="U1577" s="20">
        <f>Registro[[#This Row],[Mes 4]]+Registro[[#This Row],[Mes 5]]+Registro[[#This Row],[Mes 6]]</f>
        <v>0</v>
      </c>
      <c r="V1577" s="20">
        <f>Registro[[#This Row],[Mes 7]]+Registro[[#This Row],[Mes 8]]+Registro[[#This Row],[Mes 9]]</f>
        <v>0</v>
      </c>
      <c r="W1577" s="20">
        <f>Registro[[#This Row],[Mes 10]]+Registro[[#This Row],[Mes 11]]+Registro[[#This Row],[Mes 12]]</f>
        <v>0</v>
      </c>
      <c r="X1577" s="20">
        <f>SUM(Registro[[#This Row],[Trim I]],Registro[[#This Row],[Trim II]],Registro[[#This Row],[Trim III]],Registro[[#This Row],[Trim IV]])</f>
        <v>3</v>
      </c>
      <c r="Y1577" s="22">
        <f>IFERROR((Registro[[#This Row],[Avance Total]]/Registro[[#This Row],[Meta]]),0)</f>
        <v>6.9767441860465115E-2</v>
      </c>
      <c r="Z1577" s="22">
        <f>IFERROR((Registro[[#This Row],[Avance Total]]-Registro[[#This Row],[Línea Base 2025]])/Registro[[#This Row],[Línea Base 2025]],0)</f>
        <v>-0.4</v>
      </c>
      <c r="AA1577" s="20"/>
    </row>
    <row r="1578" spans="1:27" hidden="1">
      <c r="A1578">
        <v>1122</v>
      </c>
      <c r="B1578" t="s">
        <v>13</v>
      </c>
      <c r="C1578" s="16">
        <v>114</v>
      </c>
      <c r="D1578" s="16" t="s">
        <v>181</v>
      </c>
      <c r="E1578" s="17" t="s">
        <v>180</v>
      </c>
      <c r="F1578" s="24">
        <v>0</v>
      </c>
      <c r="G1578" s="19">
        <v>0</v>
      </c>
      <c r="H1578" s="19">
        <v>0</v>
      </c>
      <c r="I1578" s="19">
        <v>0</v>
      </c>
      <c r="T1578" s="20">
        <f>Registro[[#This Row],[Mes 1]]+Registro[[#This Row],[Mes 2]]+Registro[[#This Row],[Mes 3]]</f>
        <v>0</v>
      </c>
      <c r="U1578" s="20">
        <f>Registro[[#This Row],[Mes 4]]+Registro[[#This Row],[Mes 5]]+Registro[[#This Row],[Mes 6]]</f>
        <v>0</v>
      </c>
      <c r="V1578" s="20">
        <f>Registro[[#This Row],[Mes 7]]+Registro[[#This Row],[Mes 8]]+Registro[[#This Row],[Mes 9]]</f>
        <v>0</v>
      </c>
      <c r="W1578" s="20">
        <f>Registro[[#This Row],[Mes 10]]+Registro[[#This Row],[Mes 11]]+Registro[[#This Row],[Mes 12]]</f>
        <v>0</v>
      </c>
      <c r="X1578" s="20">
        <f>SUM(Registro[[#This Row],[Trim I]],Registro[[#This Row],[Trim II]],Registro[[#This Row],[Trim III]],Registro[[#This Row],[Trim IV]])</f>
        <v>0</v>
      </c>
      <c r="Y1578" s="22">
        <f>IFERROR((Registro[[#This Row],[Avance Total]]/Registro[[#This Row],[Meta]]),0)</f>
        <v>0</v>
      </c>
      <c r="Z1578" s="22">
        <f>IFERROR((Registro[[#This Row],[Avance Total]]-Registro[[#This Row],[Línea Base 2025]])/Registro[[#This Row],[Línea Base 2025]],0)</f>
        <v>0</v>
      </c>
      <c r="AA1578" s="20"/>
    </row>
    <row r="1579" spans="1:27" hidden="1">
      <c r="A1579">
        <v>1122</v>
      </c>
      <c r="B1579" t="s">
        <v>13</v>
      </c>
      <c r="C1579" s="16">
        <v>115</v>
      </c>
      <c r="D1579" s="16" t="s">
        <v>183</v>
      </c>
      <c r="E1579" s="17" t="s">
        <v>182</v>
      </c>
      <c r="F1579" s="24">
        <v>0</v>
      </c>
      <c r="G1579" s="19">
        <v>0</v>
      </c>
      <c r="H1579" s="19">
        <v>0</v>
      </c>
      <c r="I1579" s="19">
        <v>0</v>
      </c>
      <c r="T1579" s="20">
        <f>Registro[[#This Row],[Mes 1]]+Registro[[#This Row],[Mes 2]]+Registro[[#This Row],[Mes 3]]</f>
        <v>0</v>
      </c>
      <c r="U1579" s="20">
        <f>Registro[[#This Row],[Mes 4]]+Registro[[#This Row],[Mes 5]]+Registro[[#This Row],[Mes 6]]</f>
        <v>0</v>
      </c>
      <c r="V1579" s="20">
        <f>Registro[[#This Row],[Mes 7]]+Registro[[#This Row],[Mes 8]]+Registro[[#This Row],[Mes 9]]</f>
        <v>0</v>
      </c>
      <c r="W1579" s="20">
        <f>Registro[[#This Row],[Mes 10]]+Registro[[#This Row],[Mes 11]]+Registro[[#This Row],[Mes 12]]</f>
        <v>0</v>
      </c>
      <c r="X1579" s="20">
        <f>SUM(Registro[[#This Row],[Trim I]],Registro[[#This Row],[Trim II]],Registro[[#This Row],[Trim III]],Registro[[#This Row],[Trim IV]])</f>
        <v>0</v>
      </c>
      <c r="Y1579" s="22">
        <f>IFERROR((Registro[[#This Row],[Avance Total]]/Registro[[#This Row],[Meta]]),0)</f>
        <v>0</v>
      </c>
      <c r="Z1579" s="22">
        <f>IFERROR((Registro[[#This Row],[Avance Total]]-Registro[[#This Row],[Línea Base 2025]])/Registro[[#This Row],[Línea Base 2025]],0)</f>
        <v>0</v>
      </c>
      <c r="AA1579" s="20"/>
    </row>
    <row r="1580" spans="1:27">
      <c r="A1580">
        <v>1122</v>
      </c>
      <c r="B1580" t="s">
        <v>13</v>
      </c>
      <c r="C1580" s="16">
        <v>116</v>
      </c>
      <c r="D1580" s="16" t="s">
        <v>185</v>
      </c>
      <c r="E1580" s="17" t="s">
        <v>184</v>
      </c>
      <c r="F1580" s="24">
        <v>0</v>
      </c>
      <c r="G1580" s="19">
        <v>0</v>
      </c>
      <c r="H1580" s="19">
        <v>0</v>
      </c>
      <c r="I1580" s="19">
        <v>0</v>
      </c>
      <c r="T1580" s="20">
        <f>Registro[[#This Row],[Mes 1]]+Registro[[#This Row],[Mes 2]]+Registro[[#This Row],[Mes 3]]</f>
        <v>0</v>
      </c>
      <c r="U1580" s="20">
        <f>Registro[[#This Row],[Mes 4]]+Registro[[#This Row],[Mes 5]]+Registro[[#This Row],[Mes 6]]</f>
        <v>0</v>
      </c>
      <c r="V1580" s="20">
        <f>Registro[[#This Row],[Mes 7]]+Registro[[#This Row],[Mes 8]]+Registro[[#This Row],[Mes 9]]</f>
        <v>0</v>
      </c>
      <c r="W1580" s="20">
        <f>Registro[[#This Row],[Mes 10]]+Registro[[#This Row],[Mes 11]]+Registro[[#This Row],[Mes 12]]</f>
        <v>0</v>
      </c>
      <c r="X1580" s="20">
        <f>SUM(Registro[[#This Row],[Trim I]],Registro[[#This Row],[Trim II]],Registro[[#This Row],[Trim III]],Registro[[#This Row],[Trim IV]])</f>
        <v>0</v>
      </c>
      <c r="Y1580" s="22">
        <f>IFERROR((Registro[[#This Row],[Avance Total]]/Registro[[#This Row],[Meta]]),0)</f>
        <v>0</v>
      </c>
      <c r="Z1580" s="22">
        <f>IFERROR((Registro[[#This Row],[Avance Total]]-Registro[[#This Row],[Línea Base 2025]])/Registro[[#This Row],[Línea Base 2025]],0)</f>
        <v>0</v>
      </c>
      <c r="AA1580" s="20"/>
    </row>
    <row r="1581" spans="1:27" hidden="1">
      <c r="A1581">
        <v>1122</v>
      </c>
      <c r="B1581" t="s">
        <v>13</v>
      </c>
      <c r="C1581" s="16">
        <v>117</v>
      </c>
      <c r="D1581" s="16" t="s">
        <v>187</v>
      </c>
      <c r="E1581" s="17" t="s">
        <v>186</v>
      </c>
      <c r="F1581" s="24">
        <v>0</v>
      </c>
      <c r="G1581" s="19">
        <v>0</v>
      </c>
      <c r="H1581" s="19">
        <v>0</v>
      </c>
      <c r="I1581" s="19">
        <v>0</v>
      </c>
      <c r="T1581" s="20">
        <f>Registro[[#This Row],[Mes 1]]+Registro[[#This Row],[Mes 2]]+Registro[[#This Row],[Mes 3]]</f>
        <v>0</v>
      </c>
      <c r="U1581" s="20">
        <f>Registro[[#This Row],[Mes 4]]+Registro[[#This Row],[Mes 5]]+Registro[[#This Row],[Mes 6]]</f>
        <v>0</v>
      </c>
      <c r="V1581" s="20">
        <f>Registro[[#This Row],[Mes 7]]+Registro[[#This Row],[Mes 8]]+Registro[[#This Row],[Mes 9]]</f>
        <v>0</v>
      </c>
      <c r="W1581" s="20">
        <f>Registro[[#This Row],[Mes 10]]+Registro[[#This Row],[Mes 11]]+Registro[[#This Row],[Mes 12]]</f>
        <v>0</v>
      </c>
      <c r="X1581" s="20">
        <f>SUM(Registro[[#This Row],[Trim I]],Registro[[#This Row],[Trim II]],Registro[[#This Row],[Trim III]],Registro[[#This Row],[Trim IV]])</f>
        <v>0</v>
      </c>
      <c r="Y1581" s="22">
        <f>IFERROR((Registro[[#This Row],[Avance Total]]/Registro[[#This Row],[Meta]]),0)</f>
        <v>0</v>
      </c>
      <c r="Z1581" s="22">
        <f>IFERROR((Registro[[#This Row],[Avance Total]]-Registro[[#This Row],[Línea Base 2025]])/Registro[[#This Row],[Línea Base 2025]],0)</f>
        <v>0</v>
      </c>
      <c r="AA1581" s="20"/>
    </row>
    <row r="1582" spans="1:27" hidden="1">
      <c r="A1582">
        <v>1122</v>
      </c>
      <c r="B1582" t="s">
        <v>13</v>
      </c>
      <c r="C1582" s="16">
        <v>118</v>
      </c>
      <c r="D1582" s="16" t="s">
        <v>188</v>
      </c>
      <c r="E1582" s="17" t="s">
        <v>9</v>
      </c>
      <c r="F1582" s="24">
        <v>0</v>
      </c>
      <c r="G1582" s="19">
        <v>0</v>
      </c>
      <c r="H1582" s="19">
        <v>0</v>
      </c>
      <c r="I1582" s="19">
        <v>0</v>
      </c>
      <c r="T1582" s="20">
        <f>Registro[[#This Row],[Mes 1]]+Registro[[#This Row],[Mes 2]]+Registro[[#This Row],[Mes 3]]</f>
        <v>0</v>
      </c>
      <c r="U1582" s="20">
        <f>Registro[[#This Row],[Mes 4]]+Registro[[#This Row],[Mes 5]]+Registro[[#This Row],[Mes 6]]</f>
        <v>0</v>
      </c>
      <c r="V1582" s="20">
        <f>Registro[[#This Row],[Mes 7]]+Registro[[#This Row],[Mes 8]]+Registro[[#This Row],[Mes 9]]</f>
        <v>0</v>
      </c>
      <c r="W1582" s="20">
        <f>Registro[[#This Row],[Mes 10]]+Registro[[#This Row],[Mes 11]]+Registro[[#This Row],[Mes 12]]</f>
        <v>0</v>
      </c>
      <c r="X1582" s="20">
        <f>SUM(Registro[[#This Row],[Trim I]],Registro[[#This Row],[Trim II]],Registro[[#This Row],[Trim III]],Registro[[#This Row],[Trim IV]])</f>
        <v>0</v>
      </c>
      <c r="Y1582" s="22">
        <f>IFERROR((Registro[[#This Row],[Avance Total]]/Registro[[#This Row],[Meta]]),0)</f>
        <v>0</v>
      </c>
      <c r="Z1582" s="22">
        <f>IFERROR((Registro[[#This Row],[Avance Total]]-Registro[[#This Row],[Línea Base 2025]])/Registro[[#This Row],[Línea Base 2025]],0)</f>
        <v>0</v>
      </c>
      <c r="AA1582" s="20"/>
    </row>
    <row r="1583" spans="1:27" hidden="1">
      <c r="A1583">
        <v>1122</v>
      </c>
      <c r="B1583" t="s">
        <v>13</v>
      </c>
      <c r="C1583" s="16">
        <v>119</v>
      </c>
      <c r="D1583" s="16" t="s">
        <v>190</v>
      </c>
      <c r="E1583" s="17" t="s">
        <v>189</v>
      </c>
      <c r="F1583" s="24">
        <v>0</v>
      </c>
      <c r="G1583" s="19">
        <v>0</v>
      </c>
      <c r="H1583" s="19">
        <v>0</v>
      </c>
      <c r="I1583" s="19">
        <v>0</v>
      </c>
      <c r="T1583" s="20">
        <f>Registro[[#This Row],[Mes 1]]+Registro[[#This Row],[Mes 2]]+Registro[[#This Row],[Mes 3]]</f>
        <v>0</v>
      </c>
      <c r="U1583" s="20">
        <f>Registro[[#This Row],[Mes 4]]+Registro[[#This Row],[Mes 5]]+Registro[[#This Row],[Mes 6]]</f>
        <v>0</v>
      </c>
      <c r="V1583" s="20">
        <f>Registro[[#This Row],[Mes 7]]+Registro[[#This Row],[Mes 8]]+Registro[[#This Row],[Mes 9]]</f>
        <v>0</v>
      </c>
      <c r="W1583" s="20">
        <f>Registro[[#This Row],[Mes 10]]+Registro[[#This Row],[Mes 11]]+Registro[[#This Row],[Mes 12]]</f>
        <v>0</v>
      </c>
      <c r="X1583" s="20">
        <f>SUM(Registro[[#This Row],[Trim I]],Registro[[#This Row],[Trim II]],Registro[[#This Row],[Trim III]],Registro[[#This Row],[Trim IV]])</f>
        <v>0</v>
      </c>
      <c r="Y1583" s="22">
        <f>IFERROR((Registro[[#This Row],[Avance Total]]/Registro[[#This Row],[Meta]]),0)</f>
        <v>0</v>
      </c>
      <c r="Z1583" s="22">
        <f>IFERROR((Registro[[#This Row],[Avance Total]]-Registro[[#This Row],[Línea Base 2025]])/Registro[[#This Row],[Línea Base 2025]],0)</f>
        <v>0</v>
      </c>
      <c r="AA1583" s="20"/>
    </row>
    <row r="1584" spans="1:27" hidden="1">
      <c r="A1584">
        <v>1122</v>
      </c>
      <c r="B1584" t="s">
        <v>13</v>
      </c>
      <c r="C1584" s="16">
        <v>120</v>
      </c>
      <c r="D1584" s="16" t="s">
        <v>192</v>
      </c>
      <c r="E1584" s="17" t="s">
        <v>191</v>
      </c>
      <c r="F1584" s="24">
        <v>0</v>
      </c>
      <c r="G1584" s="19">
        <v>0</v>
      </c>
      <c r="H1584" s="19">
        <v>0</v>
      </c>
      <c r="I1584" s="19">
        <v>0</v>
      </c>
      <c r="T1584" s="20">
        <f>Registro[[#This Row],[Mes 1]]+Registro[[#This Row],[Mes 2]]+Registro[[#This Row],[Mes 3]]</f>
        <v>0</v>
      </c>
      <c r="U1584" s="20">
        <f>Registro[[#This Row],[Mes 4]]+Registro[[#This Row],[Mes 5]]+Registro[[#This Row],[Mes 6]]</f>
        <v>0</v>
      </c>
      <c r="V1584" s="20">
        <f>Registro[[#This Row],[Mes 7]]+Registro[[#This Row],[Mes 8]]+Registro[[#This Row],[Mes 9]]</f>
        <v>0</v>
      </c>
      <c r="W1584" s="20">
        <f>Registro[[#This Row],[Mes 10]]+Registro[[#This Row],[Mes 11]]+Registro[[#This Row],[Mes 12]]</f>
        <v>0</v>
      </c>
      <c r="X1584" s="20">
        <f>SUM(Registro[[#This Row],[Trim I]],Registro[[#This Row],[Trim II]],Registro[[#This Row],[Trim III]],Registro[[#This Row],[Trim IV]])</f>
        <v>0</v>
      </c>
      <c r="Y1584" s="22">
        <f>IFERROR((Registro[[#This Row],[Avance Total]]/Registro[[#This Row],[Meta]]),0)</f>
        <v>0</v>
      </c>
      <c r="Z1584" s="22">
        <f>IFERROR((Registro[[#This Row],[Avance Total]]-Registro[[#This Row],[Línea Base 2025]])/Registro[[#This Row],[Línea Base 2025]],0)</f>
        <v>0</v>
      </c>
      <c r="AA1584" s="20"/>
    </row>
    <row r="1585" spans="1:27" hidden="1">
      <c r="A1585">
        <v>1122</v>
      </c>
      <c r="B1585" t="s">
        <v>13</v>
      </c>
      <c r="C1585" s="16">
        <v>121</v>
      </c>
      <c r="D1585" s="16" t="s">
        <v>194</v>
      </c>
      <c r="E1585" s="17" t="s">
        <v>193</v>
      </c>
      <c r="F1585" s="24">
        <v>0</v>
      </c>
      <c r="G1585" s="19">
        <v>0</v>
      </c>
      <c r="H1585" s="19">
        <v>0</v>
      </c>
      <c r="I1585" s="19">
        <v>0</v>
      </c>
      <c r="T1585" s="20">
        <f>Registro[[#This Row],[Mes 1]]+Registro[[#This Row],[Mes 2]]+Registro[[#This Row],[Mes 3]]</f>
        <v>0</v>
      </c>
      <c r="U1585" s="20">
        <f>Registro[[#This Row],[Mes 4]]+Registro[[#This Row],[Mes 5]]+Registro[[#This Row],[Mes 6]]</f>
        <v>0</v>
      </c>
      <c r="V1585" s="20">
        <f>Registro[[#This Row],[Mes 7]]+Registro[[#This Row],[Mes 8]]+Registro[[#This Row],[Mes 9]]</f>
        <v>0</v>
      </c>
      <c r="W1585" s="20">
        <f>Registro[[#This Row],[Mes 10]]+Registro[[#This Row],[Mes 11]]+Registro[[#This Row],[Mes 12]]</f>
        <v>0</v>
      </c>
      <c r="X1585" s="20">
        <f>SUM(Registro[[#This Row],[Trim I]],Registro[[#This Row],[Trim II]],Registro[[#This Row],[Trim III]],Registro[[#This Row],[Trim IV]])</f>
        <v>0</v>
      </c>
      <c r="Y1585" s="22">
        <f>IFERROR((Registro[[#This Row],[Avance Total]]/Registro[[#This Row],[Meta]]),0)</f>
        <v>0</v>
      </c>
      <c r="Z1585" s="22">
        <f>IFERROR((Registro[[#This Row],[Avance Total]]-Registro[[#This Row],[Línea Base 2025]])/Registro[[#This Row],[Línea Base 2025]],0)</f>
        <v>0</v>
      </c>
      <c r="AA1585" s="20"/>
    </row>
    <row r="1586" spans="1:27" hidden="1">
      <c r="A1586">
        <v>1122</v>
      </c>
      <c r="B1586" t="s">
        <v>13</v>
      </c>
      <c r="C1586" s="16">
        <v>122</v>
      </c>
      <c r="D1586" s="16" t="s">
        <v>196</v>
      </c>
      <c r="E1586" s="17" t="s">
        <v>195</v>
      </c>
      <c r="F1586" s="24">
        <v>0</v>
      </c>
      <c r="G1586" s="19">
        <v>0</v>
      </c>
      <c r="H1586" s="19">
        <v>0</v>
      </c>
      <c r="I1586" s="19">
        <v>0</v>
      </c>
      <c r="T1586" s="20">
        <f>Registro[[#This Row],[Mes 1]]+Registro[[#This Row],[Mes 2]]+Registro[[#This Row],[Mes 3]]</f>
        <v>0</v>
      </c>
      <c r="U1586" s="20">
        <f>Registro[[#This Row],[Mes 4]]+Registro[[#This Row],[Mes 5]]+Registro[[#This Row],[Mes 6]]</f>
        <v>0</v>
      </c>
      <c r="V1586" s="20">
        <f>Registro[[#This Row],[Mes 7]]+Registro[[#This Row],[Mes 8]]+Registro[[#This Row],[Mes 9]]</f>
        <v>0</v>
      </c>
      <c r="W1586" s="20">
        <f>Registro[[#This Row],[Mes 10]]+Registro[[#This Row],[Mes 11]]+Registro[[#This Row],[Mes 12]]</f>
        <v>0</v>
      </c>
      <c r="X1586" s="20">
        <f>SUM(Registro[[#This Row],[Trim I]],Registro[[#This Row],[Trim II]],Registro[[#This Row],[Trim III]],Registro[[#This Row],[Trim IV]])</f>
        <v>0</v>
      </c>
      <c r="Y1586" s="22">
        <f>IFERROR((Registro[[#This Row],[Avance Total]]/Registro[[#This Row],[Meta]]),0)</f>
        <v>0</v>
      </c>
      <c r="Z1586" s="22">
        <f>IFERROR((Registro[[#This Row],[Avance Total]]-Registro[[#This Row],[Línea Base 2025]])/Registro[[#This Row],[Línea Base 2025]],0)</f>
        <v>0</v>
      </c>
      <c r="AA1586" s="20"/>
    </row>
    <row r="1587" spans="1:27" hidden="1">
      <c r="A1587">
        <v>1122</v>
      </c>
      <c r="B1587" t="s">
        <v>13</v>
      </c>
      <c r="C1587" s="26">
        <v>123</v>
      </c>
      <c r="D1587" s="26" t="s">
        <v>198</v>
      </c>
      <c r="E1587" s="17" t="s">
        <v>197</v>
      </c>
      <c r="F1587" s="32">
        <v>0</v>
      </c>
      <c r="G1587" s="28">
        <v>0</v>
      </c>
      <c r="H1587" s="28">
        <v>0</v>
      </c>
      <c r="I1587" s="28">
        <v>0</v>
      </c>
      <c r="J1587" s="27"/>
      <c r="K1587" s="27"/>
      <c r="L1587" s="27"/>
      <c r="M1587" s="27"/>
      <c r="N1587" s="27"/>
      <c r="O1587" s="27"/>
      <c r="P1587" s="27"/>
      <c r="Q1587" s="27"/>
      <c r="R1587" s="27"/>
      <c r="S1587" s="27"/>
      <c r="T1587" s="29">
        <f>Registro[[#This Row],[Mes 1]]+Registro[[#This Row],[Mes 2]]+Registro[[#This Row],[Mes 3]]</f>
        <v>0</v>
      </c>
      <c r="U1587" s="29">
        <f>Registro[[#This Row],[Mes 4]]+Registro[[#This Row],[Mes 5]]+Registro[[#This Row],[Mes 6]]</f>
        <v>0</v>
      </c>
      <c r="V1587" s="29">
        <f>Registro[[#This Row],[Mes 7]]+Registro[[#This Row],[Mes 8]]+Registro[[#This Row],[Mes 9]]</f>
        <v>0</v>
      </c>
      <c r="W1587" s="29">
        <f>Registro[[#This Row],[Mes 10]]+Registro[[#This Row],[Mes 11]]+Registro[[#This Row],[Mes 12]]</f>
        <v>0</v>
      </c>
      <c r="X1587" s="29">
        <f>SUM(Registro[[#This Row],[Trim I]],Registro[[#This Row],[Trim II]],Registro[[#This Row],[Trim III]],Registro[[#This Row],[Trim IV]])</f>
        <v>0</v>
      </c>
      <c r="Y1587" s="30">
        <f>IFERROR((Registro[[#This Row],[Avance Total]]/Registro[[#This Row],[Meta]]),0)</f>
        <v>0</v>
      </c>
      <c r="Z1587" s="30">
        <f>IFERROR((Registro[[#This Row],[Avance Total]]-Registro[[#This Row],[Línea Base 2025]])/Registro[[#This Row],[Línea Base 2025]],0)</f>
        <v>0</v>
      </c>
      <c r="AA1587" s="29"/>
    </row>
    <row r="1588" spans="1:27" hidden="1">
      <c r="A1588">
        <v>1123</v>
      </c>
      <c r="B1588" t="s">
        <v>138</v>
      </c>
      <c r="C1588" s="16">
        <v>111</v>
      </c>
      <c r="D1588" s="16" t="s">
        <v>171</v>
      </c>
      <c r="E1588" s="17" t="s">
        <v>172</v>
      </c>
      <c r="F1588" s="24">
        <v>79</v>
      </c>
      <c r="G1588" s="19">
        <v>298</v>
      </c>
      <c r="H1588" s="19">
        <v>4</v>
      </c>
      <c r="I1588" s="19">
        <v>12</v>
      </c>
      <c r="T1588" s="20">
        <f>Registro[[#This Row],[Mes 1]]+Registro[[#This Row],[Mes 2]]+Registro[[#This Row],[Mes 3]]</f>
        <v>16</v>
      </c>
      <c r="U1588" s="20">
        <f>Registro[[#This Row],[Mes 4]]+Registro[[#This Row],[Mes 5]]+Registro[[#This Row],[Mes 6]]</f>
        <v>0</v>
      </c>
      <c r="V1588" s="20">
        <f>Registro[[#This Row],[Mes 7]]+Registro[[#This Row],[Mes 8]]+Registro[[#This Row],[Mes 9]]</f>
        <v>0</v>
      </c>
      <c r="W1588" s="20">
        <f>Registro[[#This Row],[Mes 10]]+Registro[[#This Row],[Mes 11]]+Registro[[#This Row],[Mes 12]]</f>
        <v>0</v>
      </c>
      <c r="X1588" s="20">
        <f>SUM(Registro[[#This Row],[Trim I]],Registro[[#This Row],[Trim II]],Registro[[#This Row],[Trim III]],Registro[[#This Row],[Trim IV]])</f>
        <v>16</v>
      </c>
      <c r="Y1588" s="22">
        <f>IFERROR((Registro[[#This Row],[Avance Total]]/Registro[[#This Row],[Meta]]),0)</f>
        <v>5.3691275167785234E-2</v>
      </c>
      <c r="Z1588" s="22">
        <f>IFERROR((Registro[[#This Row],[Avance Total]]-Registro[[#This Row],[Línea Base 2025]])/Registro[[#This Row],[Línea Base 2025]],0)</f>
        <v>-0.79746835443037978</v>
      </c>
      <c r="AA1588" s="20"/>
    </row>
    <row r="1589" spans="1:27" hidden="1">
      <c r="A1589">
        <v>1123</v>
      </c>
      <c r="B1589" t="s">
        <v>138</v>
      </c>
      <c r="C1589" s="16">
        <v>112</v>
      </c>
      <c r="D1589" s="16" t="s">
        <v>173</v>
      </c>
      <c r="E1589" s="17" t="s">
        <v>7</v>
      </c>
      <c r="F1589" s="24">
        <v>23</v>
      </c>
      <c r="G1589" s="19">
        <v>86</v>
      </c>
      <c r="H1589" s="19">
        <v>0</v>
      </c>
      <c r="I1589" s="19">
        <v>0</v>
      </c>
      <c r="T1589" s="20">
        <f>Registro[[#This Row],[Mes 1]]+Registro[[#This Row],[Mes 2]]+Registro[[#This Row],[Mes 3]]</f>
        <v>0</v>
      </c>
      <c r="U1589" s="20">
        <f>Registro[[#This Row],[Mes 4]]+Registro[[#This Row],[Mes 5]]+Registro[[#This Row],[Mes 6]]</f>
        <v>0</v>
      </c>
      <c r="V1589" s="20">
        <f>Registro[[#This Row],[Mes 7]]+Registro[[#This Row],[Mes 8]]+Registro[[#This Row],[Mes 9]]</f>
        <v>0</v>
      </c>
      <c r="W1589" s="20">
        <f>Registro[[#This Row],[Mes 10]]+Registro[[#This Row],[Mes 11]]+Registro[[#This Row],[Mes 12]]</f>
        <v>0</v>
      </c>
      <c r="X1589" s="20">
        <f>SUM(Registro[[#This Row],[Trim I]],Registro[[#This Row],[Trim II]],Registro[[#This Row],[Trim III]],Registro[[#This Row],[Trim IV]])</f>
        <v>0</v>
      </c>
      <c r="Y1589" s="22">
        <f>IFERROR((Registro[[#This Row],[Avance Total]]/Registro[[#This Row],[Meta]]),0)</f>
        <v>0</v>
      </c>
      <c r="Z1589" s="22">
        <f>IFERROR((Registro[[#This Row],[Avance Total]]-Registro[[#This Row],[Línea Base 2025]])/Registro[[#This Row],[Línea Base 2025]],0)</f>
        <v>-1</v>
      </c>
      <c r="AA1589" s="20"/>
    </row>
    <row r="1590" spans="1:27" hidden="1">
      <c r="A1590">
        <v>1123</v>
      </c>
      <c r="B1590" t="s">
        <v>138</v>
      </c>
      <c r="C1590" s="16">
        <v>113</v>
      </c>
      <c r="D1590" s="16" t="s">
        <v>179</v>
      </c>
      <c r="E1590" s="17" t="s">
        <v>178</v>
      </c>
      <c r="F1590" s="24">
        <v>43</v>
      </c>
      <c r="G1590" s="19">
        <v>407</v>
      </c>
      <c r="H1590" s="19">
        <v>3</v>
      </c>
      <c r="I1590" s="19">
        <v>9</v>
      </c>
      <c r="T1590" s="20">
        <f>Registro[[#This Row],[Mes 1]]+Registro[[#This Row],[Mes 2]]+Registro[[#This Row],[Mes 3]]</f>
        <v>12</v>
      </c>
      <c r="U1590" s="20">
        <f>Registro[[#This Row],[Mes 4]]+Registro[[#This Row],[Mes 5]]+Registro[[#This Row],[Mes 6]]</f>
        <v>0</v>
      </c>
      <c r="V1590" s="20">
        <f>Registro[[#This Row],[Mes 7]]+Registro[[#This Row],[Mes 8]]+Registro[[#This Row],[Mes 9]]</f>
        <v>0</v>
      </c>
      <c r="W1590" s="20">
        <f>Registro[[#This Row],[Mes 10]]+Registro[[#This Row],[Mes 11]]+Registro[[#This Row],[Mes 12]]</f>
        <v>0</v>
      </c>
      <c r="X1590" s="20">
        <f>SUM(Registro[[#This Row],[Trim I]],Registro[[#This Row],[Trim II]],Registro[[#This Row],[Trim III]],Registro[[#This Row],[Trim IV]])</f>
        <v>12</v>
      </c>
      <c r="Y1590" s="22">
        <f>IFERROR((Registro[[#This Row],[Avance Total]]/Registro[[#This Row],[Meta]]),0)</f>
        <v>2.9484029484029485E-2</v>
      </c>
      <c r="Z1590" s="22">
        <f>IFERROR((Registro[[#This Row],[Avance Total]]-Registro[[#This Row],[Línea Base 2025]])/Registro[[#This Row],[Línea Base 2025]],0)</f>
        <v>-0.72093023255813948</v>
      </c>
      <c r="AA1590" s="20"/>
    </row>
    <row r="1591" spans="1:27" hidden="1">
      <c r="A1591">
        <v>1123</v>
      </c>
      <c r="B1591" t="s">
        <v>138</v>
      </c>
      <c r="C1591" s="16">
        <v>114</v>
      </c>
      <c r="D1591" s="16" t="s">
        <v>181</v>
      </c>
      <c r="E1591" s="17" t="s">
        <v>180</v>
      </c>
      <c r="F1591" s="24">
        <v>0</v>
      </c>
      <c r="G1591" s="19">
        <v>32</v>
      </c>
      <c r="H1591" s="19">
        <v>18</v>
      </c>
      <c r="I1591" s="19">
        <v>1</v>
      </c>
      <c r="T1591" s="20">
        <f>Registro[[#This Row],[Mes 1]]+Registro[[#This Row],[Mes 2]]+Registro[[#This Row],[Mes 3]]</f>
        <v>19</v>
      </c>
      <c r="U1591" s="20">
        <f>Registro[[#This Row],[Mes 4]]+Registro[[#This Row],[Mes 5]]+Registro[[#This Row],[Mes 6]]</f>
        <v>0</v>
      </c>
      <c r="V1591" s="20">
        <f>Registro[[#This Row],[Mes 7]]+Registro[[#This Row],[Mes 8]]+Registro[[#This Row],[Mes 9]]</f>
        <v>0</v>
      </c>
      <c r="W1591" s="20">
        <f>Registro[[#This Row],[Mes 10]]+Registro[[#This Row],[Mes 11]]+Registro[[#This Row],[Mes 12]]</f>
        <v>0</v>
      </c>
      <c r="X1591" s="20">
        <f>SUM(Registro[[#This Row],[Trim I]],Registro[[#This Row],[Trim II]],Registro[[#This Row],[Trim III]],Registro[[#This Row],[Trim IV]])</f>
        <v>19</v>
      </c>
      <c r="Y1591" s="22">
        <f>IFERROR((Registro[[#This Row],[Avance Total]]/Registro[[#This Row],[Meta]]),0)</f>
        <v>0.59375</v>
      </c>
      <c r="Z1591" s="22">
        <f>IFERROR((Registro[[#This Row],[Avance Total]]-Registro[[#This Row],[Línea Base 2025]])/Registro[[#This Row],[Línea Base 2025]],0)</f>
        <v>0</v>
      </c>
      <c r="AA1591" s="20"/>
    </row>
    <row r="1592" spans="1:27" hidden="1">
      <c r="A1592">
        <v>1123</v>
      </c>
      <c r="B1592" t="s">
        <v>138</v>
      </c>
      <c r="C1592" s="16">
        <v>115</v>
      </c>
      <c r="D1592" s="16" t="s">
        <v>183</v>
      </c>
      <c r="E1592" s="17" t="s">
        <v>182</v>
      </c>
      <c r="F1592" s="24">
        <v>4</v>
      </c>
      <c r="G1592" s="19">
        <v>5</v>
      </c>
      <c r="H1592" s="19">
        <v>0</v>
      </c>
      <c r="I1592" s="19">
        <v>0</v>
      </c>
      <c r="T1592" s="20">
        <f>Registro[[#This Row],[Mes 1]]+Registro[[#This Row],[Mes 2]]+Registro[[#This Row],[Mes 3]]</f>
        <v>0</v>
      </c>
      <c r="U1592" s="20">
        <f>Registro[[#This Row],[Mes 4]]+Registro[[#This Row],[Mes 5]]+Registro[[#This Row],[Mes 6]]</f>
        <v>0</v>
      </c>
      <c r="V1592" s="20">
        <f>Registro[[#This Row],[Mes 7]]+Registro[[#This Row],[Mes 8]]+Registro[[#This Row],[Mes 9]]</f>
        <v>0</v>
      </c>
      <c r="W1592" s="20">
        <f>Registro[[#This Row],[Mes 10]]+Registro[[#This Row],[Mes 11]]+Registro[[#This Row],[Mes 12]]</f>
        <v>0</v>
      </c>
      <c r="X1592" s="20">
        <f>SUM(Registro[[#This Row],[Trim I]],Registro[[#This Row],[Trim II]],Registro[[#This Row],[Trim III]],Registro[[#This Row],[Trim IV]])</f>
        <v>0</v>
      </c>
      <c r="Y1592" s="22">
        <f>IFERROR((Registro[[#This Row],[Avance Total]]/Registro[[#This Row],[Meta]]),0)</f>
        <v>0</v>
      </c>
      <c r="Z1592" s="22">
        <f>IFERROR((Registro[[#This Row],[Avance Total]]-Registro[[#This Row],[Línea Base 2025]])/Registro[[#This Row],[Línea Base 2025]],0)</f>
        <v>-1</v>
      </c>
      <c r="AA1592" s="20"/>
    </row>
    <row r="1593" spans="1:27">
      <c r="A1593">
        <v>1123</v>
      </c>
      <c r="B1593" t="s">
        <v>138</v>
      </c>
      <c r="C1593" s="16">
        <v>116</v>
      </c>
      <c r="D1593" s="16" t="s">
        <v>185</v>
      </c>
      <c r="E1593" s="17" t="s">
        <v>184</v>
      </c>
      <c r="F1593" s="24">
        <v>7</v>
      </c>
      <c r="G1593" s="19">
        <v>6</v>
      </c>
      <c r="H1593" s="19">
        <v>0</v>
      </c>
      <c r="I1593" s="19">
        <v>0</v>
      </c>
      <c r="T1593" s="20">
        <f>Registro[[#This Row],[Mes 1]]+Registro[[#This Row],[Mes 2]]+Registro[[#This Row],[Mes 3]]</f>
        <v>0</v>
      </c>
      <c r="U1593" s="20">
        <f>Registro[[#This Row],[Mes 4]]+Registro[[#This Row],[Mes 5]]+Registro[[#This Row],[Mes 6]]</f>
        <v>0</v>
      </c>
      <c r="V1593" s="20">
        <f>Registro[[#This Row],[Mes 7]]+Registro[[#This Row],[Mes 8]]+Registro[[#This Row],[Mes 9]]</f>
        <v>0</v>
      </c>
      <c r="W1593" s="20">
        <f>Registro[[#This Row],[Mes 10]]+Registro[[#This Row],[Mes 11]]+Registro[[#This Row],[Mes 12]]</f>
        <v>0</v>
      </c>
      <c r="X1593" s="20">
        <f>SUM(Registro[[#This Row],[Trim I]],Registro[[#This Row],[Trim II]],Registro[[#This Row],[Trim III]],Registro[[#This Row],[Trim IV]])</f>
        <v>0</v>
      </c>
      <c r="Y1593" s="22">
        <f>IFERROR((Registro[[#This Row],[Avance Total]]/Registro[[#This Row],[Meta]]),0)</f>
        <v>0</v>
      </c>
      <c r="Z1593" s="22">
        <f>IFERROR((Registro[[#This Row],[Avance Total]]-Registro[[#This Row],[Línea Base 2025]])/Registro[[#This Row],[Línea Base 2025]],0)</f>
        <v>-1</v>
      </c>
      <c r="AA1593" s="20"/>
    </row>
    <row r="1594" spans="1:27" hidden="1">
      <c r="A1594">
        <v>1123</v>
      </c>
      <c r="B1594" t="s">
        <v>138</v>
      </c>
      <c r="C1594" s="16">
        <v>117</v>
      </c>
      <c r="D1594" s="16" t="s">
        <v>187</v>
      </c>
      <c r="E1594" s="17" t="s">
        <v>186</v>
      </c>
      <c r="F1594" s="24">
        <v>3</v>
      </c>
      <c r="G1594" s="19">
        <v>13</v>
      </c>
      <c r="H1594" s="19">
        <v>0</v>
      </c>
      <c r="I1594" s="19">
        <v>0</v>
      </c>
      <c r="T1594" s="20">
        <f>Registro[[#This Row],[Mes 1]]+Registro[[#This Row],[Mes 2]]+Registro[[#This Row],[Mes 3]]</f>
        <v>0</v>
      </c>
      <c r="U1594" s="20">
        <f>Registro[[#This Row],[Mes 4]]+Registro[[#This Row],[Mes 5]]+Registro[[#This Row],[Mes 6]]</f>
        <v>0</v>
      </c>
      <c r="V1594" s="20">
        <f>Registro[[#This Row],[Mes 7]]+Registro[[#This Row],[Mes 8]]+Registro[[#This Row],[Mes 9]]</f>
        <v>0</v>
      </c>
      <c r="W1594" s="20">
        <f>Registro[[#This Row],[Mes 10]]+Registro[[#This Row],[Mes 11]]+Registro[[#This Row],[Mes 12]]</f>
        <v>0</v>
      </c>
      <c r="X1594" s="20">
        <f>SUM(Registro[[#This Row],[Trim I]],Registro[[#This Row],[Trim II]],Registro[[#This Row],[Trim III]],Registro[[#This Row],[Trim IV]])</f>
        <v>0</v>
      </c>
      <c r="Y1594" s="22">
        <f>IFERROR((Registro[[#This Row],[Avance Total]]/Registro[[#This Row],[Meta]]),0)</f>
        <v>0</v>
      </c>
      <c r="Z1594" s="22">
        <f>IFERROR((Registro[[#This Row],[Avance Total]]-Registro[[#This Row],[Línea Base 2025]])/Registro[[#This Row],[Línea Base 2025]],0)</f>
        <v>-1</v>
      </c>
      <c r="AA1594" s="20"/>
    </row>
    <row r="1595" spans="1:27" hidden="1">
      <c r="A1595">
        <v>1123</v>
      </c>
      <c r="B1595" t="s">
        <v>138</v>
      </c>
      <c r="C1595" s="16">
        <v>118</v>
      </c>
      <c r="D1595" s="16" t="s">
        <v>188</v>
      </c>
      <c r="E1595" s="17" t="s">
        <v>9</v>
      </c>
      <c r="F1595" s="24">
        <v>0</v>
      </c>
      <c r="G1595" s="19">
        <v>242</v>
      </c>
      <c r="H1595" s="19">
        <v>0</v>
      </c>
      <c r="I1595" s="19">
        <v>0</v>
      </c>
      <c r="T1595" s="20">
        <f>Registro[[#This Row],[Mes 1]]+Registro[[#This Row],[Mes 2]]+Registro[[#This Row],[Mes 3]]</f>
        <v>0</v>
      </c>
      <c r="U1595" s="20">
        <f>Registro[[#This Row],[Mes 4]]+Registro[[#This Row],[Mes 5]]+Registro[[#This Row],[Mes 6]]</f>
        <v>0</v>
      </c>
      <c r="V1595" s="20">
        <f>Registro[[#This Row],[Mes 7]]+Registro[[#This Row],[Mes 8]]+Registro[[#This Row],[Mes 9]]</f>
        <v>0</v>
      </c>
      <c r="W1595" s="20">
        <f>Registro[[#This Row],[Mes 10]]+Registro[[#This Row],[Mes 11]]+Registro[[#This Row],[Mes 12]]</f>
        <v>0</v>
      </c>
      <c r="X1595" s="20">
        <f>SUM(Registro[[#This Row],[Trim I]],Registro[[#This Row],[Trim II]],Registro[[#This Row],[Trim III]],Registro[[#This Row],[Trim IV]])</f>
        <v>0</v>
      </c>
      <c r="Y1595" s="22">
        <f>IFERROR((Registro[[#This Row],[Avance Total]]/Registro[[#This Row],[Meta]]),0)</f>
        <v>0</v>
      </c>
      <c r="Z1595" s="22">
        <f>IFERROR((Registro[[#This Row],[Avance Total]]-Registro[[#This Row],[Línea Base 2025]])/Registro[[#This Row],[Línea Base 2025]],0)</f>
        <v>0</v>
      </c>
      <c r="AA1595" s="20"/>
    </row>
    <row r="1596" spans="1:27" hidden="1">
      <c r="A1596">
        <v>1123</v>
      </c>
      <c r="B1596" t="s">
        <v>138</v>
      </c>
      <c r="C1596" s="16">
        <v>119</v>
      </c>
      <c r="D1596" s="16" t="s">
        <v>190</v>
      </c>
      <c r="E1596" s="17" t="s">
        <v>189</v>
      </c>
      <c r="F1596" s="24">
        <v>0</v>
      </c>
      <c r="G1596" s="19">
        <v>4</v>
      </c>
      <c r="H1596" s="19">
        <v>0</v>
      </c>
      <c r="I1596" s="19">
        <v>0</v>
      </c>
      <c r="T1596" s="20">
        <f>Registro[[#This Row],[Mes 1]]+Registro[[#This Row],[Mes 2]]+Registro[[#This Row],[Mes 3]]</f>
        <v>0</v>
      </c>
      <c r="U1596" s="20">
        <f>Registro[[#This Row],[Mes 4]]+Registro[[#This Row],[Mes 5]]+Registro[[#This Row],[Mes 6]]</f>
        <v>0</v>
      </c>
      <c r="V1596" s="20">
        <f>Registro[[#This Row],[Mes 7]]+Registro[[#This Row],[Mes 8]]+Registro[[#This Row],[Mes 9]]</f>
        <v>0</v>
      </c>
      <c r="W1596" s="20">
        <f>Registro[[#This Row],[Mes 10]]+Registro[[#This Row],[Mes 11]]+Registro[[#This Row],[Mes 12]]</f>
        <v>0</v>
      </c>
      <c r="X1596" s="20">
        <f>SUM(Registro[[#This Row],[Trim I]],Registro[[#This Row],[Trim II]],Registro[[#This Row],[Trim III]],Registro[[#This Row],[Trim IV]])</f>
        <v>0</v>
      </c>
      <c r="Y1596" s="22">
        <f>IFERROR((Registro[[#This Row],[Avance Total]]/Registro[[#This Row],[Meta]]),0)</f>
        <v>0</v>
      </c>
      <c r="Z1596" s="22">
        <f>IFERROR((Registro[[#This Row],[Avance Total]]-Registro[[#This Row],[Línea Base 2025]])/Registro[[#This Row],[Línea Base 2025]],0)</f>
        <v>0</v>
      </c>
      <c r="AA1596" s="20"/>
    </row>
    <row r="1597" spans="1:27" hidden="1">
      <c r="A1597">
        <v>1123</v>
      </c>
      <c r="B1597" t="s">
        <v>138</v>
      </c>
      <c r="C1597" s="16">
        <v>120</v>
      </c>
      <c r="D1597" s="16" t="s">
        <v>192</v>
      </c>
      <c r="E1597" s="17" t="s">
        <v>191</v>
      </c>
      <c r="F1597" s="24">
        <v>214</v>
      </c>
      <c r="G1597" s="19">
        <v>65</v>
      </c>
      <c r="H1597" s="19">
        <v>0</v>
      </c>
      <c r="I1597" s="19">
        <v>0</v>
      </c>
      <c r="T1597" s="20">
        <f>Registro[[#This Row],[Mes 1]]+Registro[[#This Row],[Mes 2]]+Registro[[#This Row],[Mes 3]]</f>
        <v>0</v>
      </c>
      <c r="U1597" s="20">
        <f>Registro[[#This Row],[Mes 4]]+Registro[[#This Row],[Mes 5]]+Registro[[#This Row],[Mes 6]]</f>
        <v>0</v>
      </c>
      <c r="V1597" s="20">
        <f>Registro[[#This Row],[Mes 7]]+Registro[[#This Row],[Mes 8]]+Registro[[#This Row],[Mes 9]]</f>
        <v>0</v>
      </c>
      <c r="W1597" s="20">
        <f>Registro[[#This Row],[Mes 10]]+Registro[[#This Row],[Mes 11]]+Registro[[#This Row],[Mes 12]]</f>
        <v>0</v>
      </c>
      <c r="X1597" s="20">
        <f>SUM(Registro[[#This Row],[Trim I]],Registro[[#This Row],[Trim II]],Registro[[#This Row],[Trim III]],Registro[[#This Row],[Trim IV]])</f>
        <v>0</v>
      </c>
      <c r="Y1597" s="22">
        <f>IFERROR((Registro[[#This Row],[Avance Total]]/Registro[[#This Row],[Meta]]),0)</f>
        <v>0</v>
      </c>
      <c r="Z1597" s="22">
        <f>IFERROR((Registro[[#This Row],[Avance Total]]-Registro[[#This Row],[Línea Base 2025]])/Registro[[#This Row],[Línea Base 2025]],0)</f>
        <v>-1</v>
      </c>
      <c r="AA1597" s="20"/>
    </row>
    <row r="1598" spans="1:27" hidden="1">
      <c r="A1598">
        <v>1123</v>
      </c>
      <c r="B1598" t="s">
        <v>138</v>
      </c>
      <c r="C1598" s="16">
        <v>121</v>
      </c>
      <c r="D1598" s="16" t="s">
        <v>194</v>
      </c>
      <c r="E1598" s="17" t="s">
        <v>193</v>
      </c>
      <c r="F1598" s="24">
        <v>10</v>
      </c>
      <c r="G1598" s="19">
        <v>12</v>
      </c>
      <c r="H1598" s="19">
        <v>0</v>
      </c>
      <c r="I1598" s="19">
        <v>0</v>
      </c>
      <c r="T1598" s="20">
        <f>Registro[[#This Row],[Mes 1]]+Registro[[#This Row],[Mes 2]]+Registro[[#This Row],[Mes 3]]</f>
        <v>0</v>
      </c>
      <c r="U1598" s="20">
        <f>Registro[[#This Row],[Mes 4]]+Registro[[#This Row],[Mes 5]]+Registro[[#This Row],[Mes 6]]</f>
        <v>0</v>
      </c>
      <c r="V1598" s="20">
        <f>Registro[[#This Row],[Mes 7]]+Registro[[#This Row],[Mes 8]]+Registro[[#This Row],[Mes 9]]</f>
        <v>0</v>
      </c>
      <c r="W1598" s="20">
        <f>Registro[[#This Row],[Mes 10]]+Registro[[#This Row],[Mes 11]]+Registro[[#This Row],[Mes 12]]</f>
        <v>0</v>
      </c>
      <c r="X1598" s="20">
        <f>SUM(Registro[[#This Row],[Trim I]],Registro[[#This Row],[Trim II]],Registro[[#This Row],[Trim III]],Registro[[#This Row],[Trim IV]])</f>
        <v>0</v>
      </c>
      <c r="Y1598" s="22">
        <f>IFERROR((Registro[[#This Row],[Avance Total]]/Registro[[#This Row],[Meta]]),0)</f>
        <v>0</v>
      </c>
      <c r="Z1598" s="22">
        <f>IFERROR((Registro[[#This Row],[Avance Total]]-Registro[[#This Row],[Línea Base 2025]])/Registro[[#This Row],[Línea Base 2025]],0)</f>
        <v>-1</v>
      </c>
      <c r="AA1598" s="20"/>
    </row>
    <row r="1599" spans="1:27" hidden="1">
      <c r="A1599">
        <v>1123</v>
      </c>
      <c r="B1599" t="s">
        <v>138</v>
      </c>
      <c r="C1599" s="16">
        <v>122</v>
      </c>
      <c r="D1599" s="16" t="s">
        <v>196</v>
      </c>
      <c r="E1599" s="17" t="s">
        <v>195</v>
      </c>
      <c r="F1599" s="24">
        <v>7</v>
      </c>
      <c r="G1599" s="19">
        <v>10</v>
      </c>
      <c r="H1599" s="19">
        <v>0</v>
      </c>
      <c r="I1599" s="19">
        <v>0</v>
      </c>
      <c r="T1599" s="20">
        <f>Registro[[#This Row],[Mes 1]]+Registro[[#This Row],[Mes 2]]+Registro[[#This Row],[Mes 3]]</f>
        <v>0</v>
      </c>
      <c r="U1599" s="20">
        <f>Registro[[#This Row],[Mes 4]]+Registro[[#This Row],[Mes 5]]+Registro[[#This Row],[Mes 6]]</f>
        <v>0</v>
      </c>
      <c r="V1599" s="20">
        <f>Registro[[#This Row],[Mes 7]]+Registro[[#This Row],[Mes 8]]+Registro[[#This Row],[Mes 9]]</f>
        <v>0</v>
      </c>
      <c r="W1599" s="20">
        <f>Registro[[#This Row],[Mes 10]]+Registro[[#This Row],[Mes 11]]+Registro[[#This Row],[Mes 12]]</f>
        <v>0</v>
      </c>
      <c r="X1599" s="20">
        <f>SUM(Registro[[#This Row],[Trim I]],Registro[[#This Row],[Trim II]],Registro[[#This Row],[Trim III]],Registro[[#This Row],[Trim IV]])</f>
        <v>0</v>
      </c>
      <c r="Y1599" s="22">
        <f>IFERROR((Registro[[#This Row],[Avance Total]]/Registro[[#This Row],[Meta]]),0)</f>
        <v>0</v>
      </c>
      <c r="Z1599" s="22">
        <f>IFERROR((Registro[[#This Row],[Avance Total]]-Registro[[#This Row],[Línea Base 2025]])/Registro[[#This Row],[Línea Base 2025]],0)</f>
        <v>-1</v>
      </c>
      <c r="AA1599" s="20"/>
    </row>
    <row r="1600" spans="1:27" hidden="1">
      <c r="A1600">
        <v>1123</v>
      </c>
      <c r="B1600" t="s">
        <v>138</v>
      </c>
      <c r="C1600" s="26">
        <v>123</v>
      </c>
      <c r="D1600" s="26" t="s">
        <v>198</v>
      </c>
      <c r="E1600" s="17" t="s">
        <v>197</v>
      </c>
      <c r="F1600" s="32">
        <v>0</v>
      </c>
      <c r="G1600" s="28">
        <v>8</v>
      </c>
      <c r="H1600" s="28">
        <v>0</v>
      </c>
      <c r="I1600" s="28">
        <v>0</v>
      </c>
      <c r="J1600" s="27"/>
      <c r="K1600" s="27"/>
      <c r="L1600" s="27"/>
      <c r="M1600" s="27"/>
      <c r="N1600" s="27"/>
      <c r="O1600" s="27"/>
      <c r="P1600" s="27"/>
      <c r="Q1600" s="27"/>
      <c r="R1600" s="27"/>
      <c r="S1600" s="27"/>
      <c r="T1600" s="29">
        <f>Registro[[#This Row],[Mes 1]]+Registro[[#This Row],[Mes 2]]+Registro[[#This Row],[Mes 3]]</f>
        <v>0</v>
      </c>
      <c r="U1600" s="29">
        <f>Registro[[#This Row],[Mes 4]]+Registro[[#This Row],[Mes 5]]+Registro[[#This Row],[Mes 6]]</f>
        <v>0</v>
      </c>
      <c r="V1600" s="29">
        <f>Registro[[#This Row],[Mes 7]]+Registro[[#This Row],[Mes 8]]+Registro[[#This Row],[Mes 9]]</f>
        <v>0</v>
      </c>
      <c r="W1600" s="29">
        <f>Registro[[#This Row],[Mes 10]]+Registro[[#This Row],[Mes 11]]+Registro[[#This Row],[Mes 12]]</f>
        <v>0</v>
      </c>
      <c r="X1600" s="29">
        <f>SUM(Registro[[#This Row],[Trim I]],Registro[[#This Row],[Trim II]],Registro[[#This Row],[Trim III]],Registro[[#This Row],[Trim IV]])</f>
        <v>0</v>
      </c>
      <c r="Y1600" s="30">
        <f>IFERROR((Registro[[#This Row],[Avance Total]]/Registro[[#This Row],[Meta]]),0)</f>
        <v>0</v>
      </c>
      <c r="Z1600" s="30">
        <f>IFERROR((Registro[[#This Row],[Avance Total]]-Registro[[#This Row],[Línea Base 2025]])/Registro[[#This Row],[Línea Base 2025]],0)</f>
        <v>0</v>
      </c>
      <c r="AA1600" s="29"/>
    </row>
    <row r="1601" spans="1:27" hidden="1">
      <c r="A1601">
        <v>1124</v>
      </c>
      <c r="B1601" t="s">
        <v>139</v>
      </c>
      <c r="C1601" s="16">
        <v>111</v>
      </c>
      <c r="D1601" s="16" t="s">
        <v>171</v>
      </c>
      <c r="E1601" s="17" t="s">
        <v>172</v>
      </c>
      <c r="F1601" s="24">
        <v>23</v>
      </c>
      <c r="G1601" s="19">
        <v>250</v>
      </c>
      <c r="H1601" s="19">
        <v>3</v>
      </c>
      <c r="I1601" s="19">
        <v>8</v>
      </c>
      <c r="T1601" s="20">
        <f>Registro[[#This Row],[Mes 1]]+Registro[[#This Row],[Mes 2]]+Registro[[#This Row],[Mes 3]]</f>
        <v>11</v>
      </c>
      <c r="U1601" s="20">
        <f>Registro[[#This Row],[Mes 4]]+Registro[[#This Row],[Mes 5]]+Registro[[#This Row],[Mes 6]]</f>
        <v>0</v>
      </c>
      <c r="V1601" s="20">
        <f>Registro[[#This Row],[Mes 7]]+Registro[[#This Row],[Mes 8]]+Registro[[#This Row],[Mes 9]]</f>
        <v>0</v>
      </c>
      <c r="W1601" s="20">
        <f>Registro[[#This Row],[Mes 10]]+Registro[[#This Row],[Mes 11]]+Registro[[#This Row],[Mes 12]]</f>
        <v>0</v>
      </c>
      <c r="X1601" s="20">
        <f>SUM(Registro[[#This Row],[Trim I]],Registro[[#This Row],[Trim II]],Registro[[#This Row],[Trim III]],Registro[[#This Row],[Trim IV]])</f>
        <v>11</v>
      </c>
      <c r="Y1601" s="22">
        <f>IFERROR((Registro[[#This Row],[Avance Total]]/Registro[[#This Row],[Meta]]),0)</f>
        <v>4.3999999999999997E-2</v>
      </c>
      <c r="Z1601" s="22">
        <f>IFERROR((Registro[[#This Row],[Avance Total]]-Registro[[#This Row],[Línea Base 2025]])/Registro[[#This Row],[Línea Base 2025]],0)</f>
        <v>-0.52173913043478259</v>
      </c>
      <c r="AA1601" s="20"/>
    </row>
    <row r="1602" spans="1:27" hidden="1">
      <c r="A1602">
        <v>1124</v>
      </c>
      <c r="B1602" t="s">
        <v>139</v>
      </c>
      <c r="C1602" s="16">
        <v>112</v>
      </c>
      <c r="D1602" s="16" t="s">
        <v>173</v>
      </c>
      <c r="E1602" s="17" t="s">
        <v>7</v>
      </c>
      <c r="F1602" s="24">
        <v>3</v>
      </c>
      <c r="G1602" s="19">
        <v>37</v>
      </c>
      <c r="H1602" s="19">
        <v>0</v>
      </c>
      <c r="I1602" s="19">
        <v>0</v>
      </c>
      <c r="T1602" s="20">
        <f>Registro[[#This Row],[Mes 1]]+Registro[[#This Row],[Mes 2]]+Registro[[#This Row],[Mes 3]]</f>
        <v>0</v>
      </c>
      <c r="U1602" s="20">
        <f>Registro[[#This Row],[Mes 4]]+Registro[[#This Row],[Mes 5]]+Registro[[#This Row],[Mes 6]]</f>
        <v>0</v>
      </c>
      <c r="V1602" s="20">
        <f>Registro[[#This Row],[Mes 7]]+Registro[[#This Row],[Mes 8]]+Registro[[#This Row],[Mes 9]]</f>
        <v>0</v>
      </c>
      <c r="W1602" s="20">
        <f>Registro[[#This Row],[Mes 10]]+Registro[[#This Row],[Mes 11]]+Registro[[#This Row],[Mes 12]]</f>
        <v>0</v>
      </c>
      <c r="X1602" s="20">
        <f>SUM(Registro[[#This Row],[Trim I]],Registro[[#This Row],[Trim II]],Registro[[#This Row],[Trim III]],Registro[[#This Row],[Trim IV]])</f>
        <v>0</v>
      </c>
      <c r="Y1602" s="22">
        <f>IFERROR((Registro[[#This Row],[Avance Total]]/Registro[[#This Row],[Meta]]),0)</f>
        <v>0</v>
      </c>
      <c r="Z1602" s="22">
        <f>IFERROR((Registro[[#This Row],[Avance Total]]-Registro[[#This Row],[Línea Base 2025]])/Registro[[#This Row],[Línea Base 2025]],0)</f>
        <v>-1</v>
      </c>
      <c r="AA1602" s="20"/>
    </row>
    <row r="1603" spans="1:27" hidden="1">
      <c r="A1603">
        <v>1124</v>
      </c>
      <c r="B1603" t="s">
        <v>139</v>
      </c>
      <c r="C1603" s="16">
        <v>113</v>
      </c>
      <c r="D1603" s="16" t="s">
        <v>179</v>
      </c>
      <c r="E1603" s="17" t="s">
        <v>178</v>
      </c>
      <c r="F1603" s="24">
        <v>12</v>
      </c>
      <c r="G1603" s="19">
        <v>276</v>
      </c>
      <c r="H1603" s="19">
        <v>3</v>
      </c>
      <c r="I1603" s="19">
        <v>1</v>
      </c>
      <c r="T1603" s="20">
        <f>Registro[[#This Row],[Mes 1]]+Registro[[#This Row],[Mes 2]]+Registro[[#This Row],[Mes 3]]</f>
        <v>4</v>
      </c>
      <c r="U1603" s="20">
        <f>Registro[[#This Row],[Mes 4]]+Registro[[#This Row],[Mes 5]]+Registro[[#This Row],[Mes 6]]</f>
        <v>0</v>
      </c>
      <c r="V1603" s="20">
        <f>Registro[[#This Row],[Mes 7]]+Registro[[#This Row],[Mes 8]]+Registro[[#This Row],[Mes 9]]</f>
        <v>0</v>
      </c>
      <c r="W1603" s="20">
        <f>Registro[[#This Row],[Mes 10]]+Registro[[#This Row],[Mes 11]]+Registro[[#This Row],[Mes 12]]</f>
        <v>0</v>
      </c>
      <c r="X1603" s="20">
        <f>SUM(Registro[[#This Row],[Trim I]],Registro[[#This Row],[Trim II]],Registro[[#This Row],[Trim III]],Registro[[#This Row],[Trim IV]])</f>
        <v>4</v>
      </c>
      <c r="Y1603" s="22">
        <f>IFERROR((Registro[[#This Row],[Avance Total]]/Registro[[#This Row],[Meta]]),0)</f>
        <v>1.4492753623188406E-2</v>
      </c>
      <c r="Z1603" s="22">
        <f>IFERROR((Registro[[#This Row],[Avance Total]]-Registro[[#This Row],[Línea Base 2025]])/Registro[[#This Row],[Línea Base 2025]],0)</f>
        <v>-0.66666666666666663</v>
      </c>
      <c r="AA1603" s="20"/>
    </row>
    <row r="1604" spans="1:27" hidden="1">
      <c r="A1604">
        <v>1124</v>
      </c>
      <c r="B1604" t="s">
        <v>139</v>
      </c>
      <c r="C1604" s="16">
        <v>114</v>
      </c>
      <c r="D1604" s="16" t="s">
        <v>181</v>
      </c>
      <c r="E1604" s="17" t="s">
        <v>180</v>
      </c>
      <c r="F1604" s="24">
        <v>0</v>
      </c>
      <c r="G1604" s="19">
        <v>7</v>
      </c>
      <c r="H1604" s="19">
        <v>2</v>
      </c>
      <c r="I1604" s="19">
        <v>0</v>
      </c>
      <c r="T1604" s="20">
        <f>Registro[[#This Row],[Mes 1]]+Registro[[#This Row],[Mes 2]]+Registro[[#This Row],[Mes 3]]</f>
        <v>2</v>
      </c>
      <c r="U1604" s="20">
        <f>Registro[[#This Row],[Mes 4]]+Registro[[#This Row],[Mes 5]]+Registro[[#This Row],[Mes 6]]</f>
        <v>0</v>
      </c>
      <c r="V1604" s="20">
        <f>Registro[[#This Row],[Mes 7]]+Registro[[#This Row],[Mes 8]]+Registro[[#This Row],[Mes 9]]</f>
        <v>0</v>
      </c>
      <c r="W1604" s="20">
        <f>Registro[[#This Row],[Mes 10]]+Registro[[#This Row],[Mes 11]]+Registro[[#This Row],[Mes 12]]</f>
        <v>0</v>
      </c>
      <c r="X1604" s="20">
        <f>SUM(Registro[[#This Row],[Trim I]],Registro[[#This Row],[Trim II]],Registro[[#This Row],[Trim III]],Registro[[#This Row],[Trim IV]])</f>
        <v>2</v>
      </c>
      <c r="Y1604" s="22">
        <f>IFERROR((Registro[[#This Row],[Avance Total]]/Registro[[#This Row],[Meta]]),0)</f>
        <v>0.2857142857142857</v>
      </c>
      <c r="Z1604" s="22">
        <f>IFERROR((Registro[[#This Row],[Avance Total]]-Registro[[#This Row],[Línea Base 2025]])/Registro[[#This Row],[Línea Base 2025]],0)</f>
        <v>0</v>
      </c>
      <c r="AA1604" s="20"/>
    </row>
    <row r="1605" spans="1:27" hidden="1">
      <c r="A1605">
        <v>1124</v>
      </c>
      <c r="B1605" t="s">
        <v>139</v>
      </c>
      <c r="C1605" s="16">
        <v>115</v>
      </c>
      <c r="D1605" s="16" t="s">
        <v>183</v>
      </c>
      <c r="E1605" s="17" t="s">
        <v>182</v>
      </c>
      <c r="F1605" s="24">
        <v>0</v>
      </c>
      <c r="G1605" s="19">
        <v>6</v>
      </c>
      <c r="H1605" s="19">
        <v>0</v>
      </c>
      <c r="I1605" s="19">
        <v>0</v>
      </c>
      <c r="T1605" s="20">
        <f>Registro[[#This Row],[Mes 1]]+Registro[[#This Row],[Mes 2]]+Registro[[#This Row],[Mes 3]]</f>
        <v>0</v>
      </c>
      <c r="U1605" s="20">
        <f>Registro[[#This Row],[Mes 4]]+Registro[[#This Row],[Mes 5]]+Registro[[#This Row],[Mes 6]]</f>
        <v>0</v>
      </c>
      <c r="V1605" s="20">
        <f>Registro[[#This Row],[Mes 7]]+Registro[[#This Row],[Mes 8]]+Registro[[#This Row],[Mes 9]]</f>
        <v>0</v>
      </c>
      <c r="W1605" s="20">
        <f>Registro[[#This Row],[Mes 10]]+Registro[[#This Row],[Mes 11]]+Registro[[#This Row],[Mes 12]]</f>
        <v>0</v>
      </c>
      <c r="X1605" s="20">
        <f>SUM(Registro[[#This Row],[Trim I]],Registro[[#This Row],[Trim II]],Registro[[#This Row],[Trim III]],Registro[[#This Row],[Trim IV]])</f>
        <v>0</v>
      </c>
      <c r="Y1605" s="22">
        <f>IFERROR((Registro[[#This Row],[Avance Total]]/Registro[[#This Row],[Meta]]),0)</f>
        <v>0</v>
      </c>
      <c r="Z1605" s="22">
        <f>IFERROR((Registro[[#This Row],[Avance Total]]-Registro[[#This Row],[Línea Base 2025]])/Registro[[#This Row],[Línea Base 2025]],0)</f>
        <v>0</v>
      </c>
      <c r="AA1605" s="20"/>
    </row>
    <row r="1606" spans="1:27">
      <c r="A1606">
        <v>1124</v>
      </c>
      <c r="B1606" t="s">
        <v>139</v>
      </c>
      <c r="C1606" s="16">
        <v>116</v>
      </c>
      <c r="D1606" s="16" t="s">
        <v>185</v>
      </c>
      <c r="E1606" s="17" t="s">
        <v>184</v>
      </c>
      <c r="F1606" s="24">
        <v>0</v>
      </c>
      <c r="G1606" s="19">
        <v>2</v>
      </c>
      <c r="H1606" s="19">
        <v>0</v>
      </c>
      <c r="I1606" s="19">
        <v>0</v>
      </c>
      <c r="T1606" s="20">
        <f>Registro[[#This Row],[Mes 1]]+Registro[[#This Row],[Mes 2]]+Registro[[#This Row],[Mes 3]]</f>
        <v>0</v>
      </c>
      <c r="U1606" s="20">
        <f>Registro[[#This Row],[Mes 4]]+Registro[[#This Row],[Mes 5]]+Registro[[#This Row],[Mes 6]]</f>
        <v>0</v>
      </c>
      <c r="V1606" s="20">
        <f>Registro[[#This Row],[Mes 7]]+Registro[[#This Row],[Mes 8]]+Registro[[#This Row],[Mes 9]]</f>
        <v>0</v>
      </c>
      <c r="W1606" s="20">
        <f>Registro[[#This Row],[Mes 10]]+Registro[[#This Row],[Mes 11]]+Registro[[#This Row],[Mes 12]]</f>
        <v>0</v>
      </c>
      <c r="X1606" s="20">
        <f>SUM(Registro[[#This Row],[Trim I]],Registro[[#This Row],[Trim II]],Registro[[#This Row],[Trim III]],Registro[[#This Row],[Trim IV]])</f>
        <v>0</v>
      </c>
      <c r="Y1606" s="22">
        <f>IFERROR((Registro[[#This Row],[Avance Total]]/Registro[[#This Row],[Meta]]),0)</f>
        <v>0</v>
      </c>
      <c r="Z1606" s="22">
        <f>IFERROR((Registro[[#This Row],[Avance Total]]-Registro[[#This Row],[Línea Base 2025]])/Registro[[#This Row],[Línea Base 2025]],0)</f>
        <v>0</v>
      </c>
      <c r="AA1606" s="20"/>
    </row>
    <row r="1607" spans="1:27" hidden="1">
      <c r="A1607">
        <v>1124</v>
      </c>
      <c r="B1607" t="s">
        <v>139</v>
      </c>
      <c r="C1607" s="16">
        <v>117</v>
      </c>
      <c r="D1607" s="16" t="s">
        <v>187</v>
      </c>
      <c r="E1607" s="17" t="s">
        <v>186</v>
      </c>
      <c r="F1607" s="24">
        <v>1</v>
      </c>
      <c r="G1607" s="19">
        <v>1</v>
      </c>
      <c r="H1607" s="19">
        <v>0</v>
      </c>
      <c r="I1607" s="19">
        <v>0</v>
      </c>
      <c r="T1607" s="20">
        <f>Registro[[#This Row],[Mes 1]]+Registro[[#This Row],[Mes 2]]+Registro[[#This Row],[Mes 3]]</f>
        <v>0</v>
      </c>
      <c r="U1607" s="20">
        <f>Registro[[#This Row],[Mes 4]]+Registro[[#This Row],[Mes 5]]+Registro[[#This Row],[Mes 6]]</f>
        <v>0</v>
      </c>
      <c r="V1607" s="20">
        <f>Registro[[#This Row],[Mes 7]]+Registro[[#This Row],[Mes 8]]+Registro[[#This Row],[Mes 9]]</f>
        <v>0</v>
      </c>
      <c r="W1607" s="20">
        <f>Registro[[#This Row],[Mes 10]]+Registro[[#This Row],[Mes 11]]+Registro[[#This Row],[Mes 12]]</f>
        <v>0</v>
      </c>
      <c r="X1607" s="20">
        <f>SUM(Registro[[#This Row],[Trim I]],Registro[[#This Row],[Trim II]],Registro[[#This Row],[Trim III]],Registro[[#This Row],[Trim IV]])</f>
        <v>0</v>
      </c>
      <c r="Y1607" s="22">
        <f>IFERROR((Registro[[#This Row],[Avance Total]]/Registro[[#This Row],[Meta]]),0)</f>
        <v>0</v>
      </c>
      <c r="Z1607" s="22">
        <f>IFERROR((Registro[[#This Row],[Avance Total]]-Registro[[#This Row],[Línea Base 2025]])/Registro[[#This Row],[Línea Base 2025]],0)</f>
        <v>-1</v>
      </c>
      <c r="AA1607" s="20"/>
    </row>
    <row r="1608" spans="1:27" hidden="1">
      <c r="A1608">
        <v>1124</v>
      </c>
      <c r="B1608" t="s">
        <v>139</v>
      </c>
      <c r="C1608" s="16">
        <v>118</v>
      </c>
      <c r="D1608" s="16" t="s">
        <v>188</v>
      </c>
      <c r="E1608" s="17" t="s">
        <v>9</v>
      </c>
      <c r="F1608" s="24">
        <v>0</v>
      </c>
      <c r="G1608" s="19">
        <v>17</v>
      </c>
      <c r="H1608" s="19">
        <v>0</v>
      </c>
      <c r="I1608" s="19">
        <v>0</v>
      </c>
      <c r="T1608" s="20">
        <f>Registro[[#This Row],[Mes 1]]+Registro[[#This Row],[Mes 2]]+Registro[[#This Row],[Mes 3]]</f>
        <v>0</v>
      </c>
      <c r="U1608" s="20">
        <f>Registro[[#This Row],[Mes 4]]+Registro[[#This Row],[Mes 5]]+Registro[[#This Row],[Mes 6]]</f>
        <v>0</v>
      </c>
      <c r="V1608" s="20">
        <f>Registro[[#This Row],[Mes 7]]+Registro[[#This Row],[Mes 8]]+Registro[[#This Row],[Mes 9]]</f>
        <v>0</v>
      </c>
      <c r="W1608" s="20">
        <f>Registro[[#This Row],[Mes 10]]+Registro[[#This Row],[Mes 11]]+Registro[[#This Row],[Mes 12]]</f>
        <v>0</v>
      </c>
      <c r="X1608" s="20">
        <f>SUM(Registro[[#This Row],[Trim I]],Registro[[#This Row],[Trim II]],Registro[[#This Row],[Trim III]],Registro[[#This Row],[Trim IV]])</f>
        <v>0</v>
      </c>
      <c r="Y1608" s="22">
        <f>IFERROR((Registro[[#This Row],[Avance Total]]/Registro[[#This Row],[Meta]]),0)</f>
        <v>0</v>
      </c>
      <c r="Z1608" s="22">
        <f>IFERROR((Registro[[#This Row],[Avance Total]]-Registro[[#This Row],[Línea Base 2025]])/Registro[[#This Row],[Línea Base 2025]],0)</f>
        <v>0</v>
      </c>
      <c r="AA1608" s="20"/>
    </row>
    <row r="1609" spans="1:27" hidden="1">
      <c r="A1609">
        <v>1124</v>
      </c>
      <c r="B1609" t="s">
        <v>139</v>
      </c>
      <c r="C1609" s="16">
        <v>119</v>
      </c>
      <c r="D1609" s="16" t="s">
        <v>190</v>
      </c>
      <c r="E1609" s="17" t="s">
        <v>189</v>
      </c>
      <c r="F1609" s="24">
        <v>0</v>
      </c>
      <c r="G1609" s="19">
        <v>2</v>
      </c>
      <c r="H1609" s="19">
        <v>0</v>
      </c>
      <c r="I1609" s="19">
        <v>0</v>
      </c>
      <c r="T1609" s="20">
        <f>Registro[[#This Row],[Mes 1]]+Registro[[#This Row],[Mes 2]]+Registro[[#This Row],[Mes 3]]</f>
        <v>0</v>
      </c>
      <c r="U1609" s="20">
        <f>Registro[[#This Row],[Mes 4]]+Registro[[#This Row],[Mes 5]]+Registro[[#This Row],[Mes 6]]</f>
        <v>0</v>
      </c>
      <c r="V1609" s="20">
        <f>Registro[[#This Row],[Mes 7]]+Registro[[#This Row],[Mes 8]]+Registro[[#This Row],[Mes 9]]</f>
        <v>0</v>
      </c>
      <c r="W1609" s="20">
        <f>Registro[[#This Row],[Mes 10]]+Registro[[#This Row],[Mes 11]]+Registro[[#This Row],[Mes 12]]</f>
        <v>0</v>
      </c>
      <c r="X1609" s="20">
        <f>SUM(Registro[[#This Row],[Trim I]],Registro[[#This Row],[Trim II]],Registro[[#This Row],[Trim III]],Registro[[#This Row],[Trim IV]])</f>
        <v>0</v>
      </c>
      <c r="Y1609" s="22">
        <f>IFERROR((Registro[[#This Row],[Avance Total]]/Registro[[#This Row],[Meta]]),0)</f>
        <v>0</v>
      </c>
      <c r="Z1609" s="22">
        <f>IFERROR((Registro[[#This Row],[Avance Total]]-Registro[[#This Row],[Línea Base 2025]])/Registro[[#This Row],[Línea Base 2025]],0)</f>
        <v>0</v>
      </c>
      <c r="AA1609" s="20"/>
    </row>
    <row r="1610" spans="1:27" hidden="1">
      <c r="A1610">
        <v>1124</v>
      </c>
      <c r="B1610" t="s">
        <v>139</v>
      </c>
      <c r="C1610" s="16">
        <v>120</v>
      </c>
      <c r="D1610" s="16" t="s">
        <v>192</v>
      </c>
      <c r="E1610" s="17" t="s">
        <v>191</v>
      </c>
      <c r="F1610" s="24">
        <v>0</v>
      </c>
      <c r="G1610" s="19">
        <v>8</v>
      </c>
      <c r="H1610" s="19">
        <v>0</v>
      </c>
      <c r="I1610" s="19">
        <v>0</v>
      </c>
      <c r="T1610" s="20">
        <f>Registro[[#This Row],[Mes 1]]+Registro[[#This Row],[Mes 2]]+Registro[[#This Row],[Mes 3]]</f>
        <v>0</v>
      </c>
      <c r="U1610" s="20">
        <f>Registro[[#This Row],[Mes 4]]+Registro[[#This Row],[Mes 5]]+Registro[[#This Row],[Mes 6]]</f>
        <v>0</v>
      </c>
      <c r="V1610" s="20">
        <f>Registro[[#This Row],[Mes 7]]+Registro[[#This Row],[Mes 8]]+Registro[[#This Row],[Mes 9]]</f>
        <v>0</v>
      </c>
      <c r="W1610" s="20">
        <f>Registro[[#This Row],[Mes 10]]+Registro[[#This Row],[Mes 11]]+Registro[[#This Row],[Mes 12]]</f>
        <v>0</v>
      </c>
      <c r="X1610" s="20">
        <f>SUM(Registro[[#This Row],[Trim I]],Registro[[#This Row],[Trim II]],Registro[[#This Row],[Trim III]],Registro[[#This Row],[Trim IV]])</f>
        <v>0</v>
      </c>
      <c r="Y1610" s="22">
        <f>IFERROR((Registro[[#This Row],[Avance Total]]/Registro[[#This Row],[Meta]]),0)</f>
        <v>0</v>
      </c>
      <c r="Z1610" s="22">
        <f>IFERROR((Registro[[#This Row],[Avance Total]]-Registro[[#This Row],[Línea Base 2025]])/Registro[[#This Row],[Línea Base 2025]],0)</f>
        <v>0</v>
      </c>
      <c r="AA1610" s="20"/>
    </row>
    <row r="1611" spans="1:27" hidden="1">
      <c r="A1611">
        <v>1124</v>
      </c>
      <c r="B1611" t="s">
        <v>139</v>
      </c>
      <c r="C1611" s="16">
        <v>121</v>
      </c>
      <c r="D1611" s="16" t="s">
        <v>194</v>
      </c>
      <c r="E1611" s="17" t="s">
        <v>193</v>
      </c>
      <c r="F1611" s="24">
        <v>0</v>
      </c>
      <c r="G1611" s="19">
        <v>0</v>
      </c>
      <c r="H1611" s="19">
        <v>0</v>
      </c>
      <c r="I1611" s="19">
        <v>0</v>
      </c>
      <c r="T1611" s="20">
        <f>Registro[[#This Row],[Mes 1]]+Registro[[#This Row],[Mes 2]]+Registro[[#This Row],[Mes 3]]</f>
        <v>0</v>
      </c>
      <c r="U1611" s="20">
        <f>Registro[[#This Row],[Mes 4]]+Registro[[#This Row],[Mes 5]]+Registro[[#This Row],[Mes 6]]</f>
        <v>0</v>
      </c>
      <c r="V1611" s="20">
        <f>Registro[[#This Row],[Mes 7]]+Registro[[#This Row],[Mes 8]]+Registro[[#This Row],[Mes 9]]</f>
        <v>0</v>
      </c>
      <c r="W1611" s="20">
        <f>Registro[[#This Row],[Mes 10]]+Registro[[#This Row],[Mes 11]]+Registro[[#This Row],[Mes 12]]</f>
        <v>0</v>
      </c>
      <c r="X1611" s="20">
        <f>SUM(Registro[[#This Row],[Trim I]],Registro[[#This Row],[Trim II]],Registro[[#This Row],[Trim III]],Registro[[#This Row],[Trim IV]])</f>
        <v>0</v>
      </c>
      <c r="Y1611" s="22">
        <f>IFERROR((Registro[[#This Row],[Avance Total]]/Registro[[#This Row],[Meta]]),0)</f>
        <v>0</v>
      </c>
      <c r="Z1611" s="22">
        <f>IFERROR((Registro[[#This Row],[Avance Total]]-Registro[[#This Row],[Línea Base 2025]])/Registro[[#This Row],[Línea Base 2025]],0)</f>
        <v>0</v>
      </c>
      <c r="AA1611" s="20"/>
    </row>
    <row r="1612" spans="1:27" hidden="1">
      <c r="A1612">
        <v>1124</v>
      </c>
      <c r="B1612" t="s">
        <v>139</v>
      </c>
      <c r="C1612" s="16">
        <v>122</v>
      </c>
      <c r="D1612" s="16" t="s">
        <v>196</v>
      </c>
      <c r="E1612" s="17" t="s">
        <v>195</v>
      </c>
      <c r="F1612" s="24">
        <v>1</v>
      </c>
      <c r="G1612" s="19">
        <v>5</v>
      </c>
      <c r="H1612" s="19">
        <v>0</v>
      </c>
      <c r="I1612" s="19">
        <v>0</v>
      </c>
      <c r="T1612" s="20">
        <f>Registro[[#This Row],[Mes 1]]+Registro[[#This Row],[Mes 2]]+Registro[[#This Row],[Mes 3]]</f>
        <v>0</v>
      </c>
      <c r="U1612" s="20">
        <f>Registro[[#This Row],[Mes 4]]+Registro[[#This Row],[Mes 5]]+Registro[[#This Row],[Mes 6]]</f>
        <v>0</v>
      </c>
      <c r="V1612" s="20">
        <f>Registro[[#This Row],[Mes 7]]+Registro[[#This Row],[Mes 8]]+Registro[[#This Row],[Mes 9]]</f>
        <v>0</v>
      </c>
      <c r="W1612" s="20">
        <f>Registro[[#This Row],[Mes 10]]+Registro[[#This Row],[Mes 11]]+Registro[[#This Row],[Mes 12]]</f>
        <v>0</v>
      </c>
      <c r="X1612" s="20">
        <f>SUM(Registro[[#This Row],[Trim I]],Registro[[#This Row],[Trim II]],Registro[[#This Row],[Trim III]],Registro[[#This Row],[Trim IV]])</f>
        <v>0</v>
      </c>
      <c r="Y1612" s="22">
        <f>IFERROR((Registro[[#This Row],[Avance Total]]/Registro[[#This Row],[Meta]]),0)</f>
        <v>0</v>
      </c>
      <c r="Z1612" s="22">
        <f>IFERROR((Registro[[#This Row],[Avance Total]]-Registro[[#This Row],[Línea Base 2025]])/Registro[[#This Row],[Línea Base 2025]],0)</f>
        <v>-1</v>
      </c>
      <c r="AA1612" s="20"/>
    </row>
    <row r="1613" spans="1:27" hidden="1">
      <c r="A1613">
        <v>1124</v>
      </c>
      <c r="B1613" t="s">
        <v>139</v>
      </c>
      <c r="C1613" s="26">
        <v>123</v>
      </c>
      <c r="D1613" s="26" t="s">
        <v>198</v>
      </c>
      <c r="E1613" s="17" t="s">
        <v>197</v>
      </c>
      <c r="F1613" s="32">
        <v>0</v>
      </c>
      <c r="G1613" s="28">
        <v>4</v>
      </c>
      <c r="H1613" s="28">
        <v>0</v>
      </c>
      <c r="I1613" s="28">
        <v>0</v>
      </c>
      <c r="J1613" s="27"/>
      <c r="K1613" s="27"/>
      <c r="L1613" s="27"/>
      <c r="M1613" s="27"/>
      <c r="N1613" s="27"/>
      <c r="O1613" s="27"/>
      <c r="P1613" s="27"/>
      <c r="Q1613" s="27"/>
      <c r="R1613" s="27"/>
      <c r="S1613" s="27"/>
      <c r="T1613" s="29">
        <f>Registro[[#This Row],[Mes 1]]+Registro[[#This Row],[Mes 2]]+Registro[[#This Row],[Mes 3]]</f>
        <v>0</v>
      </c>
      <c r="U1613" s="29">
        <f>Registro[[#This Row],[Mes 4]]+Registro[[#This Row],[Mes 5]]+Registro[[#This Row],[Mes 6]]</f>
        <v>0</v>
      </c>
      <c r="V1613" s="29">
        <f>Registro[[#This Row],[Mes 7]]+Registro[[#This Row],[Mes 8]]+Registro[[#This Row],[Mes 9]]</f>
        <v>0</v>
      </c>
      <c r="W1613" s="29">
        <f>Registro[[#This Row],[Mes 10]]+Registro[[#This Row],[Mes 11]]+Registro[[#This Row],[Mes 12]]</f>
        <v>0</v>
      </c>
      <c r="X1613" s="29">
        <f>SUM(Registro[[#This Row],[Trim I]],Registro[[#This Row],[Trim II]],Registro[[#This Row],[Trim III]],Registro[[#This Row],[Trim IV]])</f>
        <v>0</v>
      </c>
      <c r="Y1613" s="30">
        <f>IFERROR((Registro[[#This Row],[Avance Total]]/Registro[[#This Row],[Meta]]),0)</f>
        <v>0</v>
      </c>
      <c r="Z1613" s="30">
        <f>IFERROR((Registro[[#This Row],[Avance Total]]-Registro[[#This Row],[Línea Base 2025]])/Registro[[#This Row],[Línea Base 2025]],0)</f>
        <v>0</v>
      </c>
      <c r="AA1613" s="29"/>
    </row>
    <row r="1614" spans="1:27" hidden="1">
      <c r="A1614">
        <v>1125</v>
      </c>
      <c r="B1614" t="s">
        <v>140</v>
      </c>
      <c r="C1614" s="16">
        <v>111</v>
      </c>
      <c r="D1614" s="16" t="s">
        <v>171</v>
      </c>
      <c r="E1614" s="17" t="s">
        <v>172</v>
      </c>
      <c r="F1614" s="24">
        <v>44</v>
      </c>
      <c r="G1614" s="19">
        <v>425</v>
      </c>
      <c r="H1614" s="19">
        <v>0</v>
      </c>
      <c r="I1614" s="19">
        <v>1</v>
      </c>
      <c r="T1614" s="20">
        <f>Registro[[#This Row],[Mes 1]]+Registro[[#This Row],[Mes 2]]+Registro[[#This Row],[Mes 3]]</f>
        <v>1</v>
      </c>
      <c r="U1614" s="20">
        <f>Registro[[#This Row],[Mes 4]]+Registro[[#This Row],[Mes 5]]+Registro[[#This Row],[Mes 6]]</f>
        <v>0</v>
      </c>
      <c r="V1614" s="20">
        <f>Registro[[#This Row],[Mes 7]]+Registro[[#This Row],[Mes 8]]+Registro[[#This Row],[Mes 9]]</f>
        <v>0</v>
      </c>
      <c r="W1614" s="20">
        <f>Registro[[#This Row],[Mes 10]]+Registro[[#This Row],[Mes 11]]+Registro[[#This Row],[Mes 12]]</f>
        <v>0</v>
      </c>
      <c r="X1614" s="20">
        <f>SUM(Registro[[#This Row],[Trim I]],Registro[[#This Row],[Trim II]],Registro[[#This Row],[Trim III]],Registro[[#This Row],[Trim IV]])</f>
        <v>1</v>
      </c>
      <c r="Y1614" s="22">
        <f>IFERROR((Registro[[#This Row],[Avance Total]]/Registro[[#This Row],[Meta]]),0)</f>
        <v>2.352941176470588E-3</v>
      </c>
      <c r="Z1614" s="22">
        <f>IFERROR((Registro[[#This Row],[Avance Total]]-Registro[[#This Row],[Línea Base 2025]])/Registro[[#This Row],[Línea Base 2025]],0)</f>
        <v>-0.97727272727272729</v>
      </c>
      <c r="AA1614" s="20"/>
    </row>
    <row r="1615" spans="1:27" hidden="1">
      <c r="A1615">
        <v>1125</v>
      </c>
      <c r="B1615" t="s">
        <v>140</v>
      </c>
      <c r="C1615" s="16">
        <v>112</v>
      </c>
      <c r="D1615" s="16" t="s">
        <v>173</v>
      </c>
      <c r="E1615" s="17" t="s">
        <v>7</v>
      </c>
      <c r="F1615" s="24">
        <v>7</v>
      </c>
      <c r="G1615" s="19">
        <v>38</v>
      </c>
      <c r="H1615" s="19">
        <v>0</v>
      </c>
      <c r="I1615" s="19">
        <v>0</v>
      </c>
      <c r="T1615" s="20">
        <f>Registro[[#This Row],[Mes 1]]+Registro[[#This Row],[Mes 2]]+Registro[[#This Row],[Mes 3]]</f>
        <v>0</v>
      </c>
      <c r="U1615" s="20">
        <f>Registro[[#This Row],[Mes 4]]+Registro[[#This Row],[Mes 5]]+Registro[[#This Row],[Mes 6]]</f>
        <v>0</v>
      </c>
      <c r="V1615" s="20">
        <f>Registro[[#This Row],[Mes 7]]+Registro[[#This Row],[Mes 8]]+Registro[[#This Row],[Mes 9]]</f>
        <v>0</v>
      </c>
      <c r="W1615" s="20">
        <f>Registro[[#This Row],[Mes 10]]+Registro[[#This Row],[Mes 11]]+Registro[[#This Row],[Mes 12]]</f>
        <v>0</v>
      </c>
      <c r="X1615" s="20">
        <f>SUM(Registro[[#This Row],[Trim I]],Registro[[#This Row],[Trim II]],Registro[[#This Row],[Trim III]],Registro[[#This Row],[Trim IV]])</f>
        <v>0</v>
      </c>
      <c r="Y1615" s="22">
        <f>IFERROR((Registro[[#This Row],[Avance Total]]/Registro[[#This Row],[Meta]]),0)</f>
        <v>0</v>
      </c>
      <c r="Z1615" s="22">
        <f>IFERROR((Registro[[#This Row],[Avance Total]]-Registro[[#This Row],[Línea Base 2025]])/Registro[[#This Row],[Línea Base 2025]],0)</f>
        <v>-1</v>
      </c>
      <c r="AA1615" s="20"/>
    </row>
    <row r="1616" spans="1:27" hidden="1">
      <c r="A1616">
        <v>1125</v>
      </c>
      <c r="B1616" t="s">
        <v>140</v>
      </c>
      <c r="C1616" s="16">
        <v>113</v>
      </c>
      <c r="D1616" s="16" t="s">
        <v>179</v>
      </c>
      <c r="E1616" s="17" t="s">
        <v>178</v>
      </c>
      <c r="F1616" s="24">
        <v>12</v>
      </c>
      <c r="G1616" s="19">
        <v>304</v>
      </c>
      <c r="H1616" s="19">
        <v>0</v>
      </c>
      <c r="I1616" s="19">
        <v>7</v>
      </c>
      <c r="T1616" s="20">
        <f>Registro[[#This Row],[Mes 1]]+Registro[[#This Row],[Mes 2]]+Registro[[#This Row],[Mes 3]]</f>
        <v>7</v>
      </c>
      <c r="U1616" s="20">
        <f>Registro[[#This Row],[Mes 4]]+Registro[[#This Row],[Mes 5]]+Registro[[#This Row],[Mes 6]]</f>
        <v>0</v>
      </c>
      <c r="V1616" s="20">
        <f>Registro[[#This Row],[Mes 7]]+Registro[[#This Row],[Mes 8]]+Registro[[#This Row],[Mes 9]]</f>
        <v>0</v>
      </c>
      <c r="W1616" s="20">
        <f>Registro[[#This Row],[Mes 10]]+Registro[[#This Row],[Mes 11]]+Registro[[#This Row],[Mes 12]]</f>
        <v>0</v>
      </c>
      <c r="X1616" s="20">
        <f>SUM(Registro[[#This Row],[Trim I]],Registro[[#This Row],[Trim II]],Registro[[#This Row],[Trim III]],Registro[[#This Row],[Trim IV]])</f>
        <v>7</v>
      </c>
      <c r="Y1616" s="22">
        <f>IFERROR((Registro[[#This Row],[Avance Total]]/Registro[[#This Row],[Meta]]),0)</f>
        <v>2.3026315789473683E-2</v>
      </c>
      <c r="Z1616" s="22">
        <f>IFERROR((Registro[[#This Row],[Avance Total]]-Registro[[#This Row],[Línea Base 2025]])/Registro[[#This Row],[Línea Base 2025]],0)</f>
        <v>-0.41666666666666669</v>
      </c>
      <c r="AA1616" s="20"/>
    </row>
    <row r="1617" spans="1:27" hidden="1">
      <c r="A1617">
        <v>1125</v>
      </c>
      <c r="B1617" t="s">
        <v>140</v>
      </c>
      <c r="C1617" s="16">
        <v>114</v>
      </c>
      <c r="D1617" s="16" t="s">
        <v>181</v>
      </c>
      <c r="E1617" s="17" t="s">
        <v>180</v>
      </c>
      <c r="F1617" s="24">
        <v>0</v>
      </c>
      <c r="G1617" s="19">
        <v>26</v>
      </c>
      <c r="H1617" s="19">
        <v>12</v>
      </c>
      <c r="I1617" s="19">
        <v>1</v>
      </c>
      <c r="T1617" s="20">
        <f>Registro[[#This Row],[Mes 1]]+Registro[[#This Row],[Mes 2]]+Registro[[#This Row],[Mes 3]]</f>
        <v>13</v>
      </c>
      <c r="U1617" s="20">
        <f>Registro[[#This Row],[Mes 4]]+Registro[[#This Row],[Mes 5]]+Registro[[#This Row],[Mes 6]]</f>
        <v>0</v>
      </c>
      <c r="V1617" s="20">
        <f>Registro[[#This Row],[Mes 7]]+Registro[[#This Row],[Mes 8]]+Registro[[#This Row],[Mes 9]]</f>
        <v>0</v>
      </c>
      <c r="W1617" s="20">
        <f>Registro[[#This Row],[Mes 10]]+Registro[[#This Row],[Mes 11]]+Registro[[#This Row],[Mes 12]]</f>
        <v>0</v>
      </c>
      <c r="X1617" s="20">
        <f>SUM(Registro[[#This Row],[Trim I]],Registro[[#This Row],[Trim II]],Registro[[#This Row],[Trim III]],Registro[[#This Row],[Trim IV]])</f>
        <v>13</v>
      </c>
      <c r="Y1617" s="22">
        <f>IFERROR((Registro[[#This Row],[Avance Total]]/Registro[[#This Row],[Meta]]),0)</f>
        <v>0.5</v>
      </c>
      <c r="Z1617" s="22">
        <f>IFERROR((Registro[[#This Row],[Avance Total]]-Registro[[#This Row],[Línea Base 2025]])/Registro[[#This Row],[Línea Base 2025]],0)</f>
        <v>0</v>
      </c>
      <c r="AA1617" s="20"/>
    </row>
    <row r="1618" spans="1:27" hidden="1">
      <c r="A1618">
        <v>1125</v>
      </c>
      <c r="B1618" t="s">
        <v>140</v>
      </c>
      <c r="C1618" s="16">
        <v>115</v>
      </c>
      <c r="D1618" s="16" t="s">
        <v>183</v>
      </c>
      <c r="E1618" s="17" t="s">
        <v>182</v>
      </c>
      <c r="F1618" s="24">
        <v>6</v>
      </c>
      <c r="G1618" s="19">
        <v>5</v>
      </c>
      <c r="H1618" s="19">
        <v>0</v>
      </c>
      <c r="I1618" s="19">
        <v>0</v>
      </c>
      <c r="T1618" s="20">
        <f>Registro[[#This Row],[Mes 1]]+Registro[[#This Row],[Mes 2]]+Registro[[#This Row],[Mes 3]]</f>
        <v>0</v>
      </c>
      <c r="U1618" s="20">
        <f>Registro[[#This Row],[Mes 4]]+Registro[[#This Row],[Mes 5]]+Registro[[#This Row],[Mes 6]]</f>
        <v>0</v>
      </c>
      <c r="V1618" s="20">
        <f>Registro[[#This Row],[Mes 7]]+Registro[[#This Row],[Mes 8]]+Registro[[#This Row],[Mes 9]]</f>
        <v>0</v>
      </c>
      <c r="W1618" s="20">
        <f>Registro[[#This Row],[Mes 10]]+Registro[[#This Row],[Mes 11]]+Registro[[#This Row],[Mes 12]]</f>
        <v>0</v>
      </c>
      <c r="X1618" s="20">
        <f>SUM(Registro[[#This Row],[Trim I]],Registro[[#This Row],[Trim II]],Registro[[#This Row],[Trim III]],Registro[[#This Row],[Trim IV]])</f>
        <v>0</v>
      </c>
      <c r="Y1618" s="22">
        <f>IFERROR((Registro[[#This Row],[Avance Total]]/Registro[[#This Row],[Meta]]),0)</f>
        <v>0</v>
      </c>
      <c r="Z1618" s="22">
        <f>IFERROR((Registro[[#This Row],[Avance Total]]-Registro[[#This Row],[Línea Base 2025]])/Registro[[#This Row],[Línea Base 2025]],0)</f>
        <v>-1</v>
      </c>
      <c r="AA1618" s="20"/>
    </row>
    <row r="1619" spans="1:27">
      <c r="A1619">
        <v>1125</v>
      </c>
      <c r="B1619" t="s">
        <v>140</v>
      </c>
      <c r="C1619" s="16">
        <v>116</v>
      </c>
      <c r="D1619" s="16" t="s">
        <v>185</v>
      </c>
      <c r="E1619" s="17" t="s">
        <v>184</v>
      </c>
      <c r="F1619" s="24">
        <v>2</v>
      </c>
      <c r="G1619" s="19">
        <v>3</v>
      </c>
      <c r="H1619" s="19">
        <v>0</v>
      </c>
      <c r="I1619" s="19">
        <v>0</v>
      </c>
      <c r="T1619" s="20">
        <f>Registro[[#This Row],[Mes 1]]+Registro[[#This Row],[Mes 2]]+Registro[[#This Row],[Mes 3]]</f>
        <v>0</v>
      </c>
      <c r="U1619" s="20">
        <f>Registro[[#This Row],[Mes 4]]+Registro[[#This Row],[Mes 5]]+Registro[[#This Row],[Mes 6]]</f>
        <v>0</v>
      </c>
      <c r="V1619" s="20">
        <f>Registro[[#This Row],[Mes 7]]+Registro[[#This Row],[Mes 8]]+Registro[[#This Row],[Mes 9]]</f>
        <v>0</v>
      </c>
      <c r="W1619" s="20">
        <f>Registro[[#This Row],[Mes 10]]+Registro[[#This Row],[Mes 11]]+Registro[[#This Row],[Mes 12]]</f>
        <v>0</v>
      </c>
      <c r="X1619" s="20">
        <f>SUM(Registro[[#This Row],[Trim I]],Registro[[#This Row],[Trim II]],Registro[[#This Row],[Trim III]],Registro[[#This Row],[Trim IV]])</f>
        <v>0</v>
      </c>
      <c r="Y1619" s="22">
        <f>IFERROR((Registro[[#This Row],[Avance Total]]/Registro[[#This Row],[Meta]]),0)</f>
        <v>0</v>
      </c>
      <c r="Z1619" s="22">
        <f>IFERROR((Registro[[#This Row],[Avance Total]]-Registro[[#This Row],[Línea Base 2025]])/Registro[[#This Row],[Línea Base 2025]],0)</f>
        <v>-1</v>
      </c>
      <c r="AA1619" s="20"/>
    </row>
    <row r="1620" spans="1:27" hidden="1">
      <c r="A1620">
        <v>1125</v>
      </c>
      <c r="B1620" t="s">
        <v>140</v>
      </c>
      <c r="C1620" s="16">
        <v>117</v>
      </c>
      <c r="D1620" s="16" t="s">
        <v>187</v>
      </c>
      <c r="E1620" s="17" t="s">
        <v>186</v>
      </c>
      <c r="F1620" s="24">
        <v>1</v>
      </c>
      <c r="G1620" s="19">
        <v>2</v>
      </c>
      <c r="H1620" s="19">
        <v>0</v>
      </c>
      <c r="I1620" s="19">
        <v>0</v>
      </c>
      <c r="T1620" s="20">
        <f>Registro[[#This Row],[Mes 1]]+Registro[[#This Row],[Mes 2]]+Registro[[#This Row],[Mes 3]]</f>
        <v>0</v>
      </c>
      <c r="U1620" s="20">
        <f>Registro[[#This Row],[Mes 4]]+Registro[[#This Row],[Mes 5]]+Registro[[#This Row],[Mes 6]]</f>
        <v>0</v>
      </c>
      <c r="V1620" s="20">
        <f>Registro[[#This Row],[Mes 7]]+Registro[[#This Row],[Mes 8]]+Registro[[#This Row],[Mes 9]]</f>
        <v>0</v>
      </c>
      <c r="W1620" s="20">
        <f>Registro[[#This Row],[Mes 10]]+Registro[[#This Row],[Mes 11]]+Registro[[#This Row],[Mes 12]]</f>
        <v>0</v>
      </c>
      <c r="X1620" s="20">
        <f>SUM(Registro[[#This Row],[Trim I]],Registro[[#This Row],[Trim II]],Registro[[#This Row],[Trim III]],Registro[[#This Row],[Trim IV]])</f>
        <v>0</v>
      </c>
      <c r="Y1620" s="22">
        <f>IFERROR((Registro[[#This Row],[Avance Total]]/Registro[[#This Row],[Meta]]),0)</f>
        <v>0</v>
      </c>
      <c r="Z1620" s="22">
        <f>IFERROR((Registro[[#This Row],[Avance Total]]-Registro[[#This Row],[Línea Base 2025]])/Registro[[#This Row],[Línea Base 2025]],0)</f>
        <v>-1</v>
      </c>
      <c r="AA1620" s="20"/>
    </row>
    <row r="1621" spans="1:27" hidden="1">
      <c r="A1621">
        <v>1125</v>
      </c>
      <c r="B1621" t="s">
        <v>140</v>
      </c>
      <c r="C1621" s="16">
        <v>118</v>
      </c>
      <c r="D1621" s="16" t="s">
        <v>188</v>
      </c>
      <c r="E1621" s="17" t="s">
        <v>9</v>
      </c>
      <c r="F1621" s="24">
        <v>0</v>
      </c>
      <c r="G1621" s="19">
        <v>6</v>
      </c>
      <c r="H1621" s="19">
        <v>0</v>
      </c>
      <c r="I1621" s="19">
        <v>0</v>
      </c>
      <c r="T1621" s="20">
        <f>Registro[[#This Row],[Mes 1]]+Registro[[#This Row],[Mes 2]]+Registro[[#This Row],[Mes 3]]</f>
        <v>0</v>
      </c>
      <c r="U1621" s="20">
        <f>Registro[[#This Row],[Mes 4]]+Registro[[#This Row],[Mes 5]]+Registro[[#This Row],[Mes 6]]</f>
        <v>0</v>
      </c>
      <c r="V1621" s="20">
        <f>Registro[[#This Row],[Mes 7]]+Registro[[#This Row],[Mes 8]]+Registro[[#This Row],[Mes 9]]</f>
        <v>0</v>
      </c>
      <c r="W1621" s="20">
        <f>Registro[[#This Row],[Mes 10]]+Registro[[#This Row],[Mes 11]]+Registro[[#This Row],[Mes 12]]</f>
        <v>0</v>
      </c>
      <c r="X1621" s="20">
        <f>SUM(Registro[[#This Row],[Trim I]],Registro[[#This Row],[Trim II]],Registro[[#This Row],[Trim III]],Registro[[#This Row],[Trim IV]])</f>
        <v>0</v>
      </c>
      <c r="Y1621" s="22">
        <f>IFERROR((Registro[[#This Row],[Avance Total]]/Registro[[#This Row],[Meta]]),0)</f>
        <v>0</v>
      </c>
      <c r="Z1621" s="22">
        <f>IFERROR((Registro[[#This Row],[Avance Total]]-Registro[[#This Row],[Línea Base 2025]])/Registro[[#This Row],[Línea Base 2025]],0)</f>
        <v>0</v>
      </c>
      <c r="AA1621" s="20"/>
    </row>
    <row r="1622" spans="1:27" hidden="1">
      <c r="A1622">
        <v>1125</v>
      </c>
      <c r="B1622" t="s">
        <v>140</v>
      </c>
      <c r="C1622" s="16">
        <v>119</v>
      </c>
      <c r="D1622" s="16" t="s">
        <v>190</v>
      </c>
      <c r="E1622" s="17" t="s">
        <v>189</v>
      </c>
      <c r="F1622" s="24">
        <v>0</v>
      </c>
      <c r="G1622" s="19">
        <v>2</v>
      </c>
      <c r="H1622" s="19">
        <v>0</v>
      </c>
      <c r="I1622" s="19">
        <v>0</v>
      </c>
      <c r="T1622" s="20">
        <f>Registro[[#This Row],[Mes 1]]+Registro[[#This Row],[Mes 2]]+Registro[[#This Row],[Mes 3]]</f>
        <v>0</v>
      </c>
      <c r="U1622" s="20">
        <f>Registro[[#This Row],[Mes 4]]+Registro[[#This Row],[Mes 5]]+Registro[[#This Row],[Mes 6]]</f>
        <v>0</v>
      </c>
      <c r="V1622" s="20">
        <f>Registro[[#This Row],[Mes 7]]+Registro[[#This Row],[Mes 8]]+Registro[[#This Row],[Mes 9]]</f>
        <v>0</v>
      </c>
      <c r="W1622" s="20">
        <f>Registro[[#This Row],[Mes 10]]+Registro[[#This Row],[Mes 11]]+Registro[[#This Row],[Mes 12]]</f>
        <v>0</v>
      </c>
      <c r="X1622" s="20">
        <f>SUM(Registro[[#This Row],[Trim I]],Registro[[#This Row],[Trim II]],Registro[[#This Row],[Trim III]],Registro[[#This Row],[Trim IV]])</f>
        <v>0</v>
      </c>
      <c r="Y1622" s="22">
        <f>IFERROR((Registro[[#This Row],[Avance Total]]/Registro[[#This Row],[Meta]]),0)</f>
        <v>0</v>
      </c>
      <c r="Z1622" s="22">
        <f>IFERROR((Registro[[#This Row],[Avance Total]]-Registro[[#This Row],[Línea Base 2025]])/Registro[[#This Row],[Línea Base 2025]],0)</f>
        <v>0</v>
      </c>
      <c r="AA1622" s="20"/>
    </row>
    <row r="1623" spans="1:27" hidden="1">
      <c r="A1623">
        <v>1125</v>
      </c>
      <c r="B1623" t="s">
        <v>140</v>
      </c>
      <c r="C1623" s="16">
        <v>120</v>
      </c>
      <c r="D1623" s="16" t="s">
        <v>192</v>
      </c>
      <c r="E1623" s="17" t="s">
        <v>191</v>
      </c>
      <c r="F1623" s="24">
        <v>5</v>
      </c>
      <c r="G1623" s="19">
        <v>9</v>
      </c>
      <c r="H1623" s="19">
        <v>0</v>
      </c>
      <c r="I1623" s="19">
        <v>1</v>
      </c>
      <c r="T1623" s="20">
        <f>Registro[[#This Row],[Mes 1]]+Registro[[#This Row],[Mes 2]]+Registro[[#This Row],[Mes 3]]</f>
        <v>1</v>
      </c>
      <c r="U1623" s="20">
        <f>Registro[[#This Row],[Mes 4]]+Registro[[#This Row],[Mes 5]]+Registro[[#This Row],[Mes 6]]</f>
        <v>0</v>
      </c>
      <c r="V1623" s="20">
        <f>Registro[[#This Row],[Mes 7]]+Registro[[#This Row],[Mes 8]]+Registro[[#This Row],[Mes 9]]</f>
        <v>0</v>
      </c>
      <c r="W1623" s="20">
        <f>Registro[[#This Row],[Mes 10]]+Registro[[#This Row],[Mes 11]]+Registro[[#This Row],[Mes 12]]</f>
        <v>0</v>
      </c>
      <c r="X1623" s="20">
        <f>SUM(Registro[[#This Row],[Trim I]],Registro[[#This Row],[Trim II]],Registro[[#This Row],[Trim III]],Registro[[#This Row],[Trim IV]])</f>
        <v>1</v>
      </c>
      <c r="Y1623" s="22">
        <f>IFERROR((Registro[[#This Row],[Avance Total]]/Registro[[#This Row],[Meta]]),0)</f>
        <v>0.1111111111111111</v>
      </c>
      <c r="Z1623" s="22">
        <f>IFERROR((Registro[[#This Row],[Avance Total]]-Registro[[#This Row],[Línea Base 2025]])/Registro[[#This Row],[Línea Base 2025]],0)</f>
        <v>-0.8</v>
      </c>
      <c r="AA1623" s="20"/>
    </row>
    <row r="1624" spans="1:27" hidden="1">
      <c r="A1624">
        <v>1125</v>
      </c>
      <c r="B1624" t="s">
        <v>140</v>
      </c>
      <c r="C1624" s="16">
        <v>121</v>
      </c>
      <c r="D1624" s="16" t="s">
        <v>194</v>
      </c>
      <c r="E1624" s="17" t="s">
        <v>193</v>
      </c>
      <c r="F1624" s="24">
        <v>0</v>
      </c>
      <c r="G1624" s="19">
        <v>0</v>
      </c>
      <c r="H1624" s="19">
        <v>0</v>
      </c>
      <c r="I1624" s="19">
        <v>0</v>
      </c>
      <c r="T1624" s="20">
        <f>Registro[[#This Row],[Mes 1]]+Registro[[#This Row],[Mes 2]]+Registro[[#This Row],[Mes 3]]</f>
        <v>0</v>
      </c>
      <c r="U1624" s="20">
        <f>Registro[[#This Row],[Mes 4]]+Registro[[#This Row],[Mes 5]]+Registro[[#This Row],[Mes 6]]</f>
        <v>0</v>
      </c>
      <c r="V1624" s="20">
        <f>Registro[[#This Row],[Mes 7]]+Registro[[#This Row],[Mes 8]]+Registro[[#This Row],[Mes 9]]</f>
        <v>0</v>
      </c>
      <c r="W1624" s="20">
        <f>Registro[[#This Row],[Mes 10]]+Registro[[#This Row],[Mes 11]]+Registro[[#This Row],[Mes 12]]</f>
        <v>0</v>
      </c>
      <c r="X1624" s="20">
        <f>SUM(Registro[[#This Row],[Trim I]],Registro[[#This Row],[Trim II]],Registro[[#This Row],[Trim III]],Registro[[#This Row],[Trim IV]])</f>
        <v>0</v>
      </c>
      <c r="Y1624" s="22">
        <f>IFERROR((Registro[[#This Row],[Avance Total]]/Registro[[#This Row],[Meta]]),0)</f>
        <v>0</v>
      </c>
      <c r="Z1624" s="22">
        <f>IFERROR((Registro[[#This Row],[Avance Total]]-Registro[[#This Row],[Línea Base 2025]])/Registro[[#This Row],[Línea Base 2025]],0)</f>
        <v>0</v>
      </c>
      <c r="AA1624" s="20"/>
    </row>
    <row r="1625" spans="1:27" hidden="1">
      <c r="A1625">
        <v>1125</v>
      </c>
      <c r="B1625" t="s">
        <v>140</v>
      </c>
      <c r="C1625" s="16">
        <v>122</v>
      </c>
      <c r="D1625" s="16" t="s">
        <v>196</v>
      </c>
      <c r="E1625" s="17" t="s">
        <v>195</v>
      </c>
      <c r="F1625" s="24">
        <v>1</v>
      </c>
      <c r="G1625" s="19">
        <v>5</v>
      </c>
      <c r="H1625" s="19">
        <v>0</v>
      </c>
      <c r="I1625" s="19">
        <v>0</v>
      </c>
      <c r="T1625" s="20">
        <f>Registro[[#This Row],[Mes 1]]+Registro[[#This Row],[Mes 2]]+Registro[[#This Row],[Mes 3]]</f>
        <v>0</v>
      </c>
      <c r="U1625" s="20">
        <f>Registro[[#This Row],[Mes 4]]+Registro[[#This Row],[Mes 5]]+Registro[[#This Row],[Mes 6]]</f>
        <v>0</v>
      </c>
      <c r="V1625" s="20">
        <f>Registro[[#This Row],[Mes 7]]+Registro[[#This Row],[Mes 8]]+Registro[[#This Row],[Mes 9]]</f>
        <v>0</v>
      </c>
      <c r="W1625" s="20">
        <f>Registro[[#This Row],[Mes 10]]+Registro[[#This Row],[Mes 11]]+Registro[[#This Row],[Mes 12]]</f>
        <v>0</v>
      </c>
      <c r="X1625" s="20">
        <f>SUM(Registro[[#This Row],[Trim I]],Registro[[#This Row],[Trim II]],Registro[[#This Row],[Trim III]],Registro[[#This Row],[Trim IV]])</f>
        <v>0</v>
      </c>
      <c r="Y1625" s="22">
        <f>IFERROR((Registro[[#This Row],[Avance Total]]/Registro[[#This Row],[Meta]]),0)</f>
        <v>0</v>
      </c>
      <c r="Z1625" s="22">
        <f>IFERROR((Registro[[#This Row],[Avance Total]]-Registro[[#This Row],[Línea Base 2025]])/Registro[[#This Row],[Línea Base 2025]],0)</f>
        <v>-1</v>
      </c>
      <c r="AA1625" s="20"/>
    </row>
    <row r="1626" spans="1:27" hidden="1">
      <c r="A1626">
        <v>1125</v>
      </c>
      <c r="B1626" t="s">
        <v>140</v>
      </c>
      <c r="C1626" s="26">
        <v>123</v>
      </c>
      <c r="D1626" s="26" t="s">
        <v>198</v>
      </c>
      <c r="E1626" s="17" t="s">
        <v>197</v>
      </c>
      <c r="F1626" s="32">
        <v>0</v>
      </c>
      <c r="G1626" s="28">
        <v>4</v>
      </c>
      <c r="H1626" s="28">
        <v>0</v>
      </c>
      <c r="I1626" s="28">
        <v>0</v>
      </c>
      <c r="J1626" s="27"/>
      <c r="K1626" s="27"/>
      <c r="L1626" s="27"/>
      <c r="M1626" s="27"/>
      <c r="N1626" s="27"/>
      <c r="O1626" s="27"/>
      <c r="P1626" s="27"/>
      <c r="Q1626" s="27"/>
      <c r="R1626" s="27"/>
      <c r="S1626" s="27"/>
      <c r="T1626" s="29">
        <f>Registro[[#This Row],[Mes 1]]+Registro[[#This Row],[Mes 2]]+Registro[[#This Row],[Mes 3]]</f>
        <v>0</v>
      </c>
      <c r="U1626" s="29">
        <f>Registro[[#This Row],[Mes 4]]+Registro[[#This Row],[Mes 5]]+Registro[[#This Row],[Mes 6]]</f>
        <v>0</v>
      </c>
      <c r="V1626" s="29">
        <f>Registro[[#This Row],[Mes 7]]+Registro[[#This Row],[Mes 8]]+Registro[[#This Row],[Mes 9]]</f>
        <v>0</v>
      </c>
      <c r="W1626" s="29">
        <f>Registro[[#This Row],[Mes 10]]+Registro[[#This Row],[Mes 11]]+Registro[[#This Row],[Mes 12]]</f>
        <v>0</v>
      </c>
      <c r="X1626" s="29">
        <f>SUM(Registro[[#This Row],[Trim I]],Registro[[#This Row],[Trim II]],Registro[[#This Row],[Trim III]],Registro[[#This Row],[Trim IV]])</f>
        <v>0</v>
      </c>
      <c r="Y1626" s="30">
        <f>IFERROR((Registro[[#This Row],[Avance Total]]/Registro[[#This Row],[Meta]]),0)</f>
        <v>0</v>
      </c>
      <c r="Z1626" s="30">
        <f>IFERROR((Registro[[#This Row],[Avance Total]]-Registro[[#This Row],[Línea Base 2025]])/Registro[[#This Row],[Línea Base 2025]],0)</f>
        <v>0</v>
      </c>
      <c r="AA1626" s="29"/>
    </row>
    <row r="1627" spans="1:27" hidden="1">
      <c r="A1627">
        <v>1126</v>
      </c>
      <c r="B1627" t="s">
        <v>141</v>
      </c>
      <c r="C1627" s="16">
        <v>111</v>
      </c>
      <c r="D1627" s="16" t="s">
        <v>171</v>
      </c>
      <c r="E1627" s="17" t="s">
        <v>172</v>
      </c>
      <c r="F1627" s="24">
        <v>34</v>
      </c>
      <c r="G1627" s="19">
        <v>56</v>
      </c>
      <c r="H1627" s="19">
        <v>1</v>
      </c>
      <c r="I1627" s="19">
        <v>2</v>
      </c>
      <c r="T1627" s="20">
        <f>Registro[[#This Row],[Mes 1]]+Registro[[#This Row],[Mes 2]]+Registro[[#This Row],[Mes 3]]</f>
        <v>3</v>
      </c>
      <c r="U1627" s="20">
        <f>Registro[[#This Row],[Mes 4]]+Registro[[#This Row],[Mes 5]]+Registro[[#This Row],[Mes 6]]</f>
        <v>0</v>
      </c>
      <c r="V1627" s="20">
        <f>Registro[[#This Row],[Mes 7]]+Registro[[#This Row],[Mes 8]]+Registro[[#This Row],[Mes 9]]</f>
        <v>0</v>
      </c>
      <c r="W1627" s="20">
        <f>Registro[[#This Row],[Mes 10]]+Registro[[#This Row],[Mes 11]]+Registro[[#This Row],[Mes 12]]</f>
        <v>0</v>
      </c>
      <c r="X1627" s="20">
        <f>SUM(Registro[[#This Row],[Trim I]],Registro[[#This Row],[Trim II]],Registro[[#This Row],[Trim III]],Registro[[#This Row],[Trim IV]])</f>
        <v>3</v>
      </c>
      <c r="Y1627" s="22">
        <f>IFERROR((Registro[[#This Row],[Avance Total]]/Registro[[#This Row],[Meta]]),0)</f>
        <v>5.3571428571428568E-2</v>
      </c>
      <c r="Z1627" s="22">
        <f>IFERROR((Registro[[#This Row],[Avance Total]]-Registro[[#This Row],[Línea Base 2025]])/Registro[[#This Row],[Línea Base 2025]],0)</f>
        <v>-0.91176470588235292</v>
      </c>
      <c r="AA1627" s="20"/>
    </row>
    <row r="1628" spans="1:27" hidden="1">
      <c r="A1628">
        <v>1126</v>
      </c>
      <c r="B1628" t="s">
        <v>141</v>
      </c>
      <c r="C1628" s="16">
        <v>112</v>
      </c>
      <c r="D1628" s="16" t="s">
        <v>173</v>
      </c>
      <c r="E1628" s="17" t="s">
        <v>7</v>
      </c>
      <c r="F1628" s="24">
        <v>17</v>
      </c>
      <c r="G1628" s="19">
        <v>31</v>
      </c>
      <c r="H1628" s="19">
        <v>0</v>
      </c>
      <c r="I1628" s="19">
        <v>0</v>
      </c>
      <c r="T1628" s="20">
        <f>Registro[[#This Row],[Mes 1]]+Registro[[#This Row],[Mes 2]]+Registro[[#This Row],[Mes 3]]</f>
        <v>0</v>
      </c>
      <c r="U1628" s="20">
        <f>Registro[[#This Row],[Mes 4]]+Registro[[#This Row],[Mes 5]]+Registro[[#This Row],[Mes 6]]</f>
        <v>0</v>
      </c>
      <c r="V1628" s="20">
        <f>Registro[[#This Row],[Mes 7]]+Registro[[#This Row],[Mes 8]]+Registro[[#This Row],[Mes 9]]</f>
        <v>0</v>
      </c>
      <c r="W1628" s="20">
        <f>Registro[[#This Row],[Mes 10]]+Registro[[#This Row],[Mes 11]]+Registro[[#This Row],[Mes 12]]</f>
        <v>0</v>
      </c>
      <c r="X1628" s="20">
        <f>SUM(Registro[[#This Row],[Trim I]],Registro[[#This Row],[Trim II]],Registro[[#This Row],[Trim III]],Registro[[#This Row],[Trim IV]])</f>
        <v>0</v>
      </c>
      <c r="Y1628" s="22">
        <f>IFERROR((Registro[[#This Row],[Avance Total]]/Registro[[#This Row],[Meta]]),0)</f>
        <v>0</v>
      </c>
      <c r="Z1628" s="22">
        <f>IFERROR((Registro[[#This Row],[Avance Total]]-Registro[[#This Row],[Línea Base 2025]])/Registro[[#This Row],[Línea Base 2025]],0)</f>
        <v>-1</v>
      </c>
      <c r="AA1628" s="20"/>
    </row>
    <row r="1629" spans="1:27" hidden="1">
      <c r="A1629">
        <v>1126</v>
      </c>
      <c r="B1629" t="s">
        <v>141</v>
      </c>
      <c r="C1629" s="16">
        <v>113</v>
      </c>
      <c r="D1629" s="16" t="s">
        <v>179</v>
      </c>
      <c r="E1629" s="17" t="s">
        <v>178</v>
      </c>
      <c r="F1629" s="24">
        <v>9</v>
      </c>
      <c r="G1629" s="19">
        <v>125</v>
      </c>
      <c r="H1629" s="19">
        <v>0</v>
      </c>
      <c r="I1629" s="19">
        <v>0</v>
      </c>
      <c r="T1629" s="20">
        <f>Registro[[#This Row],[Mes 1]]+Registro[[#This Row],[Mes 2]]+Registro[[#This Row],[Mes 3]]</f>
        <v>0</v>
      </c>
      <c r="U1629" s="20">
        <f>Registro[[#This Row],[Mes 4]]+Registro[[#This Row],[Mes 5]]+Registro[[#This Row],[Mes 6]]</f>
        <v>0</v>
      </c>
      <c r="V1629" s="20">
        <f>Registro[[#This Row],[Mes 7]]+Registro[[#This Row],[Mes 8]]+Registro[[#This Row],[Mes 9]]</f>
        <v>0</v>
      </c>
      <c r="W1629" s="20">
        <f>Registro[[#This Row],[Mes 10]]+Registro[[#This Row],[Mes 11]]+Registro[[#This Row],[Mes 12]]</f>
        <v>0</v>
      </c>
      <c r="X1629" s="20">
        <f>SUM(Registro[[#This Row],[Trim I]],Registro[[#This Row],[Trim II]],Registro[[#This Row],[Trim III]],Registro[[#This Row],[Trim IV]])</f>
        <v>0</v>
      </c>
      <c r="Y1629" s="22">
        <f>IFERROR((Registro[[#This Row],[Avance Total]]/Registro[[#This Row],[Meta]]),0)</f>
        <v>0</v>
      </c>
      <c r="Z1629" s="22">
        <f>IFERROR((Registro[[#This Row],[Avance Total]]-Registro[[#This Row],[Línea Base 2025]])/Registro[[#This Row],[Línea Base 2025]],0)</f>
        <v>-1</v>
      </c>
      <c r="AA1629" s="20"/>
    </row>
    <row r="1630" spans="1:27" hidden="1">
      <c r="A1630">
        <v>1126</v>
      </c>
      <c r="B1630" t="s">
        <v>141</v>
      </c>
      <c r="C1630" s="16">
        <v>114</v>
      </c>
      <c r="D1630" s="16" t="s">
        <v>181</v>
      </c>
      <c r="E1630" s="17" t="s">
        <v>180</v>
      </c>
      <c r="F1630" s="24">
        <v>0</v>
      </c>
      <c r="G1630" s="19">
        <v>8</v>
      </c>
      <c r="H1630" s="19">
        <v>3</v>
      </c>
      <c r="I1630" s="19">
        <v>0</v>
      </c>
      <c r="T1630" s="20">
        <f>Registro[[#This Row],[Mes 1]]+Registro[[#This Row],[Mes 2]]+Registro[[#This Row],[Mes 3]]</f>
        <v>3</v>
      </c>
      <c r="U1630" s="20">
        <f>Registro[[#This Row],[Mes 4]]+Registro[[#This Row],[Mes 5]]+Registro[[#This Row],[Mes 6]]</f>
        <v>0</v>
      </c>
      <c r="V1630" s="20">
        <f>Registro[[#This Row],[Mes 7]]+Registro[[#This Row],[Mes 8]]+Registro[[#This Row],[Mes 9]]</f>
        <v>0</v>
      </c>
      <c r="W1630" s="20">
        <f>Registro[[#This Row],[Mes 10]]+Registro[[#This Row],[Mes 11]]+Registro[[#This Row],[Mes 12]]</f>
        <v>0</v>
      </c>
      <c r="X1630" s="20">
        <f>SUM(Registro[[#This Row],[Trim I]],Registro[[#This Row],[Trim II]],Registro[[#This Row],[Trim III]],Registro[[#This Row],[Trim IV]])</f>
        <v>3</v>
      </c>
      <c r="Y1630" s="22">
        <f>IFERROR((Registro[[#This Row],[Avance Total]]/Registro[[#This Row],[Meta]]),0)</f>
        <v>0.375</v>
      </c>
      <c r="Z1630" s="22">
        <f>IFERROR((Registro[[#This Row],[Avance Total]]-Registro[[#This Row],[Línea Base 2025]])/Registro[[#This Row],[Línea Base 2025]],0)</f>
        <v>0</v>
      </c>
      <c r="AA1630" s="20"/>
    </row>
    <row r="1631" spans="1:27" hidden="1">
      <c r="A1631">
        <v>1126</v>
      </c>
      <c r="B1631" t="s">
        <v>141</v>
      </c>
      <c r="C1631" s="16">
        <v>115</v>
      </c>
      <c r="D1631" s="16" t="s">
        <v>183</v>
      </c>
      <c r="E1631" s="17" t="s">
        <v>182</v>
      </c>
      <c r="F1631" s="24">
        <v>19</v>
      </c>
      <c r="G1631" s="19">
        <v>8</v>
      </c>
      <c r="H1631" s="19">
        <v>0</v>
      </c>
      <c r="I1631" s="19">
        <v>0</v>
      </c>
      <c r="T1631" s="20">
        <f>Registro[[#This Row],[Mes 1]]+Registro[[#This Row],[Mes 2]]+Registro[[#This Row],[Mes 3]]</f>
        <v>0</v>
      </c>
      <c r="U1631" s="20">
        <f>Registro[[#This Row],[Mes 4]]+Registro[[#This Row],[Mes 5]]+Registro[[#This Row],[Mes 6]]</f>
        <v>0</v>
      </c>
      <c r="V1631" s="20">
        <f>Registro[[#This Row],[Mes 7]]+Registro[[#This Row],[Mes 8]]+Registro[[#This Row],[Mes 9]]</f>
        <v>0</v>
      </c>
      <c r="W1631" s="20">
        <f>Registro[[#This Row],[Mes 10]]+Registro[[#This Row],[Mes 11]]+Registro[[#This Row],[Mes 12]]</f>
        <v>0</v>
      </c>
      <c r="X1631" s="20">
        <f>SUM(Registro[[#This Row],[Trim I]],Registro[[#This Row],[Trim II]],Registro[[#This Row],[Trim III]],Registro[[#This Row],[Trim IV]])</f>
        <v>0</v>
      </c>
      <c r="Y1631" s="22">
        <f>IFERROR((Registro[[#This Row],[Avance Total]]/Registro[[#This Row],[Meta]]),0)</f>
        <v>0</v>
      </c>
      <c r="Z1631" s="22">
        <f>IFERROR((Registro[[#This Row],[Avance Total]]-Registro[[#This Row],[Línea Base 2025]])/Registro[[#This Row],[Línea Base 2025]],0)</f>
        <v>-1</v>
      </c>
      <c r="AA1631" s="20"/>
    </row>
    <row r="1632" spans="1:27">
      <c r="A1632">
        <v>1126</v>
      </c>
      <c r="B1632" t="s">
        <v>141</v>
      </c>
      <c r="C1632" s="16">
        <v>116</v>
      </c>
      <c r="D1632" s="16" t="s">
        <v>185</v>
      </c>
      <c r="E1632" s="17" t="s">
        <v>184</v>
      </c>
      <c r="F1632" s="24">
        <v>1</v>
      </c>
      <c r="G1632" s="19">
        <v>2</v>
      </c>
      <c r="H1632" s="19">
        <v>0</v>
      </c>
      <c r="I1632" s="19">
        <v>0</v>
      </c>
      <c r="T1632" s="20">
        <f>Registro[[#This Row],[Mes 1]]+Registro[[#This Row],[Mes 2]]+Registro[[#This Row],[Mes 3]]</f>
        <v>0</v>
      </c>
      <c r="U1632" s="20">
        <f>Registro[[#This Row],[Mes 4]]+Registro[[#This Row],[Mes 5]]+Registro[[#This Row],[Mes 6]]</f>
        <v>0</v>
      </c>
      <c r="V1632" s="20">
        <f>Registro[[#This Row],[Mes 7]]+Registro[[#This Row],[Mes 8]]+Registro[[#This Row],[Mes 9]]</f>
        <v>0</v>
      </c>
      <c r="W1632" s="20">
        <f>Registro[[#This Row],[Mes 10]]+Registro[[#This Row],[Mes 11]]+Registro[[#This Row],[Mes 12]]</f>
        <v>0</v>
      </c>
      <c r="X1632" s="20">
        <f>SUM(Registro[[#This Row],[Trim I]],Registro[[#This Row],[Trim II]],Registro[[#This Row],[Trim III]],Registro[[#This Row],[Trim IV]])</f>
        <v>0</v>
      </c>
      <c r="Y1632" s="22">
        <f>IFERROR((Registro[[#This Row],[Avance Total]]/Registro[[#This Row],[Meta]]),0)</f>
        <v>0</v>
      </c>
      <c r="Z1632" s="22">
        <f>IFERROR((Registro[[#This Row],[Avance Total]]-Registro[[#This Row],[Línea Base 2025]])/Registro[[#This Row],[Línea Base 2025]],0)</f>
        <v>-1</v>
      </c>
      <c r="AA1632" s="20"/>
    </row>
    <row r="1633" spans="1:27" hidden="1">
      <c r="A1633">
        <v>1126</v>
      </c>
      <c r="B1633" t="s">
        <v>141</v>
      </c>
      <c r="C1633" s="16">
        <v>117</v>
      </c>
      <c r="D1633" s="16" t="s">
        <v>187</v>
      </c>
      <c r="E1633" s="17" t="s">
        <v>186</v>
      </c>
      <c r="F1633" s="24">
        <v>0</v>
      </c>
      <c r="G1633" s="19">
        <v>1</v>
      </c>
      <c r="H1633" s="19">
        <v>0</v>
      </c>
      <c r="I1633" s="19">
        <v>0</v>
      </c>
      <c r="T1633" s="20">
        <f>Registro[[#This Row],[Mes 1]]+Registro[[#This Row],[Mes 2]]+Registro[[#This Row],[Mes 3]]</f>
        <v>0</v>
      </c>
      <c r="U1633" s="20">
        <f>Registro[[#This Row],[Mes 4]]+Registro[[#This Row],[Mes 5]]+Registro[[#This Row],[Mes 6]]</f>
        <v>0</v>
      </c>
      <c r="V1633" s="20">
        <f>Registro[[#This Row],[Mes 7]]+Registro[[#This Row],[Mes 8]]+Registro[[#This Row],[Mes 9]]</f>
        <v>0</v>
      </c>
      <c r="W1633" s="20">
        <f>Registro[[#This Row],[Mes 10]]+Registro[[#This Row],[Mes 11]]+Registro[[#This Row],[Mes 12]]</f>
        <v>0</v>
      </c>
      <c r="X1633" s="20">
        <f>SUM(Registro[[#This Row],[Trim I]],Registro[[#This Row],[Trim II]],Registro[[#This Row],[Trim III]],Registro[[#This Row],[Trim IV]])</f>
        <v>0</v>
      </c>
      <c r="Y1633" s="22">
        <f>IFERROR((Registro[[#This Row],[Avance Total]]/Registro[[#This Row],[Meta]]),0)</f>
        <v>0</v>
      </c>
      <c r="Z1633" s="22">
        <f>IFERROR((Registro[[#This Row],[Avance Total]]-Registro[[#This Row],[Línea Base 2025]])/Registro[[#This Row],[Línea Base 2025]],0)</f>
        <v>0</v>
      </c>
      <c r="AA1633" s="20"/>
    </row>
    <row r="1634" spans="1:27" hidden="1">
      <c r="A1634">
        <v>1126</v>
      </c>
      <c r="B1634" t="s">
        <v>141</v>
      </c>
      <c r="C1634" s="16">
        <v>118</v>
      </c>
      <c r="D1634" s="16" t="s">
        <v>188</v>
      </c>
      <c r="E1634" s="17" t="s">
        <v>9</v>
      </c>
      <c r="F1634" s="24">
        <v>0</v>
      </c>
      <c r="G1634" s="19">
        <v>3</v>
      </c>
      <c r="H1634" s="19">
        <v>0</v>
      </c>
      <c r="I1634" s="19">
        <v>0</v>
      </c>
      <c r="T1634" s="20">
        <f>Registro[[#This Row],[Mes 1]]+Registro[[#This Row],[Mes 2]]+Registro[[#This Row],[Mes 3]]</f>
        <v>0</v>
      </c>
      <c r="U1634" s="20">
        <f>Registro[[#This Row],[Mes 4]]+Registro[[#This Row],[Mes 5]]+Registro[[#This Row],[Mes 6]]</f>
        <v>0</v>
      </c>
      <c r="V1634" s="20">
        <f>Registro[[#This Row],[Mes 7]]+Registro[[#This Row],[Mes 8]]+Registro[[#This Row],[Mes 9]]</f>
        <v>0</v>
      </c>
      <c r="W1634" s="20">
        <f>Registro[[#This Row],[Mes 10]]+Registro[[#This Row],[Mes 11]]+Registro[[#This Row],[Mes 12]]</f>
        <v>0</v>
      </c>
      <c r="X1634" s="20">
        <f>SUM(Registro[[#This Row],[Trim I]],Registro[[#This Row],[Trim II]],Registro[[#This Row],[Trim III]],Registro[[#This Row],[Trim IV]])</f>
        <v>0</v>
      </c>
      <c r="Y1634" s="22">
        <f>IFERROR((Registro[[#This Row],[Avance Total]]/Registro[[#This Row],[Meta]]),0)</f>
        <v>0</v>
      </c>
      <c r="Z1634" s="22">
        <f>IFERROR((Registro[[#This Row],[Avance Total]]-Registro[[#This Row],[Línea Base 2025]])/Registro[[#This Row],[Línea Base 2025]],0)</f>
        <v>0</v>
      </c>
      <c r="AA1634" s="20"/>
    </row>
    <row r="1635" spans="1:27" hidden="1">
      <c r="A1635">
        <v>1126</v>
      </c>
      <c r="B1635" t="s">
        <v>141</v>
      </c>
      <c r="C1635" s="16">
        <v>119</v>
      </c>
      <c r="D1635" s="16" t="s">
        <v>190</v>
      </c>
      <c r="E1635" s="17" t="s">
        <v>189</v>
      </c>
      <c r="F1635" s="24">
        <v>0</v>
      </c>
      <c r="G1635" s="19">
        <v>2</v>
      </c>
      <c r="H1635" s="19">
        <v>0</v>
      </c>
      <c r="I1635" s="19">
        <v>0</v>
      </c>
      <c r="T1635" s="20">
        <f>Registro[[#This Row],[Mes 1]]+Registro[[#This Row],[Mes 2]]+Registro[[#This Row],[Mes 3]]</f>
        <v>0</v>
      </c>
      <c r="U1635" s="20">
        <f>Registro[[#This Row],[Mes 4]]+Registro[[#This Row],[Mes 5]]+Registro[[#This Row],[Mes 6]]</f>
        <v>0</v>
      </c>
      <c r="V1635" s="20">
        <f>Registro[[#This Row],[Mes 7]]+Registro[[#This Row],[Mes 8]]+Registro[[#This Row],[Mes 9]]</f>
        <v>0</v>
      </c>
      <c r="W1635" s="20">
        <f>Registro[[#This Row],[Mes 10]]+Registro[[#This Row],[Mes 11]]+Registro[[#This Row],[Mes 12]]</f>
        <v>0</v>
      </c>
      <c r="X1635" s="20">
        <f>SUM(Registro[[#This Row],[Trim I]],Registro[[#This Row],[Trim II]],Registro[[#This Row],[Trim III]],Registro[[#This Row],[Trim IV]])</f>
        <v>0</v>
      </c>
      <c r="Y1635" s="22">
        <f>IFERROR((Registro[[#This Row],[Avance Total]]/Registro[[#This Row],[Meta]]),0)</f>
        <v>0</v>
      </c>
      <c r="Z1635" s="22">
        <f>IFERROR((Registro[[#This Row],[Avance Total]]-Registro[[#This Row],[Línea Base 2025]])/Registro[[#This Row],[Línea Base 2025]],0)</f>
        <v>0</v>
      </c>
      <c r="AA1635" s="20"/>
    </row>
    <row r="1636" spans="1:27" hidden="1">
      <c r="A1636">
        <v>1126</v>
      </c>
      <c r="B1636" t="s">
        <v>141</v>
      </c>
      <c r="C1636" s="16">
        <v>120</v>
      </c>
      <c r="D1636" s="16" t="s">
        <v>192</v>
      </c>
      <c r="E1636" s="17" t="s">
        <v>191</v>
      </c>
      <c r="F1636" s="24">
        <v>0</v>
      </c>
      <c r="G1636" s="19">
        <v>7</v>
      </c>
      <c r="H1636" s="19">
        <v>0</v>
      </c>
      <c r="I1636" s="19">
        <v>0</v>
      </c>
      <c r="T1636" s="20">
        <f>Registro[[#This Row],[Mes 1]]+Registro[[#This Row],[Mes 2]]+Registro[[#This Row],[Mes 3]]</f>
        <v>0</v>
      </c>
      <c r="U1636" s="20">
        <f>Registro[[#This Row],[Mes 4]]+Registro[[#This Row],[Mes 5]]+Registro[[#This Row],[Mes 6]]</f>
        <v>0</v>
      </c>
      <c r="V1636" s="20">
        <f>Registro[[#This Row],[Mes 7]]+Registro[[#This Row],[Mes 8]]+Registro[[#This Row],[Mes 9]]</f>
        <v>0</v>
      </c>
      <c r="W1636" s="20">
        <f>Registro[[#This Row],[Mes 10]]+Registro[[#This Row],[Mes 11]]+Registro[[#This Row],[Mes 12]]</f>
        <v>0</v>
      </c>
      <c r="X1636" s="20">
        <f>SUM(Registro[[#This Row],[Trim I]],Registro[[#This Row],[Trim II]],Registro[[#This Row],[Trim III]],Registro[[#This Row],[Trim IV]])</f>
        <v>0</v>
      </c>
      <c r="Y1636" s="22">
        <f>IFERROR((Registro[[#This Row],[Avance Total]]/Registro[[#This Row],[Meta]]),0)</f>
        <v>0</v>
      </c>
      <c r="Z1636" s="22">
        <f>IFERROR((Registro[[#This Row],[Avance Total]]-Registro[[#This Row],[Línea Base 2025]])/Registro[[#This Row],[Línea Base 2025]],0)</f>
        <v>0</v>
      </c>
      <c r="AA1636" s="20"/>
    </row>
    <row r="1637" spans="1:27" hidden="1">
      <c r="A1637">
        <v>1126</v>
      </c>
      <c r="B1637" t="s">
        <v>141</v>
      </c>
      <c r="C1637" s="16">
        <v>121</v>
      </c>
      <c r="D1637" s="16" t="s">
        <v>194</v>
      </c>
      <c r="E1637" s="17" t="s">
        <v>193</v>
      </c>
      <c r="F1637" s="24">
        <v>0</v>
      </c>
      <c r="G1637" s="19">
        <v>0</v>
      </c>
      <c r="H1637" s="19">
        <v>0</v>
      </c>
      <c r="I1637" s="19">
        <v>0</v>
      </c>
      <c r="T1637" s="20">
        <f>Registro[[#This Row],[Mes 1]]+Registro[[#This Row],[Mes 2]]+Registro[[#This Row],[Mes 3]]</f>
        <v>0</v>
      </c>
      <c r="U1637" s="20">
        <f>Registro[[#This Row],[Mes 4]]+Registro[[#This Row],[Mes 5]]+Registro[[#This Row],[Mes 6]]</f>
        <v>0</v>
      </c>
      <c r="V1637" s="20">
        <f>Registro[[#This Row],[Mes 7]]+Registro[[#This Row],[Mes 8]]+Registro[[#This Row],[Mes 9]]</f>
        <v>0</v>
      </c>
      <c r="W1637" s="20">
        <f>Registro[[#This Row],[Mes 10]]+Registro[[#This Row],[Mes 11]]+Registro[[#This Row],[Mes 12]]</f>
        <v>0</v>
      </c>
      <c r="X1637" s="20">
        <f>SUM(Registro[[#This Row],[Trim I]],Registro[[#This Row],[Trim II]],Registro[[#This Row],[Trim III]],Registro[[#This Row],[Trim IV]])</f>
        <v>0</v>
      </c>
      <c r="Y1637" s="22">
        <f>IFERROR((Registro[[#This Row],[Avance Total]]/Registro[[#This Row],[Meta]]),0)</f>
        <v>0</v>
      </c>
      <c r="Z1637" s="22">
        <f>IFERROR((Registro[[#This Row],[Avance Total]]-Registro[[#This Row],[Línea Base 2025]])/Registro[[#This Row],[Línea Base 2025]],0)</f>
        <v>0</v>
      </c>
      <c r="AA1637" s="20"/>
    </row>
    <row r="1638" spans="1:27" hidden="1">
      <c r="A1638">
        <v>1126</v>
      </c>
      <c r="B1638" t="s">
        <v>141</v>
      </c>
      <c r="C1638" s="16">
        <v>122</v>
      </c>
      <c r="D1638" s="16" t="s">
        <v>196</v>
      </c>
      <c r="E1638" s="17" t="s">
        <v>195</v>
      </c>
      <c r="F1638" s="24">
        <v>0</v>
      </c>
      <c r="G1638" s="19">
        <v>2</v>
      </c>
      <c r="H1638" s="19">
        <v>0</v>
      </c>
      <c r="I1638" s="19">
        <v>0</v>
      </c>
      <c r="T1638" s="20">
        <f>Registro[[#This Row],[Mes 1]]+Registro[[#This Row],[Mes 2]]+Registro[[#This Row],[Mes 3]]</f>
        <v>0</v>
      </c>
      <c r="U1638" s="20">
        <f>Registro[[#This Row],[Mes 4]]+Registro[[#This Row],[Mes 5]]+Registro[[#This Row],[Mes 6]]</f>
        <v>0</v>
      </c>
      <c r="V1638" s="20">
        <f>Registro[[#This Row],[Mes 7]]+Registro[[#This Row],[Mes 8]]+Registro[[#This Row],[Mes 9]]</f>
        <v>0</v>
      </c>
      <c r="W1638" s="20">
        <f>Registro[[#This Row],[Mes 10]]+Registro[[#This Row],[Mes 11]]+Registro[[#This Row],[Mes 12]]</f>
        <v>0</v>
      </c>
      <c r="X1638" s="20">
        <f>SUM(Registro[[#This Row],[Trim I]],Registro[[#This Row],[Trim II]],Registro[[#This Row],[Trim III]],Registro[[#This Row],[Trim IV]])</f>
        <v>0</v>
      </c>
      <c r="Y1638" s="22">
        <f>IFERROR((Registro[[#This Row],[Avance Total]]/Registro[[#This Row],[Meta]]),0)</f>
        <v>0</v>
      </c>
      <c r="Z1638" s="22">
        <f>IFERROR((Registro[[#This Row],[Avance Total]]-Registro[[#This Row],[Línea Base 2025]])/Registro[[#This Row],[Línea Base 2025]],0)</f>
        <v>0</v>
      </c>
      <c r="AA1638" s="20"/>
    </row>
    <row r="1639" spans="1:27" hidden="1">
      <c r="A1639">
        <v>1126</v>
      </c>
      <c r="B1639" t="s">
        <v>141</v>
      </c>
      <c r="C1639" s="26">
        <v>123</v>
      </c>
      <c r="D1639" s="26" t="s">
        <v>198</v>
      </c>
      <c r="E1639" s="17" t="s">
        <v>197</v>
      </c>
      <c r="F1639" s="32">
        <v>0</v>
      </c>
      <c r="G1639" s="28">
        <v>3</v>
      </c>
      <c r="H1639" s="28">
        <v>0</v>
      </c>
      <c r="I1639" s="28">
        <v>0</v>
      </c>
      <c r="J1639" s="27"/>
      <c r="K1639" s="27"/>
      <c r="L1639" s="27"/>
      <c r="M1639" s="27"/>
      <c r="N1639" s="27"/>
      <c r="O1639" s="27"/>
      <c r="P1639" s="27"/>
      <c r="Q1639" s="27"/>
      <c r="R1639" s="27"/>
      <c r="S1639" s="27"/>
      <c r="T1639" s="29">
        <f>Registro[[#This Row],[Mes 1]]+Registro[[#This Row],[Mes 2]]+Registro[[#This Row],[Mes 3]]</f>
        <v>0</v>
      </c>
      <c r="U1639" s="29">
        <f>Registro[[#This Row],[Mes 4]]+Registro[[#This Row],[Mes 5]]+Registro[[#This Row],[Mes 6]]</f>
        <v>0</v>
      </c>
      <c r="V1639" s="29">
        <f>Registro[[#This Row],[Mes 7]]+Registro[[#This Row],[Mes 8]]+Registro[[#This Row],[Mes 9]]</f>
        <v>0</v>
      </c>
      <c r="W1639" s="29">
        <f>Registro[[#This Row],[Mes 10]]+Registro[[#This Row],[Mes 11]]+Registro[[#This Row],[Mes 12]]</f>
        <v>0</v>
      </c>
      <c r="X1639" s="29">
        <f>SUM(Registro[[#This Row],[Trim I]],Registro[[#This Row],[Trim II]],Registro[[#This Row],[Trim III]],Registro[[#This Row],[Trim IV]])</f>
        <v>0</v>
      </c>
      <c r="Y1639" s="30">
        <f>IFERROR((Registro[[#This Row],[Avance Total]]/Registro[[#This Row],[Meta]]),0)</f>
        <v>0</v>
      </c>
      <c r="Z1639" s="30">
        <f>IFERROR((Registro[[#This Row],[Avance Total]]-Registro[[#This Row],[Línea Base 2025]])/Registro[[#This Row],[Línea Base 2025]],0)</f>
        <v>0</v>
      </c>
      <c r="AA1639" s="29"/>
    </row>
    <row r="1640" spans="1:27" hidden="1">
      <c r="A1640">
        <v>1127</v>
      </c>
      <c r="B1640" t="s">
        <v>142</v>
      </c>
      <c r="C1640" s="16">
        <v>111</v>
      </c>
      <c r="D1640" s="16" t="s">
        <v>171</v>
      </c>
      <c r="E1640" s="17" t="s">
        <v>172</v>
      </c>
      <c r="F1640" s="24">
        <v>27</v>
      </c>
      <c r="G1640" s="19">
        <v>430</v>
      </c>
      <c r="H1640" s="19">
        <v>0</v>
      </c>
      <c r="I1640" s="19">
        <v>4</v>
      </c>
      <c r="T1640" s="20">
        <f>Registro[[#This Row],[Mes 1]]+Registro[[#This Row],[Mes 2]]+Registro[[#This Row],[Mes 3]]</f>
        <v>4</v>
      </c>
      <c r="U1640" s="20">
        <f>Registro[[#This Row],[Mes 4]]+Registro[[#This Row],[Mes 5]]+Registro[[#This Row],[Mes 6]]</f>
        <v>0</v>
      </c>
      <c r="V1640" s="20">
        <f>Registro[[#This Row],[Mes 7]]+Registro[[#This Row],[Mes 8]]+Registro[[#This Row],[Mes 9]]</f>
        <v>0</v>
      </c>
      <c r="W1640" s="20">
        <f>Registro[[#This Row],[Mes 10]]+Registro[[#This Row],[Mes 11]]+Registro[[#This Row],[Mes 12]]</f>
        <v>0</v>
      </c>
      <c r="X1640" s="20">
        <f>SUM(Registro[[#This Row],[Trim I]],Registro[[#This Row],[Trim II]],Registro[[#This Row],[Trim III]],Registro[[#This Row],[Trim IV]])</f>
        <v>4</v>
      </c>
      <c r="Y1640" s="22">
        <f>IFERROR((Registro[[#This Row],[Avance Total]]/Registro[[#This Row],[Meta]]),0)</f>
        <v>9.3023255813953487E-3</v>
      </c>
      <c r="Z1640" s="22">
        <f>IFERROR((Registro[[#This Row],[Avance Total]]-Registro[[#This Row],[Línea Base 2025]])/Registro[[#This Row],[Línea Base 2025]],0)</f>
        <v>-0.85185185185185186</v>
      </c>
      <c r="AA1640" s="20"/>
    </row>
    <row r="1641" spans="1:27" hidden="1">
      <c r="A1641">
        <v>1127</v>
      </c>
      <c r="B1641" t="s">
        <v>142</v>
      </c>
      <c r="C1641" s="16">
        <v>112</v>
      </c>
      <c r="D1641" s="16" t="s">
        <v>173</v>
      </c>
      <c r="E1641" s="17" t="s">
        <v>7</v>
      </c>
      <c r="F1641" s="24">
        <v>16</v>
      </c>
      <c r="G1641" s="19">
        <v>45</v>
      </c>
      <c r="H1641" s="19">
        <v>0</v>
      </c>
      <c r="I1641" s="19">
        <v>0</v>
      </c>
      <c r="T1641" s="20">
        <f>Registro[[#This Row],[Mes 1]]+Registro[[#This Row],[Mes 2]]+Registro[[#This Row],[Mes 3]]</f>
        <v>0</v>
      </c>
      <c r="U1641" s="20">
        <f>Registro[[#This Row],[Mes 4]]+Registro[[#This Row],[Mes 5]]+Registro[[#This Row],[Mes 6]]</f>
        <v>0</v>
      </c>
      <c r="V1641" s="20">
        <f>Registro[[#This Row],[Mes 7]]+Registro[[#This Row],[Mes 8]]+Registro[[#This Row],[Mes 9]]</f>
        <v>0</v>
      </c>
      <c r="W1641" s="20">
        <f>Registro[[#This Row],[Mes 10]]+Registro[[#This Row],[Mes 11]]+Registro[[#This Row],[Mes 12]]</f>
        <v>0</v>
      </c>
      <c r="X1641" s="20">
        <f>SUM(Registro[[#This Row],[Trim I]],Registro[[#This Row],[Trim II]],Registro[[#This Row],[Trim III]],Registro[[#This Row],[Trim IV]])</f>
        <v>0</v>
      </c>
      <c r="Y1641" s="22">
        <f>IFERROR((Registro[[#This Row],[Avance Total]]/Registro[[#This Row],[Meta]]),0)</f>
        <v>0</v>
      </c>
      <c r="Z1641" s="22">
        <f>IFERROR((Registro[[#This Row],[Avance Total]]-Registro[[#This Row],[Línea Base 2025]])/Registro[[#This Row],[Línea Base 2025]],0)</f>
        <v>-1</v>
      </c>
      <c r="AA1641" s="20"/>
    </row>
    <row r="1642" spans="1:27" hidden="1">
      <c r="A1642">
        <v>1127</v>
      </c>
      <c r="B1642" t="s">
        <v>142</v>
      </c>
      <c r="C1642" s="16">
        <v>113</v>
      </c>
      <c r="D1642" s="16" t="s">
        <v>179</v>
      </c>
      <c r="E1642" s="17" t="s">
        <v>178</v>
      </c>
      <c r="F1642" s="24">
        <v>25</v>
      </c>
      <c r="G1642" s="19">
        <v>378</v>
      </c>
      <c r="H1642" s="19">
        <v>1</v>
      </c>
      <c r="I1642" s="19">
        <v>2</v>
      </c>
      <c r="T1642" s="20">
        <f>Registro[[#This Row],[Mes 1]]+Registro[[#This Row],[Mes 2]]+Registro[[#This Row],[Mes 3]]</f>
        <v>3</v>
      </c>
      <c r="U1642" s="20">
        <f>Registro[[#This Row],[Mes 4]]+Registro[[#This Row],[Mes 5]]+Registro[[#This Row],[Mes 6]]</f>
        <v>0</v>
      </c>
      <c r="V1642" s="20">
        <f>Registro[[#This Row],[Mes 7]]+Registro[[#This Row],[Mes 8]]+Registro[[#This Row],[Mes 9]]</f>
        <v>0</v>
      </c>
      <c r="W1642" s="20">
        <f>Registro[[#This Row],[Mes 10]]+Registro[[#This Row],[Mes 11]]+Registro[[#This Row],[Mes 12]]</f>
        <v>0</v>
      </c>
      <c r="X1642" s="20">
        <f>SUM(Registro[[#This Row],[Trim I]],Registro[[#This Row],[Trim II]],Registro[[#This Row],[Trim III]],Registro[[#This Row],[Trim IV]])</f>
        <v>3</v>
      </c>
      <c r="Y1642" s="22">
        <f>IFERROR((Registro[[#This Row],[Avance Total]]/Registro[[#This Row],[Meta]]),0)</f>
        <v>7.9365079365079361E-3</v>
      </c>
      <c r="Z1642" s="22">
        <f>IFERROR((Registro[[#This Row],[Avance Total]]-Registro[[#This Row],[Línea Base 2025]])/Registro[[#This Row],[Línea Base 2025]],0)</f>
        <v>-0.88</v>
      </c>
      <c r="AA1642" s="20"/>
    </row>
    <row r="1643" spans="1:27" hidden="1">
      <c r="A1643">
        <v>1127</v>
      </c>
      <c r="B1643" t="s">
        <v>142</v>
      </c>
      <c r="C1643" s="16">
        <v>114</v>
      </c>
      <c r="D1643" s="16" t="s">
        <v>181</v>
      </c>
      <c r="E1643" s="17" t="s">
        <v>180</v>
      </c>
      <c r="F1643" s="24">
        <v>0</v>
      </c>
      <c r="G1643" s="19">
        <v>18</v>
      </c>
      <c r="H1643" s="19">
        <v>0</v>
      </c>
      <c r="I1643" s="19">
        <v>0</v>
      </c>
      <c r="T1643" s="20">
        <f>Registro[[#This Row],[Mes 1]]+Registro[[#This Row],[Mes 2]]+Registro[[#This Row],[Mes 3]]</f>
        <v>0</v>
      </c>
      <c r="U1643" s="20">
        <f>Registro[[#This Row],[Mes 4]]+Registro[[#This Row],[Mes 5]]+Registro[[#This Row],[Mes 6]]</f>
        <v>0</v>
      </c>
      <c r="V1643" s="20">
        <f>Registro[[#This Row],[Mes 7]]+Registro[[#This Row],[Mes 8]]+Registro[[#This Row],[Mes 9]]</f>
        <v>0</v>
      </c>
      <c r="W1643" s="20">
        <f>Registro[[#This Row],[Mes 10]]+Registro[[#This Row],[Mes 11]]+Registro[[#This Row],[Mes 12]]</f>
        <v>0</v>
      </c>
      <c r="X1643" s="20">
        <f>SUM(Registro[[#This Row],[Trim I]],Registro[[#This Row],[Trim II]],Registro[[#This Row],[Trim III]],Registro[[#This Row],[Trim IV]])</f>
        <v>0</v>
      </c>
      <c r="Y1643" s="22">
        <f>IFERROR((Registro[[#This Row],[Avance Total]]/Registro[[#This Row],[Meta]]),0)</f>
        <v>0</v>
      </c>
      <c r="Z1643" s="22">
        <f>IFERROR((Registro[[#This Row],[Avance Total]]-Registro[[#This Row],[Línea Base 2025]])/Registro[[#This Row],[Línea Base 2025]],0)</f>
        <v>0</v>
      </c>
      <c r="AA1643" s="20"/>
    </row>
    <row r="1644" spans="1:27" hidden="1">
      <c r="A1644">
        <v>1127</v>
      </c>
      <c r="B1644" t="s">
        <v>142</v>
      </c>
      <c r="C1644" s="16">
        <v>115</v>
      </c>
      <c r="D1644" s="16" t="s">
        <v>183</v>
      </c>
      <c r="E1644" s="17" t="s">
        <v>182</v>
      </c>
      <c r="F1644" s="24">
        <v>0</v>
      </c>
      <c r="G1644" s="19">
        <v>16</v>
      </c>
      <c r="H1644" s="19">
        <v>0</v>
      </c>
      <c r="I1644" s="19">
        <v>0</v>
      </c>
      <c r="T1644" s="20">
        <f>Registro[[#This Row],[Mes 1]]+Registro[[#This Row],[Mes 2]]+Registro[[#This Row],[Mes 3]]</f>
        <v>0</v>
      </c>
      <c r="U1644" s="20">
        <f>Registro[[#This Row],[Mes 4]]+Registro[[#This Row],[Mes 5]]+Registro[[#This Row],[Mes 6]]</f>
        <v>0</v>
      </c>
      <c r="V1644" s="20">
        <f>Registro[[#This Row],[Mes 7]]+Registro[[#This Row],[Mes 8]]+Registro[[#This Row],[Mes 9]]</f>
        <v>0</v>
      </c>
      <c r="W1644" s="20">
        <f>Registro[[#This Row],[Mes 10]]+Registro[[#This Row],[Mes 11]]+Registro[[#This Row],[Mes 12]]</f>
        <v>0</v>
      </c>
      <c r="X1644" s="20">
        <f>SUM(Registro[[#This Row],[Trim I]],Registro[[#This Row],[Trim II]],Registro[[#This Row],[Trim III]],Registro[[#This Row],[Trim IV]])</f>
        <v>0</v>
      </c>
      <c r="Y1644" s="22">
        <f>IFERROR((Registro[[#This Row],[Avance Total]]/Registro[[#This Row],[Meta]]),0)</f>
        <v>0</v>
      </c>
      <c r="Z1644" s="22">
        <f>IFERROR((Registro[[#This Row],[Avance Total]]-Registro[[#This Row],[Línea Base 2025]])/Registro[[#This Row],[Línea Base 2025]],0)</f>
        <v>0</v>
      </c>
      <c r="AA1644" s="20"/>
    </row>
    <row r="1645" spans="1:27">
      <c r="A1645">
        <v>1127</v>
      </c>
      <c r="B1645" t="s">
        <v>142</v>
      </c>
      <c r="C1645" s="16">
        <v>116</v>
      </c>
      <c r="D1645" s="16" t="s">
        <v>185</v>
      </c>
      <c r="E1645" s="17" t="s">
        <v>184</v>
      </c>
      <c r="F1645" s="24">
        <v>2</v>
      </c>
      <c r="G1645" s="19">
        <v>1</v>
      </c>
      <c r="H1645" s="19">
        <v>0</v>
      </c>
      <c r="I1645" s="19">
        <v>0</v>
      </c>
      <c r="T1645" s="20">
        <f>Registro[[#This Row],[Mes 1]]+Registro[[#This Row],[Mes 2]]+Registro[[#This Row],[Mes 3]]</f>
        <v>0</v>
      </c>
      <c r="U1645" s="20">
        <f>Registro[[#This Row],[Mes 4]]+Registro[[#This Row],[Mes 5]]+Registro[[#This Row],[Mes 6]]</f>
        <v>0</v>
      </c>
      <c r="V1645" s="20">
        <f>Registro[[#This Row],[Mes 7]]+Registro[[#This Row],[Mes 8]]+Registro[[#This Row],[Mes 9]]</f>
        <v>0</v>
      </c>
      <c r="W1645" s="20">
        <f>Registro[[#This Row],[Mes 10]]+Registro[[#This Row],[Mes 11]]+Registro[[#This Row],[Mes 12]]</f>
        <v>0</v>
      </c>
      <c r="X1645" s="20">
        <f>SUM(Registro[[#This Row],[Trim I]],Registro[[#This Row],[Trim II]],Registro[[#This Row],[Trim III]],Registro[[#This Row],[Trim IV]])</f>
        <v>0</v>
      </c>
      <c r="Y1645" s="22">
        <f>IFERROR((Registro[[#This Row],[Avance Total]]/Registro[[#This Row],[Meta]]),0)</f>
        <v>0</v>
      </c>
      <c r="Z1645" s="22">
        <f>IFERROR((Registro[[#This Row],[Avance Total]]-Registro[[#This Row],[Línea Base 2025]])/Registro[[#This Row],[Línea Base 2025]],0)</f>
        <v>-1</v>
      </c>
      <c r="AA1645" s="20"/>
    </row>
    <row r="1646" spans="1:27" hidden="1">
      <c r="A1646">
        <v>1127</v>
      </c>
      <c r="B1646" t="s">
        <v>142</v>
      </c>
      <c r="C1646" s="16">
        <v>117</v>
      </c>
      <c r="D1646" s="16" t="s">
        <v>187</v>
      </c>
      <c r="E1646" s="17" t="s">
        <v>186</v>
      </c>
      <c r="F1646" s="24">
        <v>3</v>
      </c>
      <c r="G1646" s="19">
        <v>2</v>
      </c>
      <c r="H1646" s="19">
        <v>0</v>
      </c>
      <c r="I1646" s="19">
        <v>0</v>
      </c>
      <c r="T1646" s="20">
        <f>Registro[[#This Row],[Mes 1]]+Registro[[#This Row],[Mes 2]]+Registro[[#This Row],[Mes 3]]</f>
        <v>0</v>
      </c>
      <c r="U1646" s="20">
        <f>Registro[[#This Row],[Mes 4]]+Registro[[#This Row],[Mes 5]]+Registro[[#This Row],[Mes 6]]</f>
        <v>0</v>
      </c>
      <c r="V1646" s="20">
        <f>Registro[[#This Row],[Mes 7]]+Registro[[#This Row],[Mes 8]]+Registro[[#This Row],[Mes 9]]</f>
        <v>0</v>
      </c>
      <c r="W1646" s="20">
        <f>Registro[[#This Row],[Mes 10]]+Registro[[#This Row],[Mes 11]]+Registro[[#This Row],[Mes 12]]</f>
        <v>0</v>
      </c>
      <c r="X1646" s="20">
        <f>SUM(Registro[[#This Row],[Trim I]],Registro[[#This Row],[Trim II]],Registro[[#This Row],[Trim III]],Registro[[#This Row],[Trim IV]])</f>
        <v>0</v>
      </c>
      <c r="Y1646" s="22">
        <f>IFERROR((Registro[[#This Row],[Avance Total]]/Registro[[#This Row],[Meta]]),0)</f>
        <v>0</v>
      </c>
      <c r="Z1646" s="22">
        <f>IFERROR((Registro[[#This Row],[Avance Total]]-Registro[[#This Row],[Línea Base 2025]])/Registro[[#This Row],[Línea Base 2025]],0)</f>
        <v>-1</v>
      </c>
      <c r="AA1646" s="20"/>
    </row>
    <row r="1647" spans="1:27" hidden="1">
      <c r="A1647">
        <v>1127</v>
      </c>
      <c r="B1647" t="s">
        <v>142</v>
      </c>
      <c r="C1647" s="16">
        <v>118</v>
      </c>
      <c r="D1647" s="16" t="s">
        <v>188</v>
      </c>
      <c r="E1647" s="17" t="s">
        <v>9</v>
      </c>
      <c r="F1647" s="24">
        <v>0</v>
      </c>
      <c r="G1647" s="19">
        <v>0</v>
      </c>
      <c r="H1647" s="19">
        <v>0</v>
      </c>
      <c r="I1647" s="19">
        <v>0</v>
      </c>
      <c r="T1647" s="20">
        <f>Registro[[#This Row],[Mes 1]]+Registro[[#This Row],[Mes 2]]+Registro[[#This Row],[Mes 3]]</f>
        <v>0</v>
      </c>
      <c r="U1647" s="20">
        <f>Registro[[#This Row],[Mes 4]]+Registro[[#This Row],[Mes 5]]+Registro[[#This Row],[Mes 6]]</f>
        <v>0</v>
      </c>
      <c r="V1647" s="20">
        <f>Registro[[#This Row],[Mes 7]]+Registro[[#This Row],[Mes 8]]+Registro[[#This Row],[Mes 9]]</f>
        <v>0</v>
      </c>
      <c r="W1647" s="20">
        <f>Registro[[#This Row],[Mes 10]]+Registro[[#This Row],[Mes 11]]+Registro[[#This Row],[Mes 12]]</f>
        <v>0</v>
      </c>
      <c r="X1647" s="20">
        <f>SUM(Registro[[#This Row],[Trim I]],Registro[[#This Row],[Trim II]],Registro[[#This Row],[Trim III]],Registro[[#This Row],[Trim IV]])</f>
        <v>0</v>
      </c>
      <c r="Y1647" s="22">
        <f>IFERROR((Registro[[#This Row],[Avance Total]]/Registro[[#This Row],[Meta]]),0)</f>
        <v>0</v>
      </c>
      <c r="Z1647" s="22">
        <f>IFERROR((Registro[[#This Row],[Avance Total]]-Registro[[#This Row],[Línea Base 2025]])/Registro[[#This Row],[Línea Base 2025]],0)</f>
        <v>0</v>
      </c>
      <c r="AA1647" s="20"/>
    </row>
    <row r="1648" spans="1:27" hidden="1">
      <c r="A1648">
        <v>1127</v>
      </c>
      <c r="B1648" t="s">
        <v>142</v>
      </c>
      <c r="C1648" s="16">
        <v>119</v>
      </c>
      <c r="D1648" s="16" t="s">
        <v>190</v>
      </c>
      <c r="E1648" s="17" t="s">
        <v>189</v>
      </c>
      <c r="F1648" s="24">
        <v>0</v>
      </c>
      <c r="G1648" s="19">
        <v>1</v>
      </c>
      <c r="H1648" s="19">
        <v>0</v>
      </c>
      <c r="I1648" s="19">
        <v>0</v>
      </c>
      <c r="T1648" s="20">
        <f>Registro[[#This Row],[Mes 1]]+Registro[[#This Row],[Mes 2]]+Registro[[#This Row],[Mes 3]]</f>
        <v>0</v>
      </c>
      <c r="U1648" s="20">
        <f>Registro[[#This Row],[Mes 4]]+Registro[[#This Row],[Mes 5]]+Registro[[#This Row],[Mes 6]]</f>
        <v>0</v>
      </c>
      <c r="V1648" s="20">
        <f>Registro[[#This Row],[Mes 7]]+Registro[[#This Row],[Mes 8]]+Registro[[#This Row],[Mes 9]]</f>
        <v>0</v>
      </c>
      <c r="W1648" s="20">
        <f>Registro[[#This Row],[Mes 10]]+Registro[[#This Row],[Mes 11]]+Registro[[#This Row],[Mes 12]]</f>
        <v>0</v>
      </c>
      <c r="X1648" s="20">
        <f>SUM(Registro[[#This Row],[Trim I]],Registro[[#This Row],[Trim II]],Registro[[#This Row],[Trim III]],Registro[[#This Row],[Trim IV]])</f>
        <v>0</v>
      </c>
      <c r="Y1648" s="22">
        <f>IFERROR((Registro[[#This Row],[Avance Total]]/Registro[[#This Row],[Meta]]),0)</f>
        <v>0</v>
      </c>
      <c r="Z1648" s="22">
        <f>IFERROR((Registro[[#This Row],[Avance Total]]-Registro[[#This Row],[Línea Base 2025]])/Registro[[#This Row],[Línea Base 2025]],0)</f>
        <v>0</v>
      </c>
      <c r="AA1648" s="20"/>
    </row>
    <row r="1649" spans="1:27" hidden="1">
      <c r="A1649">
        <v>1127</v>
      </c>
      <c r="B1649" t="s">
        <v>142</v>
      </c>
      <c r="C1649" s="16">
        <v>120</v>
      </c>
      <c r="D1649" s="16" t="s">
        <v>192</v>
      </c>
      <c r="E1649" s="17" t="s">
        <v>191</v>
      </c>
      <c r="F1649" s="24">
        <v>0</v>
      </c>
      <c r="G1649" s="19">
        <v>10</v>
      </c>
      <c r="H1649" s="19">
        <v>0</v>
      </c>
      <c r="I1649" s="19">
        <v>0</v>
      </c>
      <c r="T1649" s="20">
        <f>Registro[[#This Row],[Mes 1]]+Registro[[#This Row],[Mes 2]]+Registro[[#This Row],[Mes 3]]</f>
        <v>0</v>
      </c>
      <c r="U1649" s="20">
        <f>Registro[[#This Row],[Mes 4]]+Registro[[#This Row],[Mes 5]]+Registro[[#This Row],[Mes 6]]</f>
        <v>0</v>
      </c>
      <c r="V1649" s="20">
        <f>Registro[[#This Row],[Mes 7]]+Registro[[#This Row],[Mes 8]]+Registro[[#This Row],[Mes 9]]</f>
        <v>0</v>
      </c>
      <c r="W1649" s="20">
        <f>Registro[[#This Row],[Mes 10]]+Registro[[#This Row],[Mes 11]]+Registro[[#This Row],[Mes 12]]</f>
        <v>0</v>
      </c>
      <c r="X1649" s="20">
        <f>SUM(Registro[[#This Row],[Trim I]],Registro[[#This Row],[Trim II]],Registro[[#This Row],[Trim III]],Registro[[#This Row],[Trim IV]])</f>
        <v>0</v>
      </c>
      <c r="Y1649" s="22">
        <f>IFERROR((Registro[[#This Row],[Avance Total]]/Registro[[#This Row],[Meta]]),0)</f>
        <v>0</v>
      </c>
      <c r="Z1649" s="22">
        <f>IFERROR((Registro[[#This Row],[Avance Total]]-Registro[[#This Row],[Línea Base 2025]])/Registro[[#This Row],[Línea Base 2025]],0)</f>
        <v>0</v>
      </c>
      <c r="AA1649" s="20"/>
    </row>
    <row r="1650" spans="1:27" hidden="1">
      <c r="A1650">
        <v>1127</v>
      </c>
      <c r="B1650" t="s">
        <v>142</v>
      </c>
      <c r="C1650" s="16">
        <v>121</v>
      </c>
      <c r="D1650" s="16" t="s">
        <v>194</v>
      </c>
      <c r="E1650" s="17" t="s">
        <v>193</v>
      </c>
      <c r="F1650" s="24">
        <v>0</v>
      </c>
      <c r="G1650" s="19">
        <v>8</v>
      </c>
      <c r="H1650" s="19">
        <v>0</v>
      </c>
      <c r="I1650" s="19">
        <v>0</v>
      </c>
      <c r="T1650" s="20">
        <f>Registro[[#This Row],[Mes 1]]+Registro[[#This Row],[Mes 2]]+Registro[[#This Row],[Mes 3]]</f>
        <v>0</v>
      </c>
      <c r="U1650" s="20">
        <f>Registro[[#This Row],[Mes 4]]+Registro[[#This Row],[Mes 5]]+Registro[[#This Row],[Mes 6]]</f>
        <v>0</v>
      </c>
      <c r="V1650" s="20">
        <f>Registro[[#This Row],[Mes 7]]+Registro[[#This Row],[Mes 8]]+Registro[[#This Row],[Mes 9]]</f>
        <v>0</v>
      </c>
      <c r="W1650" s="20">
        <f>Registro[[#This Row],[Mes 10]]+Registro[[#This Row],[Mes 11]]+Registro[[#This Row],[Mes 12]]</f>
        <v>0</v>
      </c>
      <c r="X1650" s="20">
        <f>SUM(Registro[[#This Row],[Trim I]],Registro[[#This Row],[Trim II]],Registro[[#This Row],[Trim III]],Registro[[#This Row],[Trim IV]])</f>
        <v>0</v>
      </c>
      <c r="Y1650" s="22">
        <f>IFERROR((Registro[[#This Row],[Avance Total]]/Registro[[#This Row],[Meta]]),0)</f>
        <v>0</v>
      </c>
      <c r="Z1650" s="22">
        <f>IFERROR((Registro[[#This Row],[Avance Total]]-Registro[[#This Row],[Línea Base 2025]])/Registro[[#This Row],[Línea Base 2025]],0)</f>
        <v>0</v>
      </c>
      <c r="AA1650" s="20"/>
    </row>
    <row r="1651" spans="1:27" hidden="1">
      <c r="A1651">
        <v>1127</v>
      </c>
      <c r="B1651" t="s">
        <v>142</v>
      </c>
      <c r="C1651" s="16">
        <v>122</v>
      </c>
      <c r="D1651" s="16" t="s">
        <v>196</v>
      </c>
      <c r="E1651" s="17" t="s">
        <v>195</v>
      </c>
      <c r="F1651" s="24">
        <v>0</v>
      </c>
      <c r="G1651" s="19">
        <v>5</v>
      </c>
      <c r="H1651" s="19">
        <v>0</v>
      </c>
      <c r="I1651" s="19">
        <v>0</v>
      </c>
      <c r="T1651" s="20">
        <f>Registro[[#This Row],[Mes 1]]+Registro[[#This Row],[Mes 2]]+Registro[[#This Row],[Mes 3]]</f>
        <v>0</v>
      </c>
      <c r="U1651" s="20">
        <f>Registro[[#This Row],[Mes 4]]+Registro[[#This Row],[Mes 5]]+Registro[[#This Row],[Mes 6]]</f>
        <v>0</v>
      </c>
      <c r="V1651" s="20">
        <f>Registro[[#This Row],[Mes 7]]+Registro[[#This Row],[Mes 8]]+Registro[[#This Row],[Mes 9]]</f>
        <v>0</v>
      </c>
      <c r="W1651" s="20">
        <f>Registro[[#This Row],[Mes 10]]+Registro[[#This Row],[Mes 11]]+Registro[[#This Row],[Mes 12]]</f>
        <v>0</v>
      </c>
      <c r="X1651" s="20">
        <f>SUM(Registro[[#This Row],[Trim I]],Registro[[#This Row],[Trim II]],Registro[[#This Row],[Trim III]],Registro[[#This Row],[Trim IV]])</f>
        <v>0</v>
      </c>
      <c r="Y1651" s="22">
        <f>IFERROR((Registro[[#This Row],[Avance Total]]/Registro[[#This Row],[Meta]]),0)</f>
        <v>0</v>
      </c>
      <c r="Z1651" s="22">
        <f>IFERROR((Registro[[#This Row],[Avance Total]]-Registro[[#This Row],[Línea Base 2025]])/Registro[[#This Row],[Línea Base 2025]],0)</f>
        <v>0</v>
      </c>
      <c r="AA1651" s="20"/>
    </row>
    <row r="1652" spans="1:27" hidden="1">
      <c r="A1652">
        <v>1127</v>
      </c>
      <c r="B1652" t="s">
        <v>142</v>
      </c>
      <c r="C1652" s="26">
        <v>123</v>
      </c>
      <c r="D1652" s="26" t="s">
        <v>198</v>
      </c>
      <c r="E1652" s="17" t="s">
        <v>197</v>
      </c>
      <c r="F1652" s="32">
        <v>0</v>
      </c>
      <c r="G1652" s="28">
        <v>4</v>
      </c>
      <c r="H1652" s="28">
        <v>0</v>
      </c>
      <c r="I1652" s="28">
        <v>0</v>
      </c>
      <c r="J1652" s="27"/>
      <c r="K1652" s="27"/>
      <c r="L1652" s="27"/>
      <c r="M1652" s="27"/>
      <c r="N1652" s="27"/>
      <c r="O1652" s="27"/>
      <c r="P1652" s="27"/>
      <c r="Q1652" s="27"/>
      <c r="R1652" s="27"/>
      <c r="S1652" s="27"/>
      <c r="T1652" s="29">
        <f>Registro[[#This Row],[Mes 1]]+Registro[[#This Row],[Mes 2]]+Registro[[#This Row],[Mes 3]]</f>
        <v>0</v>
      </c>
      <c r="U1652" s="29">
        <f>Registro[[#This Row],[Mes 4]]+Registro[[#This Row],[Mes 5]]+Registro[[#This Row],[Mes 6]]</f>
        <v>0</v>
      </c>
      <c r="V1652" s="29">
        <f>Registro[[#This Row],[Mes 7]]+Registro[[#This Row],[Mes 8]]+Registro[[#This Row],[Mes 9]]</f>
        <v>0</v>
      </c>
      <c r="W1652" s="29">
        <f>Registro[[#This Row],[Mes 10]]+Registro[[#This Row],[Mes 11]]+Registro[[#This Row],[Mes 12]]</f>
        <v>0</v>
      </c>
      <c r="X1652" s="29">
        <f>SUM(Registro[[#This Row],[Trim I]],Registro[[#This Row],[Trim II]],Registro[[#This Row],[Trim III]],Registro[[#This Row],[Trim IV]])</f>
        <v>0</v>
      </c>
      <c r="Y1652" s="30">
        <f>IFERROR((Registro[[#This Row],[Avance Total]]/Registro[[#This Row],[Meta]]),0)</f>
        <v>0</v>
      </c>
      <c r="Z1652" s="30">
        <f>IFERROR((Registro[[#This Row],[Avance Total]]-Registro[[#This Row],[Línea Base 2025]])/Registro[[#This Row],[Línea Base 2025]],0)</f>
        <v>0</v>
      </c>
      <c r="AA1652" s="29"/>
    </row>
    <row r="1653" spans="1:27" hidden="1">
      <c r="A1653">
        <v>1128</v>
      </c>
      <c r="B1653" t="s">
        <v>13</v>
      </c>
      <c r="C1653" s="16">
        <v>111</v>
      </c>
      <c r="D1653" s="16" t="s">
        <v>171</v>
      </c>
      <c r="E1653" s="17" t="s">
        <v>172</v>
      </c>
      <c r="F1653" s="24">
        <v>3</v>
      </c>
      <c r="G1653" s="19">
        <v>174</v>
      </c>
      <c r="H1653" s="19">
        <v>0</v>
      </c>
      <c r="I1653" s="19">
        <v>0</v>
      </c>
      <c r="T1653" s="20">
        <f>Registro[[#This Row],[Mes 1]]+Registro[[#This Row],[Mes 2]]+Registro[[#This Row],[Mes 3]]</f>
        <v>0</v>
      </c>
      <c r="U1653" s="20">
        <f>Registro[[#This Row],[Mes 4]]+Registro[[#This Row],[Mes 5]]+Registro[[#This Row],[Mes 6]]</f>
        <v>0</v>
      </c>
      <c r="V1653" s="20">
        <f>Registro[[#This Row],[Mes 7]]+Registro[[#This Row],[Mes 8]]+Registro[[#This Row],[Mes 9]]</f>
        <v>0</v>
      </c>
      <c r="W1653" s="20">
        <f>Registro[[#This Row],[Mes 10]]+Registro[[#This Row],[Mes 11]]+Registro[[#This Row],[Mes 12]]</f>
        <v>0</v>
      </c>
      <c r="X1653" s="20">
        <f>SUM(Registro[[#This Row],[Trim I]],Registro[[#This Row],[Trim II]],Registro[[#This Row],[Trim III]],Registro[[#This Row],[Trim IV]])</f>
        <v>0</v>
      </c>
      <c r="Y1653" s="22">
        <f>IFERROR((Registro[[#This Row],[Avance Total]]/Registro[[#This Row],[Meta]]),0)</f>
        <v>0</v>
      </c>
      <c r="Z1653" s="22">
        <f>IFERROR((Registro[[#This Row],[Avance Total]]-Registro[[#This Row],[Línea Base 2025]])/Registro[[#This Row],[Línea Base 2025]],0)</f>
        <v>-1</v>
      </c>
      <c r="AA1653" s="20"/>
    </row>
    <row r="1654" spans="1:27" hidden="1">
      <c r="A1654">
        <v>1128</v>
      </c>
      <c r="B1654" t="s">
        <v>13</v>
      </c>
      <c r="C1654" s="16">
        <v>112</v>
      </c>
      <c r="D1654" s="16" t="s">
        <v>173</v>
      </c>
      <c r="E1654" s="17" t="s">
        <v>7</v>
      </c>
      <c r="F1654" s="24">
        <v>0</v>
      </c>
      <c r="G1654" s="19">
        <v>0</v>
      </c>
      <c r="H1654" s="19">
        <v>0</v>
      </c>
      <c r="I1654" s="19">
        <v>0</v>
      </c>
      <c r="T1654" s="20">
        <f>Registro[[#This Row],[Mes 1]]+Registro[[#This Row],[Mes 2]]+Registro[[#This Row],[Mes 3]]</f>
        <v>0</v>
      </c>
      <c r="U1654" s="20">
        <f>Registro[[#This Row],[Mes 4]]+Registro[[#This Row],[Mes 5]]+Registro[[#This Row],[Mes 6]]</f>
        <v>0</v>
      </c>
      <c r="V1654" s="20">
        <f>Registro[[#This Row],[Mes 7]]+Registro[[#This Row],[Mes 8]]+Registro[[#This Row],[Mes 9]]</f>
        <v>0</v>
      </c>
      <c r="W1654" s="20">
        <f>Registro[[#This Row],[Mes 10]]+Registro[[#This Row],[Mes 11]]+Registro[[#This Row],[Mes 12]]</f>
        <v>0</v>
      </c>
      <c r="X1654" s="20">
        <f>SUM(Registro[[#This Row],[Trim I]],Registro[[#This Row],[Trim II]],Registro[[#This Row],[Trim III]],Registro[[#This Row],[Trim IV]])</f>
        <v>0</v>
      </c>
      <c r="Y1654" s="22">
        <f>IFERROR((Registro[[#This Row],[Avance Total]]/Registro[[#This Row],[Meta]]),0)</f>
        <v>0</v>
      </c>
      <c r="Z1654" s="22">
        <f>IFERROR((Registro[[#This Row],[Avance Total]]-Registro[[#This Row],[Línea Base 2025]])/Registro[[#This Row],[Línea Base 2025]],0)</f>
        <v>0</v>
      </c>
      <c r="AA1654" s="20"/>
    </row>
    <row r="1655" spans="1:27" hidden="1">
      <c r="A1655">
        <v>1128</v>
      </c>
      <c r="B1655" t="s">
        <v>13</v>
      </c>
      <c r="C1655" s="16">
        <v>113</v>
      </c>
      <c r="D1655" s="16" t="s">
        <v>179</v>
      </c>
      <c r="E1655" s="17" t="s">
        <v>178</v>
      </c>
      <c r="F1655" s="24">
        <v>2</v>
      </c>
      <c r="G1655" s="19">
        <v>96</v>
      </c>
      <c r="H1655" s="19">
        <v>0</v>
      </c>
      <c r="I1655" s="19">
        <v>0</v>
      </c>
      <c r="T1655" s="20">
        <f>Registro[[#This Row],[Mes 1]]+Registro[[#This Row],[Mes 2]]+Registro[[#This Row],[Mes 3]]</f>
        <v>0</v>
      </c>
      <c r="U1655" s="20">
        <f>Registro[[#This Row],[Mes 4]]+Registro[[#This Row],[Mes 5]]+Registro[[#This Row],[Mes 6]]</f>
        <v>0</v>
      </c>
      <c r="V1655" s="20">
        <f>Registro[[#This Row],[Mes 7]]+Registro[[#This Row],[Mes 8]]+Registro[[#This Row],[Mes 9]]</f>
        <v>0</v>
      </c>
      <c r="W1655" s="20">
        <f>Registro[[#This Row],[Mes 10]]+Registro[[#This Row],[Mes 11]]+Registro[[#This Row],[Mes 12]]</f>
        <v>0</v>
      </c>
      <c r="X1655" s="20">
        <f>SUM(Registro[[#This Row],[Trim I]],Registro[[#This Row],[Trim II]],Registro[[#This Row],[Trim III]],Registro[[#This Row],[Trim IV]])</f>
        <v>0</v>
      </c>
      <c r="Y1655" s="22">
        <f>IFERROR((Registro[[#This Row],[Avance Total]]/Registro[[#This Row],[Meta]]),0)</f>
        <v>0</v>
      </c>
      <c r="Z1655" s="22">
        <f>IFERROR((Registro[[#This Row],[Avance Total]]-Registro[[#This Row],[Línea Base 2025]])/Registro[[#This Row],[Línea Base 2025]],0)</f>
        <v>-1</v>
      </c>
      <c r="AA1655" s="20"/>
    </row>
    <row r="1656" spans="1:27" hidden="1">
      <c r="A1656">
        <v>1128</v>
      </c>
      <c r="B1656" t="s">
        <v>13</v>
      </c>
      <c r="C1656" s="16">
        <v>114</v>
      </c>
      <c r="D1656" s="16" t="s">
        <v>181</v>
      </c>
      <c r="E1656" s="17" t="s">
        <v>180</v>
      </c>
      <c r="F1656" s="24">
        <v>0</v>
      </c>
      <c r="G1656" s="19">
        <v>0</v>
      </c>
      <c r="H1656" s="19">
        <v>0</v>
      </c>
      <c r="I1656" s="19">
        <v>0</v>
      </c>
      <c r="T1656" s="20">
        <f>Registro[[#This Row],[Mes 1]]+Registro[[#This Row],[Mes 2]]+Registro[[#This Row],[Mes 3]]</f>
        <v>0</v>
      </c>
      <c r="U1656" s="20">
        <f>Registro[[#This Row],[Mes 4]]+Registro[[#This Row],[Mes 5]]+Registro[[#This Row],[Mes 6]]</f>
        <v>0</v>
      </c>
      <c r="V1656" s="20">
        <f>Registro[[#This Row],[Mes 7]]+Registro[[#This Row],[Mes 8]]+Registro[[#This Row],[Mes 9]]</f>
        <v>0</v>
      </c>
      <c r="W1656" s="20">
        <f>Registro[[#This Row],[Mes 10]]+Registro[[#This Row],[Mes 11]]+Registro[[#This Row],[Mes 12]]</f>
        <v>0</v>
      </c>
      <c r="X1656" s="20">
        <f>SUM(Registro[[#This Row],[Trim I]],Registro[[#This Row],[Trim II]],Registro[[#This Row],[Trim III]],Registro[[#This Row],[Trim IV]])</f>
        <v>0</v>
      </c>
      <c r="Y1656" s="22">
        <f>IFERROR((Registro[[#This Row],[Avance Total]]/Registro[[#This Row],[Meta]]),0)</f>
        <v>0</v>
      </c>
      <c r="Z1656" s="22">
        <f>IFERROR((Registro[[#This Row],[Avance Total]]-Registro[[#This Row],[Línea Base 2025]])/Registro[[#This Row],[Línea Base 2025]],0)</f>
        <v>0</v>
      </c>
      <c r="AA1656" s="20"/>
    </row>
    <row r="1657" spans="1:27" hidden="1">
      <c r="A1657">
        <v>1128</v>
      </c>
      <c r="B1657" t="s">
        <v>13</v>
      </c>
      <c r="C1657" s="16">
        <v>115</v>
      </c>
      <c r="D1657" s="16" t="s">
        <v>183</v>
      </c>
      <c r="E1657" s="17" t="s">
        <v>182</v>
      </c>
      <c r="F1657" s="24">
        <v>0</v>
      </c>
      <c r="G1657" s="19">
        <v>0</v>
      </c>
      <c r="H1657" s="19">
        <v>0</v>
      </c>
      <c r="I1657" s="19">
        <v>0</v>
      </c>
      <c r="T1657" s="20">
        <f>Registro[[#This Row],[Mes 1]]+Registro[[#This Row],[Mes 2]]+Registro[[#This Row],[Mes 3]]</f>
        <v>0</v>
      </c>
      <c r="U1657" s="20">
        <f>Registro[[#This Row],[Mes 4]]+Registro[[#This Row],[Mes 5]]+Registro[[#This Row],[Mes 6]]</f>
        <v>0</v>
      </c>
      <c r="V1657" s="20">
        <f>Registro[[#This Row],[Mes 7]]+Registro[[#This Row],[Mes 8]]+Registro[[#This Row],[Mes 9]]</f>
        <v>0</v>
      </c>
      <c r="W1657" s="20">
        <f>Registro[[#This Row],[Mes 10]]+Registro[[#This Row],[Mes 11]]+Registro[[#This Row],[Mes 12]]</f>
        <v>0</v>
      </c>
      <c r="X1657" s="20">
        <f>SUM(Registro[[#This Row],[Trim I]],Registro[[#This Row],[Trim II]],Registro[[#This Row],[Trim III]],Registro[[#This Row],[Trim IV]])</f>
        <v>0</v>
      </c>
      <c r="Y1657" s="22">
        <f>IFERROR((Registro[[#This Row],[Avance Total]]/Registro[[#This Row],[Meta]]),0)</f>
        <v>0</v>
      </c>
      <c r="Z1657" s="22">
        <f>IFERROR((Registro[[#This Row],[Avance Total]]-Registro[[#This Row],[Línea Base 2025]])/Registro[[#This Row],[Línea Base 2025]],0)</f>
        <v>0</v>
      </c>
      <c r="AA1657" s="20"/>
    </row>
    <row r="1658" spans="1:27">
      <c r="A1658">
        <v>1128</v>
      </c>
      <c r="B1658" t="s">
        <v>13</v>
      </c>
      <c r="C1658" s="16">
        <v>116</v>
      </c>
      <c r="D1658" s="16" t="s">
        <v>185</v>
      </c>
      <c r="E1658" s="17" t="s">
        <v>184</v>
      </c>
      <c r="F1658" s="24">
        <v>0</v>
      </c>
      <c r="G1658" s="19">
        <v>1</v>
      </c>
      <c r="H1658" s="19">
        <v>0</v>
      </c>
      <c r="I1658" s="19">
        <v>0</v>
      </c>
      <c r="T1658" s="20">
        <f>Registro[[#This Row],[Mes 1]]+Registro[[#This Row],[Mes 2]]+Registro[[#This Row],[Mes 3]]</f>
        <v>0</v>
      </c>
      <c r="U1658" s="20">
        <f>Registro[[#This Row],[Mes 4]]+Registro[[#This Row],[Mes 5]]+Registro[[#This Row],[Mes 6]]</f>
        <v>0</v>
      </c>
      <c r="V1658" s="20">
        <f>Registro[[#This Row],[Mes 7]]+Registro[[#This Row],[Mes 8]]+Registro[[#This Row],[Mes 9]]</f>
        <v>0</v>
      </c>
      <c r="W1658" s="20">
        <f>Registro[[#This Row],[Mes 10]]+Registro[[#This Row],[Mes 11]]+Registro[[#This Row],[Mes 12]]</f>
        <v>0</v>
      </c>
      <c r="X1658" s="20">
        <f>SUM(Registro[[#This Row],[Trim I]],Registro[[#This Row],[Trim II]],Registro[[#This Row],[Trim III]],Registro[[#This Row],[Trim IV]])</f>
        <v>0</v>
      </c>
      <c r="Y1658" s="22">
        <f>IFERROR((Registro[[#This Row],[Avance Total]]/Registro[[#This Row],[Meta]]),0)</f>
        <v>0</v>
      </c>
      <c r="Z1658" s="22">
        <f>IFERROR((Registro[[#This Row],[Avance Total]]-Registro[[#This Row],[Línea Base 2025]])/Registro[[#This Row],[Línea Base 2025]],0)</f>
        <v>0</v>
      </c>
      <c r="AA1658" s="20"/>
    </row>
    <row r="1659" spans="1:27" hidden="1">
      <c r="A1659">
        <v>1128</v>
      </c>
      <c r="B1659" t="s">
        <v>13</v>
      </c>
      <c r="C1659" s="16">
        <v>117</v>
      </c>
      <c r="D1659" s="16" t="s">
        <v>187</v>
      </c>
      <c r="E1659" s="17" t="s">
        <v>186</v>
      </c>
      <c r="F1659" s="24">
        <v>0</v>
      </c>
      <c r="G1659" s="19">
        <v>0</v>
      </c>
      <c r="H1659" s="19">
        <v>0</v>
      </c>
      <c r="I1659" s="19">
        <v>0</v>
      </c>
      <c r="T1659" s="20">
        <f>Registro[[#This Row],[Mes 1]]+Registro[[#This Row],[Mes 2]]+Registro[[#This Row],[Mes 3]]</f>
        <v>0</v>
      </c>
      <c r="U1659" s="20">
        <f>Registro[[#This Row],[Mes 4]]+Registro[[#This Row],[Mes 5]]+Registro[[#This Row],[Mes 6]]</f>
        <v>0</v>
      </c>
      <c r="V1659" s="20">
        <f>Registro[[#This Row],[Mes 7]]+Registro[[#This Row],[Mes 8]]+Registro[[#This Row],[Mes 9]]</f>
        <v>0</v>
      </c>
      <c r="W1659" s="20">
        <f>Registro[[#This Row],[Mes 10]]+Registro[[#This Row],[Mes 11]]+Registro[[#This Row],[Mes 12]]</f>
        <v>0</v>
      </c>
      <c r="X1659" s="20">
        <f>SUM(Registro[[#This Row],[Trim I]],Registro[[#This Row],[Trim II]],Registro[[#This Row],[Trim III]],Registro[[#This Row],[Trim IV]])</f>
        <v>0</v>
      </c>
      <c r="Y1659" s="22">
        <f>IFERROR((Registro[[#This Row],[Avance Total]]/Registro[[#This Row],[Meta]]),0)</f>
        <v>0</v>
      </c>
      <c r="Z1659" s="22">
        <f>IFERROR((Registro[[#This Row],[Avance Total]]-Registro[[#This Row],[Línea Base 2025]])/Registro[[#This Row],[Línea Base 2025]],0)</f>
        <v>0</v>
      </c>
      <c r="AA1659" s="20"/>
    </row>
    <row r="1660" spans="1:27" hidden="1">
      <c r="A1660">
        <v>1128</v>
      </c>
      <c r="B1660" t="s">
        <v>13</v>
      </c>
      <c r="C1660" s="16">
        <v>118</v>
      </c>
      <c r="D1660" s="16" t="s">
        <v>188</v>
      </c>
      <c r="E1660" s="17" t="s">
        <v>9</v>
      </c>
      <c r="F1660" s="24">
        <v>0</v>
      </c>
      <c r="G1660" s="19">
        <v>0</v>
      </c>
      <c r="H1660" s="19">
        <v>0</v>
      </c>
      <c r="I1660" s="19">
        <v>0</v>
      </c>
      <c r="T1660" s="20">
        <f>Registro[[#This Row],[Mes 1]]+Registro[[#This Row],[Mes 2]]+Registro[[#This Row],[Mes 3]]</f>
        <v>0</v>
      </c>
      <c r="U1660" s="20">
        <f>Registro[[#This Row],[Mes 4]]+Registro[[#This Row],[Mes 5]]+Registro[[#This Row],[Mes 6]]</f>
        <v>0</v>
      </c>
      <c r="V1660" s="20">
        <f>Registro[[#This Row],[Mes 7]]+Registro[[#This Row],[Mes 8]]+Registro[[#This Row],[Mes 9]]</f>
        <v>0</v>
      </c>
      <c r="W1660" s="20">
        <f>Registro[[#This Row],[Mes 10]]+Registro[[#This Row],[Mes 11]]+Registro[[#This Row],[Mes 12]]</f>
        <v>0</v>
      </c>
      <c r="X1660" s="20">
        <f>SUM(Registro[[#This Row],[Trim I]],Registro[[#This Row],[Trim II]],Registro[[#This Row],[Trim III]],Registro[[#This Row],[Trim IV]])</f>
        <v>0</v>
      </c>
      <c r="Y1660" s="22">
        <f>IFERROR((Registro[[#This Row],[Avance Total]]/Registro[[#This Row],[Meta]]),0)</f>
        <v>0</v>
      </c>
      <c r="Z1660" s="22">
        <f>IFERROR((Registro[[#This Row],[Avance Total]]-Registro[[#This Row],[Línea Base 2025]])/Registro[[#This Row],[Línea Base 2025]],0)</f>
        <v>0</v>
      </c>
      <c r="AA1660" s="20"/>
    </row>
    <row r="1661" spans="1:27" hidden="1">
      <c r="A1661">
        <v>1128</v>
      </c>
      <c r="B1661" t="s">
        <v>13</v>
      </c>
      <c r="C1661" s="16">
        <v>119</v>
      </c>
      <c r="D1661" s="16" t="s">
        <v>190</v>
      </c>
      <c r="E1661" s="17" t="s">
        <v>189</v>
      </c>
      <c r="F1661" s="24">
        <v>0</v>
      </c>
      <c r="G1661" s="19">
        <v>1</v>
      </c>
      <c r="H1661" s="19">
        <v>0</v>
      </c>
      <c r="I1661" s="19">
        <v>0</v>
      </c>
      <c r="T1661" s="20">
        <f>Registro[[#This Row],[Mes 1]]+Registro[[#This Row],[Mes 2]]+Registro[[#This Row],[Mes 3]]</f>
        <v>0</v>
      </c>
      <c r="U1661" s="20">
        <f>Registro[[#This Row],[Mes 4]]+Registro[[#This Row],[Mes 5]]+Registro[[#This Row],[Mes 6]]</f>
        <v>0</v>
      </c>
      <c r="V1661" s="20">
        <f>Registro[[#This Row],[Mes 7]]+Registro[[#This Row],[Mes 8]]+Registro[[#This Row],[Mes 9]]</f>
        <v>0</v>
      </c>
      <c r="W1661" s="20">
        <f>Registro[[#This Row],[Mes 10]]+Registro[[#This Row],[Mes 11]]+Registro[[#This Row],[Mes 12]]</f>
        <v>0</v>
      </c>
      <c r="X1661" s="20">
        <f>SUM(Registro[[#This Row],[Trim I]],Registro[[#This Row],[Trim II]],Registro[[#This Row],[Trim III]],Registro[[#This Row],[Trim IV]])</f>
        <v>0</v>
      </c>
      <c r="Y1661" s="22">
        <f>IFERROR((Registro[[#This Row],[Avance Total]]/Registro[[#This Row],[Meta]]),0)</f>
        <v>0</v>
      </c>
      <c r="Z1661" s="22">
        <f>IFERROR((Registro[[#This Row],[Avance Total]]-Registro[[#This Row],[Línea Base 2025]])/Registro[[#This Row],[Línea Base 2025]],0)</f>
        <v>0</v>
      </c>
      <c r="AA1661" s="20"/>
    </row>
    <row r="1662" spans="1:27" hidden="1">
      <c r="A1662">
        <v>1128</v>
      </c>
      <c r="B1662" t="s">
        <v>13</v>
      </c>
      <c r="C1662" s="16">
        <v>120</v>
      </c>
      <c r="D1662" s="16" t="s">
        <v>192</v>
      </c>
      <c r="E1662" s="17" t="s">
        <v>191</v>
      </c>
      <c r="F1662" s="24">
        <v>0</v>
      </c>
      <c r="G1662" s="19">
        <v>0</v>
      </c>
      <c r="H1662" s="19">
        <v>0</v>
      </c>
      <c r="I1662" s="19">
        <v>0</v>
      </c>
      <c r="T1662" s="20">
        <f>Registro[[#This Row],[Mes 1]]+Registro[[#This Row],[Mes 2]]+Registro[[#This Row],[Mes 3]]</f>
        <v>0</v>
      </c>
      <c r="U1662" s="20">
        <f>Registro[[#This Row],[Mes 4]]+Registro[[#This Row],[Mes 5]]+Registro[[#This Row],[Mes 6]]</f>
        <v>0</v>
      </c>
      <c r="V1662" s="20">
        <f>Registro[[#This Row],[Mes 7]]+Registro[[#This Row],[Mes 8]]+Registro[[#This Row],[Mes 9]]</f>
        <v>0</v>
      </c>
      <c r="W1662" s="20">
        <f>Registro[[#This Row],[Mes 10]]+Registro[[#This Row],[Mes 11]]+Registro[[#This Row],[Mes 12]]</f>
        <v>0</v>
      </c>
      <c r="X1662" s="20">
        <f>SUM(Registro[[#This Row],[Trim I]],Registro[[#This Row],[Trim II]],Registro[[#This Row],[Trim III]],Registro[[#This Row],[Trim IV]])</f>
        <v>0</v>
      </c>
      <c r="Y1662" s="22">
        <f>IFERROR((Registro[[#This Row],[Avance Total]]/Registro[[#This Row],[Meta]]),0)</f>
        <v>0</v>
      </c>
      <c r="Z1662" s="22">
        <f>IFERROR((Registro[[#This Row],[Avance Total]]-Registro[[#This Row],[Línea Base 2025]])/Registro[[#This Row],[Línea Base 2025]],0)</f>
        <v>0</v>
      </c>
      <c r="AA1662" s="20"/>
    </row>
    <row r="1663" spans="1:27" hidden="1">
      <c r="A1663">
        <v>1128</v>
      </c>
      <c r="B1663" t="s">
        <v>13</v>
      </c>
      <c r="C1663" s="16">
        <v>121</v>
      </c>
      <c r="D1663" s="16" t="s">
        <v>194</v>
      </c>
      <c r="E1663" s="17" t="s">
        <v>193</v>
      </c>
      <c r="F1663" s="24">
        <v>0</v>
      </c>
      <c r="G1663" s="19">
        <v>0</v>
      </c>
      <c r="H1663" s="19">
        <v>0</v>
      </c>
      <c r="I1663" s="19">
        <v>0</v>
      </c>
      <c r="T1663" s="20">
        <f>Registro[[#This Row],[Mes 1]]+Registro[[#This Row],[Mes 2]]+Registro[[#This Row],[Mes 3]]</f>
        <v>0</v>
      </c>
      <c r="U1663" s="20">
        <f>Registro[[#This Row],[Mes 4]]+Registro[[#This Row],[Mes 5]]+Registro[[#This Row],[Mes 6]]</f>
        <v>0</v>
      </c>
      <c r="V1663" s="20">
        <f>Registro[[#This Row],[Mes 7]]+Registro[[#This Row],[Mes 8]]+Registro[[#This Row],[Mes 9]]</f>
        <v>0</v>
      </c>
      <c r="W1663" s="20">
        <f>Registro[[#This Row],[Mes 10]]+Registro[[#This Row],[Mes 11]]+Registro[[#This Row],[Mes 12]]</f>
        <v>0</v>
      </c>
      <c r="X1663" s="20">
        <f>SUM(Registro[[#This Row],[Trim I]],Registro[[#This Row],[Trim II]],Registro[[#This Row],[Trim III]],Registro[[#This Row],[Trim IV]])</f>
        <v>0</v>
      </c>
      <c r="Y1663" s="22">
        <f>IFERROR((Registro[[#This Row],[Avance Total]]/Registro[[#This Row],[Meta]]),0)</f>
        <v>0</v>
      </c>
      <c r="Z1663" s="22">
        <f>IFERROR((Registro[[#This Row],[Avance Total]]-Registro[[#This Row],[Línea Base 2025]])/Registro[[#This Row],[Línea Base 2025]],0)</f>
        <v>0</v>
      </c>
      <c r="AA1663" s="20"/>
    </row>
    <row r="1664" spans="1:27" hidden="1">
      <c r="A1664">
        <v>1128</v>
      </c>
      <c r="B1664" t="s">
        <v>13</v>
      </c>
      <c r="C1664" s="16">
        <v>122</v>
      </c>
      <c r="D1664" s="16" t="s">
        <v>196</v>
      </c>
      <c r="E1664" s="17" t="s">
        <v>195</v>
      </c>
      <c r="F1664" s="24">
        <v>0</v>
      </c>
      <c r="G1664" s="19">
        <v>0</v>
      </c>
      <c r="H1664" s="19">
        <v>0</v>
      </c>
      <c r="I1664" s="19">
        <v>0</v>
      </c>
      <c r="T1664" s="20">
        <f>Registro[[#This Row],[Mes 1]]+Registro[[#This Row],[Mes 2]]+Registro[[#This Row],[Mes 3]]</f>
        <v>0</v>
      </c>
      <c r="U1664" s="20">
        <f>Registro[[#This Row],[Mes 4]]+Registro[[#This Row],[Mes 5]]+Registro[[#This Row],[Mes 6]]</f>
        <v>0</v>
      </c>
      <c r="V1664" s="20">
        <f>Registro[[#This Row],[Mes 7]]+Registro[[#This Row],[Mes 8]]+Registro[[#This Row],[Mes 9]]</f>
        <v>0</v>
      </c>
      <c r="W1664" s="20">
        <f>Registro[[#This Row],[Mes 10]]+Registro[[#This Row],[Mes 11]]+Registro[[#This Row],[Mes 12]]</f>
        <v>0</v>
      </c>
      <c r="X1664" s="20">
        <f>SUM(Registro[[#This Row],[Trim I]],Registro[[#This Row],[Trim II]],Registro[[#This Row],[Trim III]],Registro[[#This Row],[Trim IV]])</f>
        <v>0</v>
      </c>
      <c r="Y1664" s="22">
        <f>IFERROR((Registro[[#This Row],[Avance Total]]/Registro[[#This Row],[Meta]]),0)</f>
        <v>0</v>
      </c>
      <c r="Z1664" s="22">
        <f>IFERROR((Registro[[#This Row],[Avance Total]]-Registro[[#This Row],[Línea Base 2025]])/Registro[[#This Row],[Línea Base 2025]],0)</f>
        <v>0</v>
      </c>
      <c r="AA1664" s="20"/>
    </row>
    <row r="1665" spans="1:27" hidden="1">
      <c r="A1665">
        <v>1128</v>
      </c>
      <c r="B1665" t="s">
        <v>13</v>
      </c>
      <c r="C1665" s="26">
        <v>123</v>
      </c>
      <c r="D1665" s="26" t="s">
        <v>198</v>
      </c>
      <c r="E1665" s="17" t="s">
        <v>197</v>
      </c>
      <c r="F1665" s="32">
        <v>0</v>
      </c>
      <c r="G1665" s="28">
        <v>0</v>
      </c>
      <c r="H1665" s="28">
        <v>0</v>
      </c>
      <c r="I1665" s="28">
        <v>0</v>
      </c>
      <c r="J1665" s="27"/>
      <c r="K1665" s="27"/>
      <c r="L1665" s="27"/>
      <c r="M1665" s="27"/>
      <c r="N1665" s="27"/>
      <c r="O1665" s="27"/>
      <c r="P1665" s="27"/>
      <c r="Q1665" s="27"/>
      <c r="R1665" s="27"/>
      <c r="S1665" s="27"/>
      <c r="T1665" s="29">
        <f>Registro[[#This Row],[Mes 1]]+Registro[[#This Row],[Mes 2]]+Registro[[#This Row],[Mes 3]]</f>
        <v>0</v>
      </c>
      <c r="U1665" s="29">
        <f>Registro[[#This Row],[Mes 4]]+Registro[[#This Row],[Mes 5]]+Registro[[#This Row],[Mes 6]]</f>
        <v>0</v>
      </c>
      <c r="V1665" s="29">
        <f>Registro[[#This Row],[Mes 7]]+Registro[[#This Row],[Mes 8]]+Registro[[#This Row],[Mes 9]]</f>
        <v>0</v>
      </c>
      <c r="W1665" s="29">
        <f>Registro[[#This Row],[Mes 10]]+Registro[[#This Row],[Mes 11]]+Registro[[#This Row],[Mes 12]]</f>
        <v>0</v>
      </c>
      <c r="X1665" s="29">
        <f>SUM(Registro[[#This Row],[Trim I]],Registro[[#This Row],[Trim II]],Registro[[#This Row],[Trim III]],Registro[[#This Row],[Trim IV]])</f>
        <v>0</v>
      </c>
      <c r="Y1665" s="30">
        <f>IFERROR((Registro[[#This Row],[Avance Total]]/Registro[[#This Row],[Meta]]),0)</f>
        <v>0</v>
      </c>
      <c r="Z1665" s="30">
        <f>IFERROR((Registro[[#This Row],[Avance Total]]-Registro[[#This Row],[Línea Base 2025]])/Registro[[#This Row],[Línea Base 2025]],0)</f>
        <v>0</v>
      </c>
      <c r="AA1665" s="29"/>
    </row>
    <row r="1666" spans="1:27" hidden="1">
      <c r="A1666">
        <v>1129</v>
      </c>
      <c r="B1666" t="s">
        <v>13</v>
      </c>
      <c r="C1666" s="16">
        <v>111</v>
      </c>
      <c r="D1666" s="16" t="s">
        <v>171</v>
      </c>
      <c r="E1666" s="17" t="s">
        <v>172</v>
      </c>
      <c r="F1666" s="24">
        <v>38</v>
      </c>
      <c r="G1666" s="19">
        <v>531</v>
      </c>
      <c r="H1666" s="19">
        <v>0</v>
      </c>
      <c r="I1666" s="19">
        <v>0</v>
      </c>
      <c r="T1666" s="20">
        <f>Registro[[#This Row],[Mes 1]]+Registro[[#This Row],[Mes 2]]+Registro[[#This Row],[Mes 3]]</f>
        <v>0</v>
      </c>
      <c r="U1666" s="20">
        <f>Registro[[#This Row],[Mes 4]]+Registro[[#This Row],[Mes 5]]+Registro[[#This Row],[Mes 6]]</f>
        <v>0</v>
      </c>
      <c r="V1666" s="20">
        <f>Registro[[#This Row],[Mes 7]]+Registro[[#This Row],[Mes 8]]+Registro[[#This Row],[Mes 9]]</f>
        <v>0</v>
      </c>
      <c r="W1666" s="20">
        <f>Registro[[#This Row],[Mes 10]]+Registro[[#This Row],[Mes 11]]+Registro[[#This Row],[Mes 12]]</f>
        <v>0</v>
      </c>
      <c r="X1666" s="20">
        <f>SUM(Registro[[#This Row],[Trim I]],Registro[[#This Row],[Trim II]],Registro[[#This Row],[Trim III]],Registro[[#This Row],[Trim IV]])</f>
        <v>0</v>
      </c>
      <c r="Y1666" s="22">
        <f>IFERROR((Registro[[#This Row],[Avance Total]]/Registro[[#This Row],[Meta]]),0)</f>
        <v>0</v>
      </c>
      <c r="Z1666" s="22">
        <f>IFERROR((Registro[[#This Row],[Avance Total]]-Registro[[#This Row],[Línea Base 2025]])/Registro[[#This Row],[Línea Base 2025]],0)</f>
        <v>-1</v>
      </c>
      <c r="AA1666" s="20"/>
    </row>
    <row r="1667" spans="1:27" hidden="1">
      <c r="A1667">
        <v>1129</v>
      </c>
      <c r="B1667" t="s">
        <v>13</v>
      </c>
      <c r="C1667" s="16">
        <v>112</v>
      </c>
      <c r="D1667" s="16" t="s">
        <v>173</v>
      </c>
      <c r="E1667" s="17" t="s">
        <v>7</v>
      </c>
      <c r="F1667" s="24">
        <v>4</v>
      </c>
      <c r="G1667" s="19">
        <v>15</v>
      </c>
      <c r="H1667" s="19">
        <v>0</v>
      </c>
      <c r="I1667" s="19">
        <v>0</v>
      </c>
      <c r="T1667" s="20">
        <f>Registro[[#This Row],[Mes 1]]+Registro[[#This Row],[Mes 2]]+Registro[[#This Row],[Mes 3]]</f>
        <v>0</v>
      </c>
      <c r="U1667" s="20">
        <f>Registro[[#This Row],[Mes 4]]+Registro[[#This Row],[Mes 5]]+Registro[[#This Row],[Mes 6]]</f>
        <v>0</v>
      </c>
      <c r="V1667" s="20">
        <f>Registro[[#This Row],[Mes 7]]+Registro[[#This Row],[Mes 8]]+Registro[[#This Row],[Mes 9]]</f>
        <v>0</v>
      </c>
      <c r="W1667" s="20">
        <f>Registro[[#This Row],[Mes 10]]+Registro[[#This Row],[Mes 11]]+Registro[[#This Row],[Mes 12]]</f>
        <v>0</v>
      </c>
      <c r="X1667" s="20">
        <f>SUM(Registro[[#This Row],[Trim I]],Registro[[#This Row],[Trim II]],Registro[[#This Row],[Trim III]],Registro[[#This Row],[Trim IV]])</f>
        <v>0</v>
      </c>
      <c r="Y1667" s="22">
        <f>IFERROR((Registro[[#This Row],[Avance Total]]/Registro[[#This Row],[Meta]]),0)</f>
        <v>0</v>
      </c>
      <c r="Z1667" s="22">
        <f>IFERROR((Registro[[#This Row],[Avance Total]]-Registro[[#This Row],[Línea Base 2025]])/Registro[[#This Row],[Línea Base 2025]],0)</f>
        <v>-1</v>
      </c>
      <c r="AA1667" s="20"/>
    </row>
    <row r="1668" spans="1:27" hidden="1">
      <c r="A1668">
        <v>1129</v>
      </c>
      <c r="B1668" t="s">
        <v>13</v>
      </c>
      <c r="C1668" s="16">
        <v>113</v>
      </c>
      <c r="D1668" s="16" t="s">
        <v>179</v>
      </c>
      <c r="E1668" s="17" t="s">
        <v>178</v>
      </c>
      <c r="F1668" s="24">
        <v>30</v>
      </c>
      <c r="G1668" s="19">
        <v>328</v>
      </c>
      <c r="H1668" s="19">
        <v>0</v>
      </c>
      <c r="I1668" s="19">
        <v>0</v>
      </c>
      <c r="T1668" s="20">
        <f>Registro[[#This Row],[Mes 1]]+Registro[[#This Row],[Mes 2]]+Registro[[#This Row],[Mes 3]]</f>
        <v>0</v>
      </c>
      <c r="U1668" s="20">
        <f>Registro[[#This Row],[Mes 4]]+Registro[[#This Row],[Mes 5]]+Registro[[#This Row],[Mes 6]]</f>
        <v>0</v>
      </c>
      <c r="V1668" s="20">
        <f>Registro[[#This Row],[Mes 7]]+Registro[[#This Row],[Mes 8]]+Registro[[#This Row],[Mes 9]]</f>
        <v>0</v>
      </c>
      <c r="W1668" s="20">
        <f>Registro[[#This Row],[Mes 10]]+Registro[[#This Row],[Mes 11]]+Registro[[#This Row],[Mes 12]]</f>
        <v>0</v>
      </c>
      <c r="X1668" s="20">
        <f>SUM(Registro[[#This Row],[Trim I]],Registro[[#This Row],[Trim II]],Registro[[#This Row],[Trim III]],Registro[[#This Row],[Trim IV]])</f>
        <v>0</v>
      </c>
      <c r="Y1668" s="22">
        <f>IFERROR((Registro[[#This Row],[Avance Total]]/Registro[[#This Row],[Meta]]),0)</f>
        <v>0</v>
      </c>
      <c r="Z1668" s="22">
        <f>IFERROR((Registro[[#This Row],[Avance Total]]-Registro[[#This Row],[Línea Base 2025]])/Registro[[#This Row],[Línea Base 2025]],0)</f>
        <v>-1</v>
      </c>
      <c r="AA1668" s="20"/>
    </row>
    <row r="1669" spans="1:27" hidden="1">
      <c r="A1669">
        <v>1129</v>
      </c>
      <c r="B1669" t="s">
        <v>13</v>
      </c>
      <c r="C1669" s="16">
        <v>114</v>
      </c>
      <c r="D1669" s="16" t="s">
        <v>181</v>
      </c>
      <c r="E1669" s="17" t="s">
        <v>180</v>
      </c>
      <c r="F1669" s="24">
        <v>0</v>
      </c>
      <c r="G1669" s="19">
        <v>0</v>
      </c>
      <c r="H1669" s="19">
        <v>0</v>
      </c>
      <c r="I1669" s="19">
        <v>0</v>
      </c>
      <c r="T1669" s="20">
        <f>Registro[[#This Row],[Mes 1]]+Registro[[#This Row],[Mes 2]]+Registro[[#This Row],[Mes 3]]</f>
        <v>0</v>
      </c>
      <c r="U1669" s="20">
        <f>Registro[[#This Row],[Mes 4]]+Registro[[#This Row],[Mes 5]]+Registro[[#This Row],[Mes 6]]</f>
        <v>0</v>
      </c>
      <c r="V1669" s="20">
        <f>Registro[[#This Row],[Mes 7]]+Registro[[#This Row],[Mes 8]]+Registro[[#This Row],[Mes 9]]</f>
        <v>0</v>
      </c>
      <c r="W1669" s="20">
        <f>Registro[[#This Row],[Mes 10]]+Registro[[#This Row],[Mes 11]]+Registro[[#This Row],[Mes 12]]</f>
        <v>0</v>
      </c>
      <c r="X1669" s="20">
        <f>SUM(Registro[[#This Row],[Trim I]],Registro[[#This Row],[Trim II]],Registro[[#This Row],[Trim III]],Registro[[#This Row],[Trim IV]])</f>
        <v>0</v>
      </c>
      <c r="Y1669" s="22">
        <f>IFERROR((Registro[[#This Row],[Avance Total]]/Registro[[#This Row],[Meta]]),0)</f>
        <v>0</v>
      </c>
      <c r="Z1669" s="22">
        <f>IFERROR((Registro[[#This Row],[Avance Total]]-Registro[[#This Row],[Línea Base 2025]])/Registro[[#This Row],[Línea Base 2025]],0)</f>
        <v>0</v>
      </c>
      <c r="AA1669" s="20"/>
    </row>
    <row r="1670" spans="1:27" hidden="1">
      <c r="A1670">
        <v>1129</v>
      </c>
      <c r="B1670" t="s">
        <v>13</v>
      </c>
      <c r="C1670" s="16">
        <v>115</v>
      </c>
      <c r="D1670" s="16" t="s">
        <v>183</v>
      </c>
      <c r="E1670" s="17" t="s">
        <v>182</v>
      </c>
      <c r="F1670" s="24">
        <v>0</v>
      </c>
      <c r="G1670" s="19">
        <v>0</v>
      </c>
      <c r="H1670" s="19">
        <v>0</v>
      </c>
      <c r="I1670" s="19">
        <v>0</v>
      </c>
      <c r="T1670" s="20">
        <f>Registro[[#This Row],[Mes 1]]+Registro[[#This Row],[Mes 2]]+Registro[[#This Row],[Mes 3]]</f>
        <v>0</v>
      </c>
      <c r="U1670" s="20">
        <f>Registro[[#This Row],[Mes 4]]+Registro[[#This Row],[Mes 5]]+Registro[[#This Row],[Mes 6]]</f>
        <v>0</v>
      </c>
      <c r="V1670" s="20">
        <f>Registro[[#This Row],[Mes 7]]+Registro[[#This Row],[Mes 8]]+Registro[[#This Row],[Mes 9]]</f>
        <v>0</v>
      </c>
      <c r="W1670" s="20">
        <f>Registro[[#This Row],[Mes 10]]+Registro[[#This Row],[Mes 11]]+Registro[[#This Row],[Mes 12]]</f>
        <v>0</v>
      </c>
      <c r="X1670" s="20">
        <f>SUM(Registro[[#This Row],[Trim I]],Registro[[#This Row],[Trim II]],Registro[[#This Row],[Trim III]],Registro[[#This Row],[Trim IV]])</f>
        <v>0</v>
      </c>
      <c r="Y1670" s="22">
        <f>IFERROR((Registro[[#This Row],[Avance Total]]/Registro[[#This Row],[Meta]]),0)</f>
        <v>0</v>
      </c>
      <c r="Z1670" s="22">
        <f>IFERROR((Registro[[#This Row],[Avance Total]]-Registro[[#This Row],[Línea Base 2025]])/Registro[[#This Row],[Línea Base 2025]],0)</f>
        <v>0</v>
      </c>
      <c r="AA1670" s="20"/>
    </row>
    <row r="1671" spans="1:27">
      <c r="A1671">
        <v>1129</v>
      </c>
      <c r="B1671" t="s">
        <v>13</v>
      </c>
      <c r="C1671" s="16">
        <v>116</v>
      </c>
      <c r="D1671" s="16" t="s">
        <v>185</v>
      </c>
      <c r="E1671" s="17" t="s">
        <v>184</v>
      </c>
      <c r="F1671" s="24">
        <v>1</v>
      </c>
      <c r="G1671" s="19">
        <v>1</v>
      </c>
      <c r="H1671" s="19">
        <v>0</v>
      </c>
      <c r="I1671" s="19">
        <v>0</v>
      </c>
      <c r="T1671" s="20">
        <f>Registro[[#This Row],[Mes 1]]+Registro[[#This Row],[Mes 2]]+Registro[[#This Row],[Mes 3]]</f>
        <v>0</v>
      </c>
      <c r="U1671" s="20">
        <f>Registro[[#This Row],[Mes 4]]+Registro[[#This Row],[Mes 5]]+Registro[[#This Row],[Mes 6]]</f>
        <v>0</v>
      </c>
      <c r="V1671" s="20">
        <f>Registro[[#This Row],[Mes 7]]+Registro[[#This Row],[Mes 8]]+Registro[[#This Row],[Mes 9]]</f>
        <v>0</v>
      </c>
      <c r="W1671" s="20">
        <f>Registro[[#This Row],[Mes 10]]+Registro[[#This Row],[Mes 11]]+Registro[[#This Row],[Mes 12]]</f>
        <v>0</v>
      </c>
      <c r="X1671" s="20">
        <f>SUM(Registro[[#This Row],[Trim I]],Registro[[#This Row],[Trim II]],Registro[[#This Row],[Trim III]],Registro[[#This Row],[Trim IV]])</f>
        <v>0</v>
      </c>
      <c r="Y1671" s="22">
        <f>IFERROR((Registro[[#This Row],[Avance Total]]/Registro[[#This Row],[Meta]]),0)</f>
        <v>0</v>
      </c>
      <c r="Z1671" s="22">
        <f>IFERROR((Registro[[#This Row],[Avance Total]]-Registro[[#This Row],[Línea Base 2025]])/Registro[[#This Row],[Línea Base 2025]],0)</f>
        <v>-1</v>
      </c>
      <c r="AA1671" s="20"/>
    </row>
    <row r="1672" spans="1:27" hidden="1">
      <c r="A1672">
        <v>1129</v>
      </c>
      <c r="B1672" t="s">
        <v>13</v>
      </c>
      <c r="C1672" s="16">
        <v>117</v>
      </c>
      <c r="D1672" s="16" t="s">
        <v>187</v>
      </c>
      <c r="E1672" s="17" t="s">
        <v>186</v>
      </c>
      <c r="F1672" s="24">
        <v>0</v>
      </c>
      <c r="G1672" s="19">
        <v>0</v>
      </c>
      <c r="H1672" s="19">
        <v>0</v>
      </c>
      <c r="I1672" s="19">
        <v>0</v>
      </c>
      <c r="T1672" s="20">
        <f>Registro[[#This Row],[Mes 1]]+Registro[[#This Row],[Mes 2]]+Registro[[#This Row],[Mes 3]]</f>
        <v>0</v>
      </c>
      <c r="U1672" s="20">
        <f>Registro[[#This Row],[Mes 4]]+Registro[[#This Row],[Mes 5]]+Registro[[#This Row],[Mes 6]]</f>
        <v>0</v>
      </c>
      <c r="V1672" s="20">
        <f>Registro[[#This Row],[Mes 7]]+Registro[[#This Row],[Mes 8]]+Registro[[#This Row],[Mes 9]]</f>
        <v>0</v>
      </c>
      <c r="W1672" s="20">
        <f>Registro[[#This Row],[Mes 10]]+Registro[[#This Row],[Mes 11]]+Registro[[#This Row],[Mes 12]]</f>
        <v>0</v>
      </c>
      <c r="X1672" s="20">
        <f>SUM(Registro[[#This Row],[Trim I]],Registro[[#This Row],[Trim II]],Registro[[#This Row],[Trim III]],Registro[[#This Row],[Trim IV]])</f>
        <v>0</v>
      </c>
      <c r="Y1672" s="22">
        <f>IFERROR((Registro[[#This Row],[Avance Total]]/Registro[[#This Row],[Meta]]),0)</f>
        <v>0</v>
      </c>
      <c r="Z1672" s="22">
        <f>IFERROR((Registro[[#This Row],[Avance Total]]-Registro[[#This Row],[Línea Base 2025]])/Registro[[#This Row],[Línea Base 2025]],0)</f>
        <v>0</v>
      </c>
      <c r="AA1672" s="20"/>
    </row>
    <row r="1673" spans="1:27" hidden="1">
      <c r="A1673">
        <v>1129</v>
      </c>
      <c r="B1673" t="s">
        <v>13</v>
      </c>
      <c r="C1673" s="16">
        <v>118</v>
      </c>
      <c r="D1673" s="16" t="s">
        <v>188</v>
      </c>
      <c r="E1673" s="17" t="s">
        <v>9</v>
      </c>
      <c r="F1673" s="24">
        <v>0</v>
      </c>
      <c r="G1673" s="19">
        <v>0</v>
      </c>
      <c r="H1673" s="19">
        <v>0</v>
      </c>
      <c r="I1673" s="19">
        <v>0</v>
      </c>
      <c r="T1673" s="20">
        <f>Registro[[#This Row],[Mes 1]]+Registro[[#This Row],[Mes 2]]+Registro[[#This Row],[Mes 3]]</f>
        <v>0</v>
      </c>
      <c r="U1673" s="20">
        <f>Registro[[#This Row],[Mes 4]]+Registro[[#This Row],[Mes 5]]+Registro[[#This Row],[Mes 6]]</f>
        <v>0</v>
      </c>
      <c r="V1673" s="20">
        <f>Registro[[#This Row],[Mes 7]]+Registro[[#This Row],[Mes 8]]+Registro[[#This Row],[Mes 9]]</f>
        <v>0</v>
      </c>
      <c r="W1673" s="20">
        <f>Registro[[#This Row],[Mes 10]]+Registro[[#This Row],[Mes 11]]+Registro[[#This Row],[Mes 12]]</f>
        <v>0</v>
      </c>
      <c r="X1673" s="20">
        <f>SUM(Registro[[#This Row],[Trim I]],Registro[[#This Row],[Trim II]],Registro[[#This Row],[Trim III]],Registro[[#This Row],[Trim IV]])</f>
        <v>0</v>
      </c>
      <c r="Y1673" s="22">
        <f>IFERROR((Registro[[#This Row],[Avance Total]]/Registro[[#This Row],[Meta]]),0)</f>
        <v>0</v>
      </c>
      <c r="Z1673" s="22">
        <f>IFERROR((Registro[[#This Row],[Avance Total]]-Registro[[#This Row],[Línea Base 2025]])/Registro[[#This Row],[Línea Base 2025]],0)</f>
        <v>0</v>
      </c>
      <c r="AA1673" s="20"/>
    </row>
    <row r="1674" spans="1:27" hidden="1">
      <c r="A1674">
        <v>1129</v>
      </c>
      <c r="B1674" t="s">
        <v>13</v>
      </c>
      <c r="C1674" s="16">
        <v>119</v>
      </c>
      <c r="D1674" s="16" t="s">
        <v>190</v>
      </c>
      <c r="E1674" s="17" t="s">
        <v>189</v>
      </c>
      <c r="F1674" s="24">
        <v>0</v>
      </c>
      <c r="G1674" s="19">
        <v>1</v>
      </c>
      <c r="H1674" s="19">
        <v>0</v>
      </c>
      <c r="I1674" s="19">
        <v>0</v>
      </c>
      <c r="T1674" s="20">
        <f>Registro[[#This Row],[Mes 1]]+Registro[[#This Row],[Mes 2]]+Registro[[#This Row],[Mes 3]]</f>
        <v>0</v>
      </c>
      <c r="U1674" s="20">
        <f>Registro[[#This Row],[Mes 4]]+Registro[[#This Row],[Mes 5]]+Registro[[#This Row],[Mes 6]]</f>
        <v>0</v>
      </c>
      <c r="V1674" s="20">
        <f>Registro[[#This Row],[Mes 7]]+Registro[[#This Row],[Mes 8]]+Registro[[#This Row],[Mes 9]]</f>
        <v>0</v>
      </c>
      <c r="W1674" s="20">
        <f>Registro[[#This Row],[Mes 10]]+Registro[[#This Row],[Mes 11]]+Registro[[#This Row],[Mes 12]]</f>
        <v>0</v>
      </c>
      <c r="X1674" s="20">
        <f>SUM(Registro[[#This Row],[Trim I]],Registro[[#This Row],[Trim II]],Registro[[#This Row],[Trim III]],Registro[[#This Row],[Trim IV]])</f>
        <v>0</v>
      </c>
      <c r="Y1674" s="22">
        <f>IFERROR((Registro[[#This Row],[Avance Total]]/Registro[[#This Row],[Meta]]),0)</f>
        <v>0</v>
      </c>
      <c r="Z1674" s="22">
        <f>IFERROR((Registro[[#This Row],[Avance Total]]-Registro[[#This Row],[Línea Base 2025]])/Registro[[#This Row],[Línea Base 2025]],0)</f>
        <v>0</v>
      </c>
      <c r="AA1674" s="20"/>
    </row>
    <row r="1675" spans="1:27" hidden="1">
      <c r="A1675">
        <v>1129</v>
      </c>
      <c r="B1675" t="s">
        <v>13</v>
      </c>
      <c r="C1675" s="16">
        <v>120</v>
      </c>
      <c r="D1675" s="16" t="s">
        <v>192</v>
      </c>
      <c r="E1675" s="17" t="s">
        <v>191</v>
      </c>
      <c r="F1675" s="24">
        <v>0</v>
      </c>
      <c r="G1675" s="19">
        <v>0</v>
      </c>
      <c r="H1675" s="19">
        <v>0</v>
      </c>
      <c r="I1675" s="19">
        <v>0</v>
      </c>
      <c r="T1675" s="20">
        <f>Registro[[#This Row],[Mes 1]]+Registro[[#This Row],[Mes 2]]+Registro[[#This Row],[Mes 3]]</f>
        <v>0</v>
      </c>
      <c r="U1675" s="20">
        <f>Registro[[#This Row],[Mes 4]]+Registro[[#This Row],[Mes 5]]+Registro[[#This Row],[Mes 6]]</f>
        <v>0</v>
      </c>
      <c r="V1675" s="20">
        <f>Registro[[#This Row],[Mes 7]]+Registro[[#This Row],[Mes 8]]+Registro[[#This Row],[Mes 9]]</f>
        <v>0</v>
      </c>
      <c r="W1675" s="20">
        <f>Registro[[#This Row],[Mes 10]]+Registro[[#This Row],[Mes 11]]+Registro[[#This Row],[Mes 12]]</f>
        <v>0</v>
      </c>
      <c r="X1675" s="20">
        <f>SUM(Registro[[#This Row],[Trim I]],Registro[[#This Row],[Trim II]],Registro[[#This Row],[Trim III]],Registro[[#This Row],[Trim IV]])</f>
        <v>0</v>
      </c>
      <c r="Y1675" s="22">
        <f>IFERROR((Registro[[#This Row],[Avance Total]]/Registro[[#This Row],[Meta]]),0)</f>
        <v>0</v>
      </c>
      <c r="Z1675" s="22">
        <f>IFERROR((Registro[[#This Row],[Avance Total]]-Registro[[#This Row],[Línea Base 2025]])/Registro[[#This Row],[Línea Base 2025]],0)</f>
        <v>0</v>
      </c>
      <c r="AA1675" s="20"/>
    </row>
    <row r="1676" spans="1:27" hidden="1">
      <c r="A1676">
        <v>1129</v>
      </c>
      <c r="B1676" t="s">
        <v>13</v>
      </c>
      <c r="C1676" s="16">
        <v>121</v>
      </c>
      <c r="D1676" s="16" t="s">
        <v>194</v>
      </c>
      <c r="E1676" s="17" t="s">
        <v>193</v>
      </c>
      <c r="F1676" s="24">
        <v>0</v>
      </c>
      <c r="G1676" s="19">
        <v>0</v>
      </c>
      <c r="H1676" s="19">
        <v>0</v>
      </c>
      <c r="I1676" s="19">
        <v>0</v>
      </c>
      <c r="T1676" s="20">
        <f>Registro[[#This Row],[Mes 1]]+Registro[[#This Row],[Mes 2]]+Registro[[#This Row],[Mes 3]]</f>
        <v>0</v>
      </c>
      <c r="U1676" s="20">
        <f>Registro[[#This Row],[Mes 4]]+Registro[[#This Row],[Mes 5]]+Registro[[#This Row],[Mes 6]]</f>
        <v>0</v>
      </c>
      <c r="V1676" s="20">
        <f>Registro[[#This Row],[Mes 7]]+Registro[[#This Row],[Mes 8]]+Registro[[#This Row],[Mes 9]]</f>
        <v>0</v>
      </c>
      <c r="W1676" s="20">
        <f>Registro[[#This Row],[Mes 10]]+Registro[[#This Row],[Mes 11]]+Registro[[#This Row],[Mes 12]]</f>
        <v>0</v>
      </c>
      <c r="X1676" s="20">
        <f>SUM(Registro[[#This Row],[Trim I]],Registro[[#This Row],[Trim II]],Registro[[#This Row],[Trim III]],Registro[[#This Row],[Trim IV]])</f>
        <v>0</v>
      </c>
      <c r="Y1676" s="22">
        <f>IFERROR((Registro[[#This Row],[Avance Total]]/Registro[[#This Row],[Meta]]),0)</f>
        <v>0</v>
      </c>
      <c r="Z1676" s="22">
        <f>IFERROR((Registro[[#This Row],[Avance Total]]-Registro[[#This Row],[Línea Base 2025]])/Registro[[#This Row],[Línea Base 2025]],0)</f>
        <v>0</v>
      </c>
      <c r="AA1676" s="20"/>
    </row>
    <row r="1677" spans="1:27" hidden="1">
      <c r="A1677">
        <v>1129</v>
      </c>
      <c r="B1677" t="s">
        <v>13</v>
      </c>
      <c r="C1677" s="16">
        <v>122</v>
      </c>
      <c r="D1677" s="16" t="s">
        <v>196</v>
      </c>
      <c r="E1677" s="17" t="s">
        <v>195</v>
      </c>
      <c r="F1677" s="24">
        <v>0</v>
      </c>
      <c r="G1677" s="19">
        <v>0</v>
      </c>
      <c r="H1677" s="19">
        <v>0</v>
      </c>
      <c r="I1677" s="19">
        <v>0</v>
      </c>
      <c r="T1677" s="20">
        <f>Registro[[#This Row],[Mes 1]]+Registro[[#This Row],[Mes 2]]+Registro[[#This Row],[Mes 3]]</f>
        <v>0</v>
      </c>
      <c r="U1677" s="20">
        <f>Registro[[#This Row],[Mes 4]]+Registro[[#This Row],[Mes 5]]+Registro[[#This Row],[Mes 6]]</f>
        <v>0</v>
      </c>
      <c r="V1677" s="20">
        <f>Registro[[#This Row],[Mes 7]]+Registro[[#This Row],[Mes 8]]+Registro[[#This Row],[Mes 9]]</f>
        <v>0</v>
      </c>
      <c r="W1677" s="20">
        <f>Registro[[#This Row],[Mes 10]]+Registro[[#This Row],[Mes 11]]+Registro[[#This Row],[Mes 12]]</f>
        <v>0</v>
      </c>
      <c r="X1677" s="20">
        <f>SUM(Registro[[#This Row],[Trim I]],Registro[[#This Row],[Trim II]],Registro[[#This Row],[Trim III]],Registro[[#This Row],[Trim IV]])</f>
        <v>0</v>
      </c>
      <c r="Y1677" s="22">
        <f>IFERROR((Registro[[#This Row],[Avance Total]]/Registro[[#This Row],[Meta]]),0)</f>
        <v>0</v>
      </c>
      <c r="Z1677" s="22">
        <f>IFERROR((Registro[[#This Row],[Avance Total]]-Registro[[#This Row],[Línea Base 2025]])/Registro[[#This Row],[Línea Base 2025]],0)</f>
        <v>0</v>
      </c>
      <c r="AA1677" s="20"/>
    </row>
    <row r="1678" spans="1:27" hidden="1">
      <c r="A1678">
        <v>1129</v>
      </c>
      <c r="B1678" t="s">
        <v>13</v>
      </c>
      <c r="C1678" s="26">
        <v>123</v>
      </c>
      <c r="D1678" s="26" t="s">
        <v>198</v>
      </c>
      <c r="E1678" s="17" t="s">
        <v>197</v>
      </c>
      <c r="F1678" s="32">
        <v>0</v>
      </c>
      <c r="G1678" s="28">
        <v>0</v>
      </c>
      <c r="H1678" s="28">
        <v>0</v>
      </c>
      <c r="I1678" s="28">
        <v>0</v>
      </c>
      <c r="J1678" s="27"/>
      <c r="K1678" s="27"/>
      <c r="L1678" s="27"/>
      <c r="M1678" s="27"/>
      <c r="N1678" s="27"/>
      <c r="O1678" s="27"/>
      <c r="P1678" s="27"/>
      <c r="Q1678" s="27"/>
      <c r="R1678" s="27"/>
      <c r="S1678" s="27"/>
      <c r="T1678" s="29">
        <f>Registro[[#This Row],[Mes 1]]+Registro[[#This Row],[Mes 2]]+Registro[[#This Row],[Mes 3]]</f>
        <v>0</v>
      </c>
      <c r="U1678" s="29">
        <f>Registro[[#This Row],[Mes 4]]+Registro[[#This Row],[Mes 5]]+Registro[[#This Row],[Mes 6]]</f>
        <v>0</v>
      </c>
      <c r="V1678" s="29">
        <f>Registro[[#This Row],[Mes 7]]+Registro[[#This Row],[Mes 8]]+Registro[[#This Row],[Mes 9]]</f>
        <v>0</v>
      </c>
      <c r="W1678" s="29">
        <f>Registro[[#This Row],[Mes 10]]+Registro[[#This Row],[Mes 11]]+Registro[[#This Row],[Mes 12]]</f>
        <v>0</v>
      </c>
      <c r="X1678" s="29">
        <f>SUM(Registro[[#This Row],[Trim I]],Registro[[#This Row],[Trim II]],Registro[[#This Row],[Trim III]],Registro[[#This Row],[Trim IV]])</f>
        <v>0</v>
      </c>
      <c r="Y1678" s="30">
        <f>IFERROR((Registro[[#This Row],[Avance Total]]/Registro[[#This Row],[Meta]]),0)</f>
        <v>0</v>
      </c>
      <c r="Z1678" s="30">
        <f>IFERROR((Registro[[#This Row],[Avance Total]]-Registro[[#This Row],[Línea Base 2025]])/Registro[[#This Row],[Línea Base 2025]],0)</f>
        <v>0</v>
      </c>
      <c r="AA1678" s="29"/>
    </row>
    <row r="1679" spans="1:27" hidden="1">
      <c r="A1679">
        <v>1130</v>
      </c>
      <c r="B1679" t="s">
        <v>46</v>
      </c>
      <c r="C1679" s="16">
        <v>111</v>
      </c>
      <c r="D1679" s="16" t="s">
        <v>171</v>
      </c>
      <c r="E1679" s="17" t="s">
        <v>172</v>
      </c>
      <c r="F1679" s="24">
        <v>875</v>
      </c>
      <c r="G1679" s="19">
        <v>2000</v>
      </c>
      <c r="H1679" s="19">
        <v>0</v>
      </c>
      <c r="I1679" s="19">
        <v>0</v>
      </c>
      <c r="T1679" s="20">
        <f>Registro[[#This Row],[Mes 1]]+Registro[[#This Row],[Mes 2]]+Registro[[#This Row],[Mes 3]]</f>
        <v>0</v>
      </c>
      <c r="U1679" s="20">
        <f>Registro[[#This Row],[Mes 4]]+Registro[[#This Row],[Mes 5]]+Registro[[#This Row],[Mes 6]]</f>
        <v>0</v>
      </c>
      <c r="V1679" s="20">
        <f>Registro[[#This Row],[Mes 7]]+Registro[[#This Row],[Mes 8]]+Registro[[#This Row],[Mes 9]]</f>
        <v>0</v>
      </c>
      <c r="W1679" s="20">
        <f>Registro[[#This Row],[Mes 10]]+Registro[[#This Row],[Mes 11]]+Registro[[#This Row],[Mes 12]]</f>
        <v>0</v>
      </c>
      <c r="X1679" s="20">
        <f>SUM(Registro[[#This Row],[Trim I]],Registro[[#This Row],[Trim II]],Registro[[#This Row],[Trim III]],Registro[[#This Row],[Trim IV]])</f>
        <v>0</v>
      </c>
      <c r="Y1679" s="22">
        <f>IFERROR((Registro[[#This Row],[Avance Total]]/Registro[[#This Row],[Meta]]),0)</f>
        <v>0</v>
      </c>
      <c r="Z1679" s="22">
        <f>IFERROR((Registro[[#This Row],[Avance Total]]-Registro[[#This Row],[Línea Base 2025]])/Registro[[#This Row],[Línea Base 2025]],0)</f>
        <v>-1</v>
      </c>
      <c r="AA1679" s="20"/>
    </row>
    <row r="1680" spans="1:27" hidden="1">
      <c r="A1680">
        <v>1130</v>
      </c>
      <c r="B1680" t="s">
        <v>46</v>
      </c>
      <c r="C1680" s="16">
        <v>112</v>
      </c>
      <c r="D1680" s="16" t="s">
        <v>173</v>
      </c>
      <c r="E1680" s="17" t="s">
        <v>7</v>
      </c>
      <c r="F1680" s="24">
        <v>2683</v>
      </c>
      <c r="G1680" s="19">
        <v>9</v>
      </c>
      <c r="H1680" s="19">
        <v>0</v>
      </c>
      <c r="I1680" s="19">
        <v>0</v>
      </c>
      <c r="T1680" s="20">
        <f>Registro[[#This Row],[Mes 1]]+Registro[[#This Row],[Mes 2]]+Registro[[#This Row],[Mes 3]]</f>
        <v>0</v>
      </c>
      <c r="U1680" s="20">
        <f>Registro[[#This Row],[Mes 4]]+Registro[[#This Row],[Mes 5]]+Registro[[#This Row],[Mes 6]]</f>
        <v>0</v>
      </c>
      <c r="V1680" s="20">
        <f>Registro[[#This Row],[Mes 7]]+Registro[[#This Row],[Mes 8]]+Registro[[#This Row],[Mes 9]]</f>
        <v>0</v>
      </c>
      <c r="W1680" s="20">
        <f>Registro[[#This Row],[Mes 10]]+Registro[[#This Row],[Mes 11]]+Registro[[#This Row],[Mes 12]]</f>
        <v>0</v>
      </c>
      <c r="X1680" s="20">
        <f>SUM(Registro[[#This Row],[Trim I]],Registro[[#This Row],[Trim II]],Registro[[#This Row],[Trim III]],Registro[[#This Row],[Trim IV]])</f>
        <v>0</v>
      </c>
      <c r="Y1680" s="22">
        <f>IFERROR((Registro[[#This Row],[Avance Total]]/Registro[[#This Row],[Meta]]),0)</f>
        <v>0</v>
      </c>
      <c r="Z1680" s="22">
        <f>IFERROR((Registro[[#This Row],[Avance Total]]-Registro[[#This Row],[Línea Base 2025]])/Registro[[#This Row],[Línea Base 2025]],0)</f>
        <v>-1</v>
      </c>
      <c r="AA1680" s="20"/>
    </row>
    <row r="1681" spans="1:27" hidden="1">
      <c r="A1681">
        <v>1130</v>
      </c>
      <c r="B1681" t="s">
        <v>46</v>
      </c>
      <c r="C1681" s="16">
        <v>113</v>
      </c>
      <c r="D1681" s="16" t="s">
        <v>179</v>
      </c>
      <c r="E1681" s="17" t="s">
        <v>178</v>
      </c>
      <c r="F1681" s="24">
        <v>83</v>
      </c>
      <c r="G1681" s="19">
        <v>4499</v>
      </c>
      <c r="H1681" s="19">
        <v>0</v>
      </c>
      <c r="I1681" s="19">
        <v>0</v>
      </c>
      <c r="T1681" s="20">
        <f>Registro[[#This Row],[Mes 1]]+Registro[[#This Row],[Mes 2]]+Registro[[#This Row],[Mes 3]]</f>
        <v>0</v>
      </c>
      <c r="U1681" s="20">
        <f>Registro[[#This Row],[Mes 4]]+Registro[[#This Row],[Mes 5]]+Registro[[#This Row],[Mes 6]]</f>
        <v>0</v>
      </c>
      <c r="V1681" s="20">
        <f>Registro[[#This Row],[Mes 7]]+Registro[[#This Row],[Mes 8]]+Registro[[#This Row],[Mes 9]]</f>
        <v>0</v>
      </c>
      <c r="W1681" s="20">
        <f>Registro[[#This Row],[Mes 10]]+Registro[[#This Row],[Mes 11]]+Registro[[#This Row],[Mes 12]]</f>
        <v>0</v>
      </c>
      <c r="X1681" s="20">
        <f>SUM(Registro[[#This Row],[Trim I]],Registro[[#This Row],[Trim II]],Registro[[#This Row],[Trim III]],Registro[[#This Row],[Trim IV]])</f>
        <v>0</v>
      </c>
      <c r="Y1681" s="22">
        <f>IFERROR((Registro[[#This Row],[Avance Total]]/Registro[[#This Row],[Meta]]),0)</f>
        <v>0</v>
      </c>
      <c r="Z1681" s="22">
        <f>IFERROR((Registro[[#This Row],[Avance Total]]-Registro[[#This Row],[Línea Base 2025]])/Registro[[#This Row],[Línea Base 2025]],0)</f>
        <v>-1</v>
      </c>
      <c r="AA1681" s="20"/>
    </row>
    <row r="1682" spans="1:27" hidden="1">
      <c r="A1682">
        <v>1130</v>
      </c>
      <c r="B1682" t="s">
        <v>46</v>
      </c>
      <c r="C1682" s="16">
        <v>114</v>
      </c>
      <c r="D1682" s="16" t="s">
        <v>181</v>
      </c>
      <c r="E1682" s="17" t="s">
        <v>180</v>
      </c>
      <c r="F1682" s="24">
        <v>1</v>
      </c>
      <c r="G1682" s="19">
        <v>6</v>
      </c>
      <c r="H1682" s="19">
        <v>0</v>
      </c>
      <c r="I1682" s="19">
        <v>0</v>
      </c>
      <c r="T1682" s="20">
        <f>Registro[[#This Row],[Mes 1]]+Registro[[#This Row],[Mes 2]]+Registro[[#This Row],[Mes 3]]</f>
        <v>0</v>
      </c>
      <c r="U1682" s="20">
        <f>Registro[[#This Row],[Mes 4]]+Registro[[#This Row],[Mes 5]]+Registro[[#This Row],[Mes 6]]</f>
        <v>0</v>
      </c>
      <c r="V1682" s="20">
        <f>Registro[[#This Row],[Mes 7]]+Registro[[#This Row],[Mes 8]]+Registro[[#This Row],[Mes 9]]</f>
        <v>0</v>
      </c>
      <c r="W1682" s="20">
        <f>Registro[[#This Row],[Mes 10]]+Registro[[#This Row],[Mes 11]]+Registro[[#This Row],[Mes 12]]</f>
        <v>0</v>
      </c>
      <c r="X1682" s="20">
        <f>SUM(Registro[[#This Row],[Trim I]],Registro[[#This Row],[Trim II]],Registro[[#This Row],[Trim III]],Registro[[#This Row],[Trim IV]])</f>
        <v>0</v>
      </c>
      <c r="Y1682" s="22">
        <f>IFERROR((Registro[[#This Row],[Avance Total]]/Registro[[#This Row],[Meta]]),0)</f>
        <v>0</v>
      </c>
      <c r="Z1682" s="22">
        <f>IFERROR((Registro[[#This Row],[Avance Total]]-Registro[[#This Row],[Línea Base 2025]])/Registro[[#This Row],[Línea Base 2025]],0)</f>
        <v>-1</v>
      </c>
      <c r="AA1682" s="20"/>
    </row>
    <row r="1683" spans="1:27" hidden="1">
      <c r="A1683">
        <v>1130</v>
      </c>
      <c r="B1683" t="s">
        <v>46</v>
      </c>
      <c r="C1683" s="16">
        <v>115</v>
      </c>
      <c r="D1683" s="16" t="s">
        <v>183</v>
      </c>
      <c r="E1683" s="17" t="s">
        <v>182</v>
      </c>
      <c r="F1683" s="24">
        <v>0</v>
      </c>
      <c r="G1683" s="19">
        <v>5</v>
      </c>
      <c r="H1683" s="19">
        <v>0</v>
      </c>
      <c r="I1683" s="19">
        <v>0</v>
      </c>
      <c r="T1683" s="20">
        <f>Registro[[#This Row],[Mes 1]]+Registro[[#This Row],[Mes 2]]+Registro[[#This Row],[Mes 3]]</f>
        <v>0</v>
      </c>
      <c r="U1683" s="20">
        <f>Registro[[#This Row],[Mes 4]]+Registro[[#This Row],[Mes 5]]+Registro[[#This Row],[Mes 6]]</f>
        <v>0</v>
      </c>
      <c r="V1683" s="20">
        <f>Registro[[#This Row],[Mes 7]]+Registro[[#This Row],[Mes 8]]+Registro[[#This Row],[Mes 9]]</f>
        <v>0</v>
      </c>
      <c r="W1683" s="20">
        <f>Registro[[#This Row],[Mes 10]]+Registro[[#This Row],[Mes 11]]+Registro[[#This Row],[Mes 12]]</f>
        <v>0</v>
      </c>
      <c r="X1683" s="20">
        <f>SUM(Registro[[#This Row],[Trim I]],Registro[[#This Row],[Trim II]],Registro[[#This Row],[Trim III]],Registro[[#This Row],[Trim IV]])</f>
        <v>0</v>
      </c>
      <c r="Y1683" s="22">
        <f>IFERROR((Registro[[#This Row],[Avance Total]]/Registro[[#This Row],[Meta]]),0)</f>
        <v>0</v>
      </c>
      <c r="Z1683" s="22">
        <f>IFERROR((Registro[[#This Row],[Avance Total]]-Registro[[#This Row],[Línea Base 2025]])/Registro[[#This Row],[Línea Base 2025]],0)</f>
        <v>0</v>
      </c>
      <c r="AA1683" s="20"/>
    </row>
    <row r="1684" spans="1:27">
      <c r="A1684">
        <v>1130</v>
      </c>
      <c r="B1684" t="s">
        <v>46</v>
      </c>
      <c r="C1684" s="16">
        <v>116</v>
      </c>
      <c r="D1684" s="16" t="s">
        <v>185</v>
      </c>
      <c r="E1684" s="17" t="s">
        <v>184</v>
      </c>
      <c r="F1684" s="24">
        <v>16</v>
      </c>
      <c r="G1684" s="19">
        <v>22</v>
      </c>
      <c r="H1684" s="19">
        <v>0</v>
      </c>
      <c r="I1684" s="19">
        <v>0</v>
      </c>
      <c r="T1684" s="20">
        <f>Registro[[#This Row],[Mes 1]]+Registro[[#This Row],[Mes 2]]+Registro[[#This Row],[Mes 3]]</f>
        <v>0</v>
      </c>
      <c r="U1684" s="20">
        <f>Registro[[#This Row],[Mes 4]]+Registro[[#This Row],[Mes 5]]+Registro[[#This Row],[Mes 6]]</f>
        <v>0</v>
      </c>
      <c r="V1684" s="20">
        <f>Registro[[#This Row],[Mes 7]]+Registro[[#This Row],[Mes 8]]+Registro[[#This Row],[Mes 9]]</f>
        <v>0</v>
      </c>
      <c r="W1684" s="20">
        <f>Registro[[#This Row],[Mes 10]]+Registro[[#This Row],[Mes 11]]+Registro[[#This Row],[Mes 12]]</f>
        <v>0</v>
      </c>
      <c r="X1684" s="20">
        <f>SUM(Registro[[#This Row],[Trim I]],Registro[[#This Row],[Trim II]],Registro[[#This Row],[Trim III]],Registro[[#This Row],[Trim IV]])</f>
        <v>0</v>
      </c>
      <c r="Y1684" s="22">
        <f>IFERROR((Registro[[#This Row],[Avance Total]]/Registro[[#This Row],[Meta]]),0)</f>
        <v>0</v>
      </c>
      <c r="Z1684" s="22">
        <f>IFERROR((Registro[[#This Row],[Avance Total]]-Registro[[#This Row],[Línea Base 2025]])/Registro[[#This Row],[Línea Base 2025]],0)</f>
        <v>-1</v>
      </c>
      <c r="AA1684" s="20"/>
    </row>
    <row r="1685" spans="1:27" hidden="1">
      <c r="A1685">
        <v>1130</v>
      </c>
      <c r="B1685" t="s">
        <v>46</v>
      </c>
      <c r="C1685" s="16">
        <v>117</v>
      </c>
      <c r="D1685" s="16" t="s">
        <v>187</v>
      </c>
      <c r="E1685" s="17" t="s">
        <v>186</v>
      </c>
      <c r="F1685" s="24">
        <v>22</v>
      </c>
      <c r="G1685" s="19">
        <v>0</v>
      </c>
      <c r="H1685" s="19">
        <v>0</v>
      </c>
      <c r="I1685" s="19">
        <v>0</v>
      </c>
      <c r="T1685" s="20">
        <f>Registro[[#This Row],[Mes 1]]+Registro[[#This Row],[Mes 2]]+Registro[[#This Row],[Mes 3]]</f>
        <v>0</v>
      </c>
      <c r="U1685" s="20">
        <f>Registro[[#This Row],[Mes 4]]+Registro[[#This Row],[Mes 5]]+Registro[[#This Row],[Mes 6]]</f>
        <v>0</v>
      </c>
      <c r="V1685" s="20">
        <f>Registro[[#This Row],[Mes 7]]+Registro[[#This Row],[Mes 8]]+Registro[[#This Row],[Mes 9]]</f>
        <v>0</v>
      </c>
      <c r="W1685" s="20">
        <f>Registro[[#This Row],[Mes 10]]+Registro[[#This Row],[Mes 11]]+Registro[[#This Row],[Mes 12]]</f>
        <v>0</v>
      </c>
      <c r="X1685" s="20">
        <f>SUM(Registro[[#This Row],[Trim I]],Registro[[#This Row],[Trim II]],Registro[[#This Row],[Trim III]],Registro[[#This Row],[Trim IV]])</f>
        <v>0</v>
      </c>
      <c r="Y1685" s="22">
        <f>IFERROR((Registro[[#This Row],[Avance Total]]/Registro[[#This Row],[Meta]]),0)</f>
        <v>0</v>
      </c>
      <c r="Z1685" s="22">
        <f>IFERROR((Registro[[#This Row],[Avance Total]]-Registro[[#This Row],[Línea Base 2025]])/Registro[[#This Row],[Línea Base 2025]],0)</f>
        <v>-1</v>
      </c>
      <c r="AA1685" s="20"/>
    </row>
    <row r="1686" spans="1:27" hidden="1">
      <c r="A1686">
        <v>1130</v>
      </c>
      <c r="B1686" t="s">
        <v>46</v>
      </c>
      <c r="C1686" s="16">
        <v>118</v>
      </c>
      <c r="D1686" s="16" t="s">
        <v>188</v>
      </c>
      <c r="E1686" s="17" t="s">
        <v>9</v>
      </c>
      <c r="F1686" s="24">
        <v>0</v>
      </c>
      <c r="G1686" s="19">
        <v>0</v>
      </c>
      <c r="H1686" s="19">
        <v>0</v>
      </c>
      <c r="I1686" s="19">
        <v>0</v>
      </c>
      <c r="T1686" s="20">
        <f>Registro[[#This Row],[Mes 1]]+Registro[[#This Row],[Mes 2]]+Registro[[#This Row],[Mes 3]]</f>
        <v>0</v>
      </c>
      <c r="U1686" s="20">
        <f>Registro[[#This Row],[Mes 4]]+Registro[[#This Row],[Mes 5]]+Registro[[#This Row],[Mes 6]]</f>
        <v>0</v>
      </c>
      <c r="V1686" s="20">
        <f>Registro[[#This Row],[Mes 7]]+Registro[[#This Row],[Mes 8]]+Registro[[#This Row],[Mes 9]]</f>
        <v>0</v>
      </c>
      <c r="W1686" s="20">
        <f>Registro[[#This Row],[Mes 10]]+Registro[[#This Row],[Mes 11]]+Registro[[#This Row],[Mes 12]]</f>
        <v>0</v>
      </c>
      <c r="X1686" s="20">
        <f>SUM(Registro[[#This Row],[Trim I]],Registro[[#This Row],[Trim II]],Registro[[#This Row],[Trim III]],Registro[[#This Row],[Trim IV]])</f>
        <v>0</v>
      </c>
      <c r="Y1686" s="22">
        <f>IFERROR((Registro[[#This Row],[Avance Total]]/Registro[[#This Row],[Meta]]),0)</f>
        <v>0</v>
      </c>
      <c r="Z1686" s="22">
        <f>IFERROR((Registro[[#This Row],[Avance Total]]-Registro[[#This Row],[Línea Base 2025]])/Registro[[#This Row],[Línea Base 2025]],0)</f>
        <v>0</v>
      </c>
      <c r="AA1686" s="20"/>
    </row>
    <row r="1687" spans="1:27" hidden="1">
      <c r="A1687">
        <v>1130</v>
      </c>
      <c r="B1687" t="s">
        <v>46</v>
      </c>
      <c r="C1687" s="16">
        <v>119</v>
      </c>
      <c r="D1687" s="16" t="s">
        <v>190</v>
      </c>
      <c r="E1687" s="17" t="s">
        <v>189</v>
      </c>
      <c r="F1687" s="24">
        <v>0</v>
      </c>
      <c r="G1687" s="19">
        <v>18</v>
      </c>
      <c r="H1687" s="19">
        <v>0</v>
      </c>
      <c r="I1687" s="19">
        <v>0</v>
      </c>
      <c r="T1687" s="20">
        <f>Registro[[#This Row],[Mes 1]]+Registro[[#This Row],[Mes 2]]+Registro[[#This Row],[Mes 3]]</f>
        <v>0</v>
      </c>
      <c r="U1687" s="20">
        <f>Registro[[#This Row],[Mes 4]]+Registro[[#This Row],[Mes 5]]+Registro[[#This Row],[Mes 6]]</f>
        <v>0</v>
      </c>
      <c r="V1687" s="20">
        <f>Registro[[#This Row],[Mes 7]]+Registro[[#This Row],[Mes 8]]+Registro[[#This Row],[Mes 9]]</f>
        <v>0</v>
      </c>
      <c r="W1687" s="20">
        <f>Registro[[#This Row],[Mes 10]]+Registro[[#This Row],[Mes 11]]+Registro[[#This Row],[Mes 12]]</f>
        <v>0</v>
      </c>
      <c r="X1687" s="20">
        <f>SUM(Registro[[#This Row],[Trim I]],Registro[[#This Row],[Trim II]],Registro[[#This Row],[Trim III]],Registro[[#This Row],[Trim IV]])</f>
        <v>0</v>
      </c>
      <c r="Y1687" s="22">
        <f>IFERROR((Registro[[#This Row],[Avance Total]]/Registro[[#This Row],[Meta]]),0)</f>
        <v>0</v>
      </c>
      <c r="Z1687" s="22">
        <f>IFERROR((Registro[[#This Row],[Avance Total]]-Registro[[#This Row],[Línea Base 2025]])/Registro[[#This Row],[Línea Base 2025]],0)</f>
        <v>0</v>
      </c>
      <c r="AA1687" s="20"/>
    </row>
    <row r="1688" spans="1:27" hidden="1">
      <c r="A1688">
        <v>1130</v>
      </c>
      <c r="B1688" t="s">
        <v>46</v>
      </c>
      <c r="C1688" s="16">
        <v>120</v>
      </c>
      <c r="D1688" s="16" t="s">
        <v>192</v>
      </c>
      <c r="E1688" s="17" t="s">
        <v>191</v>
      </c>
      <c r="F1688" s="24">
        <v>0</v>
      </c>
      <c r="G1688" s="19">
        <v>0</v>
      </c>
      <c r="H1688" s="19">
        <v>0</v>
      </c>
      <c r="I1688" s="19">
        <v>0</v>
      </c>
      <c r="T1688" s="20">
        <f>Registro[[#This Row],[Mes 1]]+Registro[[#This Row],[Mes 2]]+Registro[[#This Row],[Mes 3]]</f>
        <v>0</v>
      </c>
      <c r="U1688" s="20">
        <f>Registro[[#This Row],[Mes 4]]+Registro[[#This Row],[Mes 5]]+Registro[[#This Row],[Mes 6]]</f>
        <v>0</v>
      </c>
      <c r="V1688" s="20">
        <f>Registro[[#This Row],[Mes 7]]+Registro[[#This Row],[Mes 8]]+Registro[[#This Row],[Mes 9]]</f>
        <v>0</v>
      </c>
      <c r="W1688" s="20">
        <f>Registro[[#This Row],[Mes 10]]+Registro[[#This Row],[Mes 11]]+Registro[[#This Row],[Mes 12]]</f>
        <v>0</v>
      </c>
      <c r="X1688" s="20">
        <f>SUM(Registro[[#This Row],[Trim I]],Registro[[#This Row],[Trim II]],Registro[[#This Row],[Trim III]],Registro[[#This Row],[Trim IV]])</f>
        <v>0</v>
      </c>
      <c r="Y1688" s="22">
        <f>IFERROR((Registro[[#This Row],[Avance Total]]/Registro[[#This Row],[Meta]]),0)</f>
        <v>0</v>
      </c>
      <c r="Z1688" s="22">
        <f>IFERROR((Registro[[#This Row],[Avance Total]]-Registro[[#This Row],[Línea Base 2025]])/Registro[[#This Row],[Línea Base 2025]],0)</f>
        <v>0</v>
      </c>
      <c r="AA1688" s="20"/>
    </row>
    <row r="1689" spans="1:27" hidden="1">
      <c r="A1689">
        <v>1130</v>
      </c>
      <c r="B1689" t="s">
        <v>46</v>
      </c>
      <c r="C1689" s="16">
        <v>121</v>
      </c>
      <c r="D1689" s="16" t="s">
        <v>194</v>
      </c>
      <c r="E1689" s="17" t="s">
        <v>193</v>
      </c>
      <c r="F1689" s="24">
        <v>0</v>
      </c>
      <c r="G1689" s="19">
        <v>0</v>
      </c>
      <c r="H1689" s="19">
        <v>0</v>
      </c>
      <c r="I1689" s="19">
        <v>0</v>
      </c>
      <c r="T1689" s="20">
        <f>Registro[[#This Row],[Mes 1]]+Registro[[#This Row],[Mes 2]]+Registro[[#This Row],[Mes 3]]</f>
        <v>0</v>
      </c>
      <c r="U1689" s="20">
        <f>Registro[[#This Row],[Mes 4]]+Registro[[#This Row],[Mes 5]]+Registro[[#This Row],[Mes 6]]</f>
        <v>0</v>
      </c>
      <c r="V1689" s="20">
        <f>Registro[[#This Row],[Mes 7]]+Registro[[#This Row],[Mes 8]]+Registro[[#This Row],[Mes 9]]</f>
        <v>0</v>
      </c>
      <c r="W1689" s="20">
        <f>Registro[[#This Row],[Mes 10]]+Registro[[#This Row],[Mes 11]]+Registro[[#This Row],[Mes 12]]</f>
        <v>0</v>
      </c>
      <c r="X1689" s="20">
        <f>SUM(Registro[[#This Row],[Trim I]],Registro[[#This Row],[Trim II]],Registro[[#This Row],[Trim III]],Registro[[#This Row],[Trim IV]])</f>
        <v>0</v>
      </c>
      <c r="Y1689" s="22">
        <f>IFERROR((Registro[[#This Row],[Avance Total]]/Registro[[#This Row],[Meta]]),0)</f>
        <v>0</v>
      </c>
      <c r="Z1689" s="22">
        <f>IFERROR((Registro[[#This Row],[Avance Total]]-Registro[[#This Row],[Línea Base 2025]])/Registro[[#This Row],[Línea Base 2025]],0)</f>
        <v>0</v>
      </c>
      <c r="AA1689" s="20"/>
    </row>
    <row r="1690" spans="1:27" hidden="1">
      <c r="A1690">
        <v>1130</v>
      </c>
      <c r="B1690" t="s">
        <v>46</v>
      </c>
      <c r="C1690" s="16">
        <v>122</v>
      </c>
      <c r="D1690" s="16" t="s">
        <v>196</v>
      </c>
      <c r="E1690" s="17" t="s">
        <v>195</v>
      </c>
      <c r="F1690" s="24">
        <v>0</v>
      </c>
      <c r="G1690" s="19">
        <v>0</v>
      </c>
      <c r="H1690" s="19">
        <v>0</v>
      </c>
      <c r="I1690" s="19">
        <v>0</v>
      </c>
      <c r="T1690" s="20">
        <f>Registro[[#This Row],[Mes 1]]+Registro[[#This Row],[Mes 2]]+Registro[[#This Row],[Mes 3]]</f>
        <v>0</v>
      </c>
      <c r="U1690" s="20">
        <f>Registro[[#This Row],[Mes 4]]+Registro[[#This Row],[Mes 5]]+Registro[[#This Row],[Mes 6]]</f>
        <v>0</v>
      </c>
      <c r="V1690" s="20">
        <f>Registro[[#This Row],[Mes 7]]+Registro[[#This Row],[Mes 8]]+Registro[[#This Row],[Mes 9]]</f>
        <v>0</v>
      </c>
      <c r="W1690" s="20">
        <f>Registro[[#This Row],[Mes 10]]+Registro[[#This Row],[Mes 11]]+Registro[[#This Row],[Mes 12]]</f>
        <v>0</v>
      </c>
      <c r="X1690" s="20">
        <f>SUM(Registro[[#This Row],[Trim I]],Registro[[#This Row],[Trim II]],Registro[[#This Row],[Trim III]],Registro[[#This Row],[Trim IV]])</f>
        <v>0</v>
      </c>
      <c r="Y1690" s="22">
        <f>IFERROR((Registro[[#This Row],[Avance Total]]/Registro[[#This Row],[Meta]]),0)</f>
        <v>0</v>
      </c>
      <c r="Z1690" s="22">
        <f>IFERROR((Registro[[#This Row],[Avance Total]]-Registro[[#This Row],[Línea Base 2025]])/Registro[[#This Row],[Línea Base 2025]],0)</f>
        <v>0</v>
      </c>
      <c r="AA1690" s="20"/>
    </row>
    <row r="1691" spans="1:27" hidden="1">
      <c r="A1691">
        <v>1130</v>
      </c>
      <c r="B1691" t="s">
        <v>46</v>
      </c>
      <c r="C1691" s="26">
        <v>123</v>
      </c>
      <c r="D1691" s="26" t="s">
        <v>198</v>
      </c>
      <c r="E1691" s="17" t="s">
        <v>197</v>
      </c>
      <c r="F1691" s="32">
        <v>0</v>
      </c>
      <c r="G1691" s="28">
        <v>0</v>
      </c>
      <c r="H1691" s="28">
        <v>0</v>
      </c>
      <c r="I1691" s="28">
        <v>0</v>
      </c>
      <c r="J1691" s="27"/>
      <c r="K1691" s="27"/>
      <c r="L1691" s="27"/>
      <c r="M1691" s="27"/>
      <c r="N1691" s="27"/>
      <c r="O1691" s="27"/>
      <c r="P1691" s="27"/>
      <c r="Q1691" s="27"/>
      <c r="R1691" s="27"/>
      <c r="S1691" s="27"/>
      <c r="T1691" s="29">
        <f>Registro[[#This Row],[Mes 1]]+Registro[[#This Row],[Mes 2]]+Registro[[#This Row],[Mes 3]]</f>
        <v>0</v>
      </c>
      <c r="U1691" s="29">
        <f>Registro[[#This Row],[Mes 4]]+Registro[[#This Row],[Mes 5]]+Registro[[#This Row],[Mes 6]]</f>
        <v>0</v>
      </c>
      <c r="V1691" s="29">
        <f>Registro[[#This Row],[Mes 7]]+Registro[[#This Row],[Mes 8]]+Registro[[#This Row],[Mes 9]]</f>
        <v>0</v>
      </c>
      <c r="W1691" s="29">
        <f>Registro[[#This Row],[Mes 10]]+Registro[[#This Row],[Mes 11]]+Registro[[#This Row],[Mes 12]]</f>
        <v>0</v>
      </c>
      <c r="X1691" s="29">
        <f>SUM(Registro[[#This Row],[Trim I]],Registro[[#This Row],[Trim II]],Registro[[#This Row],[Trim III]],Registro[[#This Row],[Trim IV]])</f>
        <v>0</v>
      </c>
      <c r="Y1691" s="30">
        <f>IFERROR((Registro[[#This Row],[Avance Total]]/Registro[[#This Row],[Meta]]),0)</f>
        <v>0</v>
      </c>
      <c r="Z1691" s="30">
        <f>IFERROR((Registro[[#This Row],[Avance Total]]-Registro[[#This Row],[Línea Base 2025]])/Registro[[#This Row],[Línea Base 2025]],0)</f>
        <v>0</v>
      </c>
      <c r="AA1691" s="29"/>
    </row>
    <row r="1692" spans="1:27" hidden="1">
      <c r="A1692">
        <v>1131</v>
      </c>
      <c r="B1692" t="s">
        <v>13</v>
      </c>
      <c r="C1692" s="16">
        <v>111</v>
      </c>
      <c r="D1692" s="16" t="s">
        <v>171</v>
      </c>
      <c r="E1692" s="17" t="s">
        <v>172</v>
      </c>
      <c r="F1692" s="24">
        <v>1756</v>
      </c>
      <c r="G1692" s="19">
        <v>2247</v>
      </c>
      <c r="H1692" s="19">
        <v>0</v>
      </c>
      <c r="I1692" s="19">
        <v>0</v>
      </c>
      <c r="T1692" s="20">
        <f>Registro[[#This Row],[Mes 1]]+Registro[[#This Row],[Mes 2]]+Registro[[#This Row],[Mes 3]]</f>
        <v>0</v>
      </c>
      <c r="U1692" s="20">
        <f>Registro[[#This Row],[Mes 4]]+Registro[[#This Row],[Mes 5]]+Registro[[#This Row],[Mes 6]]</f>
        <v>0</v>
      </c>
      <c r="V1692" s="20">
        <f>Registro[[#This Row],[Mes 7]]+Registro[[#This Row],[Mes 8]]+Registro[[#This Row],[Mes 9]]</f>
        <v>0</v>
      </c>
      <c r="W1692" s="20">
        <f>Registro[[#This Row],[Mes 10]]+Registro[[#This Row],[Mes 11]]+Registro[[#This Row],[Mes 12]]</f>
        <v>0</v>
      </c>
      <c r="X1692" s="20">
        <f>SUM(Registro[[#This Row],[Trim I]],Registro[[#This Row],[Trim II]],Registro[[#This Row],[Trim III]],Registro[[#This Row],[Trim IV]])</f>
        <v>0</v>
      </c>
      <c r="Y1692" s="22">
        <f>IFERROR((Registro[[#This Row],[Avance Total]]/Registro[[#This Row],[Meta]]),0)</f>
        <v>0</v>
      </c>
      <c r="Z1692" s="22">
        <f>IFERROR((Registro[[#This Row],[Avance Total]]-Registro[[#This Row],[Línea Base 2025]])/Registro[[#This Row],[Línea Base 2025]],0)</f>
        <v>-1</v>
      </c>
      <c r="AA1692" s="20"/>
    </row>
    <row r="1693" spans="1:27" hidden="1">
      <c r="A1693">
        <v>1131</v>
      </c>
      <c r="B1693" t="s">
        <v>13</v>
      </c>
      <c r="C1693" s="16">
        <v>112</v>
      </c>
      <c r="D1693" s="16" t="s">
        <v>173</v>
      </c>
      <c r="E1693" s="17" t="s">
        <v>7</v>
      </c>
      <c r="F1693" s="24">
        <v>39</v>
      </c>
      <c r="G1693" s="19">
        <v>330</v>
      </c>
      <c r="H1693" s="19">
        <v>0</v>
      </c>
      <c r="I1693" s="19">
        <v>0</v>
      </c>
      <c r="T1693" s="20">
        <f>Registro[[#This Row],[Mes 1]]+Registro[[#This Row],[Mes 2]]+Registro[[#This Row],[Mes 3]]</f>
        <v>0</v>
      </c>
      <c r="U1693" s="20">
        <f>Registro[[#This Row],[Mes 4]]+Registro[[#This Row],[Mes 5]]+Registro[[#This Row],[Mes 6]]</f>
        <v>0</v>
      </c>
      <c r="V1693" s="20">
        <f>Registro[[#This Row],[Mes 7]]+Registro[[#This Row],[Mes 8]]+Registro[[#This Row],[Mes 9]]</f>
        <v>0</v>
      </c>
      <c r="W1693" s="20">
        <f>Registro[[#This Row],[Mes 10]]+Registro[[#This Row],[Mes 11]]+Registro[[#This Row],[Mes 12]]</f>
        <v>0</v>
      </c>
      <c r="X1693" s="20">
        <f>SUM(Registro[[#This Row],[Trim I]],Registro[[#This Row],[Trim II]],Registro[[#This Row],[Trim III]],Registro[[#This Row],[Trim IV]])</f>
        <v>0</v>
      </c>
      <c r="Y1693" s="22">
        <f>IFERROR((Registro[[#This Row],[Avance Total]]/Registro[[#This Row],[Meta]]),0)</f>
        <v>0</v>
      </c>
      <c r="Z1693" s="22">
        <f>IFERROR((Registro[[#This Row],[Avance Total]]-Registro[[#This Row],[Línea Base 2025]])/Registro[[#This Row],[Línea Base 2025]],0)</f>
        <v>-1</v>
      </c>
      <c r="AA1693" s="20"/>
    </row>
    <row r="1694" spans="1:27" hidden="1">
      <c r="A1694">
        <v>1131</v>
      </c>
      <c r="B1694" t="s">
        <v>13</v>
      </c>
      <c r="C1694" s="16">
        <v>113</v>
      </c>
      <c r="D1694" s="16" t="s">
        <v>179</v>
      </c>
      <c r="E1694" s="17" t="s">
        <v>178</v>
      </c>
      <c r="F1694" s="24">
        <v>226</v>
      </c>
      <c r="G1694" s="19">
        <v>2526</v>
      </c>
      <c r="H1694" s="19">
        <v>0</v>
      </c>
      <c r="I1694" s="19">
        <v>0</v>
      </c>
      <c r="T1694" s="20">
        <f>Registro[[#This Row],[Mes 1]]+Registro[[#This Row],[Mes 2]]+Registro[[#This Row],[Mes 3]]</f>
        <v>0</v>
      </c>
      <c r="U1694" s="20">
        <f>Registro[[#This Row],[Mes 4]]+Registro[[#This Row],[Mes 5]]+Registro[[#This Row],[Mes 6]]</f>
        <v>0</v>
      </c>
      <c r="V1694" s="20">
        <f>Registro[[#This Row],[Mes 7]]+Registro[[#This Row],[Mes 8]]+Registro[[#This Row],[Mes 9]]</f>
        <v>0</v>
      </c>
      <c r="W1694" s="20">
        <f>Registro[[#This Row],[Mes 10]]+Registro[[#This Row],[Mes 11]]+Registro[[#This Row],[Mes 12]]</f>
        <v>0</v>
      </c>
      <c r="X1694" s="20">
        <f>SUM(Registro[[#This Row],[Trim I]],Registro[[#This Row],[Trim II]],Registro[[#This Row],[Trim III]],Registro[[#This Row],[Trim IV]])</f>
        <v>0</v>
      </c>
      <c r="Y1694" s="22">
        <f>IFERROR((Registro[[#This Row],[Avance Total]]/Registro[[#This Row],[Meta]]),0)</f>
        <v>0</v>
      </c>
      <c r="Z1694" s="22">
        <f>IFERROR((Registro[[#This Row],[Avance Total]]-Registro[[#This Row],[Línea Base 2025]])/Registro[[#This Row],[Línea Base 2025]],0)</f>
        <v>-1</v>
      </c>
      <c r="AA1694" s="20"/>
    </row>
    <row r="1695" spans="1:27" hidden="1">
      <c r="A1695">
        <v>1131</v>
      </c>
      <c r="B1695" t="s">
        <v>13</v>
      </c>
      <c r="C1695" s="16">
        <v>114</v>
      </c>
      <c r="D1695" s="16" t="s">
        <v>181</v>
      </c>
      <c r="E1695" s="17" t="s">
        <v>180</v>
      </c>
      <c r="F1695" s="24">
        <v>0</v>
      </c>
      <c r="G1695" s="19">
        <v>0</v>
      </c>
      <c r="H1695" s="19">
        <v>0</v>
      </c>
      <c r="I1695" s="19">
        <v>0</v>
      </c>
      <c r="T1695" s="20">
        <f>Registro[[#This Row],[Mes 1]]+Registro[[#This Row],[Mes 2]]+Registro[[#This Row],[Mes 3]]</f>
        <v>0</v>
      </c>
      <c r="U1695" s="20">
        <f>Registro[[#This Row],[Mes 4]]+Registro[[#This Row],[Mes 5]]+Registro[[#This Row],[Mes 6]]</f>
        <v>0</v>
      </c>
      <c r="V1695" s="20">
        <f>Registro[[#This Row],[Mes 7]]+Registro[[#This Row],[Mes 8]]+Registro[[#This Row],[Mes 9]]</f>
        <v>0</v>
      </c>
      <c r="W1695" s="20">
        <f>Registro[[#This Row],[Mes 10]]+Registro[[#This Row],[Mes 11]]+Registro[[#This Row],[Mes 12]]</f>
        <v>0</v>
      </c>
      <c r="X1695" s="20">
        <f>SUM(Registro[[#This Row],[Trim I]],Registro[[#This Row],[Trim II]],Registro[[#This Row],[Trim III]],Registro[[#This Row],[Trim IV]])</f>
        <v>0</v>
      </c>
      <c r="Y1695" s="22">
        <f>IFERROR((Registro[[#This Row],[Avance Total]]/Registro[[#This Row],[Meta]]),0)</f>
        <v>0</v>
      </c>
      <c r="Z1695" s="22">
        <f>IFERROR((Registro[[#This Row],[Avance Total]]-Registro[[#This Row],[Línea Base 2025]])/Registro[[#This Row],[Línea Base 2025]],0)</f>
        <v>0</v>
      </c>
      <c r="AA1695" s="20"/>
    </row>
    <row r="1696" spans="1:27" hidden="1">
      <c r="A1696">
        <v>1131</v>
      </c>
      <c r="B1696" t="s">
        <v>13</v>
      </c>
      <c r="C1696" s="16">
        <v>115</v>
      </c>
      <c r="D1696" s="16" t="s">
        <v>183</v>
      </c>
      <c r="E1696" s="17" t="s">
        <v>182</v>
      </c>
      <c r="F1696" s="24">
        <v>0</v>
      </c>
      <c r="G1696" s="19">
        <v>0</v>
      </c>
      <c r="H1696" s="19">
        <v>0</v>
      </c>
      <c r="I1696" s="19">
        <v>0</v>
      </c>
      <c r="T1696" s="20">
        <f>Registro[[#This Row],[Mes 1]]+Registro[[#This Row],[Mes 2]]+Registro[[#This Row],[Mes 3]]</f>
        <v>0</v>
      </c>
      <c r="U1696" s="20">
        <f>Registro[[#This Row],[Mes 4]]+Registro[[#This Row],[Mes 5]]+Registro[[#This Row],[Mes 6]]</f>
        <v>0</v>
      </c>
      <c r="V1696" s="20">
        <f>Registro[[#This Row],[Mes 7]]+Registro[[#This Row],[Mes 8]]+Registro[[#This Row],[Mes 9]]</f>
        <v>0</v>
      </c>
      <c r="W1696" s="20">
        <f>Registro[[#This Row],[Mes 10]]+Registro[[#This Row],[Mes 11]]+Registro[[#This Row],[Mes 12]]</f>
        <v>0</v>
      </c>
      <c r="X1696" s="20">
        <f>SUM(Registro[[#This Row],[Trim I]],Registro[[#This Row],[Trim II]],Registro[[#This Row],[Trim III]],Registro[[#This Row],[Trim IV]])</f>
        <v>0</v>
      </c>
      <c r="Y1696" s="22">
        <f>IFERROR((Registro[[#This Row],[Avance Total]]/Registro[[#This Row],[Meta]]),0)</f>
        <v>0</v>
      </c>
      <c r="Z1696" s="22">
        <f>IFERROR((Registro[[#This Row],[Avance Total]]-Registro[[#This Row],[Línea Base 2025]])/Registro[[#This Row],[Línea Base 2025]],0)</f>
        <v>0</v>
      </c>
      <c r="AA1696" s="20"/>
    </row>
    <row r="1697" spans="1:27">
      <c r="A1697">
        <v>1131</v>
      </c>
      <c r="B1697" t="s">
        <v>13</v>
      </c>
      <c r="C1697" s="16">
        <v>116</v>
      </c>
      <c r="D1697" s="16" t="s">
        <v>185</v>
      </c>
      <c r="E1697" s="17" t="s">
        <v>184</v>
      </c>
      <c r="F1697" s="24">
        <v>21</v>
      </c>
      <c r="G1697" s="19">
        <v>23</v>
      </c>
      <c r="H1697" s="19">
        <v>0</v>
      </c>
      <c r="I1697" s="19">
        <v>0</v>
      </c>
      <c r="T1697" s="20">
        <f>Registro[[#This Row],[Mes 1]]+Registro[[#This Row],[Mes 2]]+Registro[[#This Row],[Mes 3]]</f>
        <v>0</v>
      </c>
      <c r="U1697" s="20">
        <f>Registro[[#This Row],[Mes 4]]+Registro[[#This Row],[Mes 5]]+Registro[[#This Row],[Mes 6]]</f>
        <v>0</v>
      </c>
      <c r="V1697" s="20">
        <f>Registro[[#This Row],[Mes 7]]+Registro[[#This Row],[Mes 8]]+Registro[[#This Row],[Mes 9]]</f>
        <v>0</v>
      </c>
      <c r="W1697" s="20">
        <f>Registro[[#This Row],[Mes 10]]+Registro[[#This Row],[Mes 11]]+Registro[[#This Row],[Mes 12]]</f>
        <v>0</v>
      </c>
      <c r="X1697" s="20">
        <f>SUM(Registro[[#This Row],[Trim I]],Registro[[#This Row],[Trim II]],Registro[[#This Row],[Trim III]],Registro[[#This Row],[Trim IV]])</f>
        <v>0</v>
      </c>
      <c r="Y1697" s="22">
        <f>IFERROR((Registro[[#This Row],[Avance Total]]/Registro[[#This Row],[Meta]]),0)</f>
        <v>0</v>
      </c>
      <c r="Z1697" s="22">
        <f>IFERROR((Registro[[#This Row],[Avance Total]]-Registro[[#This Row],[Línea Base 2025]])/Registro[[#This Row],[Línea Base 2025]],0)</f>
        <v>-1</v>
      </c>
      <c r="AA1697" s="20"/>
    </row>
    <row r="1698" spans="1:27" hidden="1">
      <c r="A1698">
        <v>1131</v>
      </c>
      <c r="B1698" t="s">
        <v>13</v>
      </c>
      <c r="C1698" s="16">
        <v>117</v>
      </c>
      <c r="D1698" s="16" t="s">
        <v>187</v>
      </c>
      <c r="E1698" s="17" t="s">
        <v>186</v>
      </c>
      <c r="F1698" s="24">
        <v>12</v>
      </c>
      <c r="G1698" s="19">
        <v>0</v>
      </c>
      <c r="H1698" s="19">
        <v>0</v>
      </c>
      <c r="I1698" s="19">
        <v>0</v>
      </c>
      <c r="T1698" s="20">
        <f>Registro[[#This Row],[Mes 1]]+Registro[[#This Row],[Mes 2]]+Registro[[#This Row],[Mes 3]]</f>
        <v>0</v>
      </c>
      <c r="U1698" s="20">
        <f>Registro[[#This Row],[Mes 4]]+Registro[[#This Row],[Mes 5]]+Registro[[#This Row],[Mes 6]]</f>
        <v>0</v>
      </c>
      <c r="V1698" s="20">
        <f>Registro[[#This Row],[Mes 7]]+Registro[[#This Row],[Mes 8]]+Registro[[#This Row],[Mes 9]]</f>
        <v>0</v>
      </c>
      <c r="W1698" s="20">
        <f>Registro[[#This Row],[Mes 10]]+Registro[[#This Row],[Mes 11]]+Registro[[#This Row],[Mes 12]]</f>
        <v>0</v>
      </c>
      <c r="X1698" s="20">
        <f>SUM(Registro[[#This Row],[Trim I]],Registro[[#This Row],[Trim II]],Registro[[#This Row],[Trim III]],Registro[[#This Row],[Trim IV]])</f>
        <v>0</v>
      </c>
      <c r="Y1698" s="22">
        <f>IFERROR((Registro[[#This Row],[Avance Total]]/Registro[[#This Row],[Meta]]),0)</f>
        <v>0</v>
      </c>
      <c r="Z1698" s="22">
        <f>IFERROR((Registro[[#This Row],[Avance Total]]-Registro[[#This Row],[Línea Base 2025]])/Registro[[#This Row],[Línea Base 2025]],0)</f>
        <v>-1</v>
      </c>
      <c r="AA1698" s="20"/>
    </row>
    <row r="1699" spans="1:27" hidden="1">
      <c r="A1699">
        <v>1131</v>
      </c>
      <c r="B1699" t="s">
        <v>13</v>
      </c>
      <c r="C1699" s="16">
        <v>118</v>
      </c>
      <c r="D1699" s="16" t="s">
        <v>188</v>
      </c>
      <c r="E1699" s="17" t="s">
        <v>9</v>
      </c>
      <c r="F1699" s="24">
        <v>0</v>
      </c>
      <c r="G1699" s="19">
        <v>0</v>
      </c>
      <c r="H1699" s="19">
        <v>0</v>
      </c>
      <c r="I1699" s="19">
        <v>0</v>
      </c>
      <c r="T1699" s="20">
        <f>Registro[[#This Row],[Mes 1]]+Registro[[#This Row],[Mes 2]]+Registro[[#This Row],[Mes 3]]</f>
        <v>0</v>
      </c>
      <c r="U1699" s="20">
        <f>Registro[[#This Row],[Mes 4]]+Registro[[#This Row],[Mes 5]]+Registro[[#This Row],[Mes 6]]</f>
        <v>0</v>
      </c>
      <c r="V1699" s="20">
        <f>Registro[[#This Row],[Mes 7]]+Registro[[#This Row],[Mes 8]]+Registro[[#This Row],[Mes 9]]</f>
        <v>0</v>
      </c>
      <c r="W1699" s="20">
        <f>Registro[[#This Row],[Mes 10]]+Registro[[#This Row],[Mes 11]]+Registro[[#This Row],[Mes 12]]</f>
        <v>0</v>
      </c>
      <c r="X1699" s="20">
        <f>SUM(Registro[[#This Row],[Trim I]],Registro[[#This Row],[Trim II]],Registro[[#This Row],[Trim III]],Registro[[#This Row],[Trim IV]])</f>
        <v>0</v>
      </c>
      <c r="Y1699" s="22">
        <f>IFERROR((Registro[[#This Row],[Avance Total]]/Registro[[#This Row],[Meta]]),0)</f>
        <v>0</v>
      </c>
      <c r="Z1699" s="22">
        <f>IFERROR((Registro[[#This Row],[Avance Total]]-Registro[[#This Row],[Línea Base 2025]])/Registro[[#This Row],[Línea Base 2025]],0)</f>
        <v>0</v>
      </c>
      <c r="AA1699" s="20"/>
    </row>
    <row r="1700" spans="1:27" hidden="1">
      <c r="A1700">
        <v>1131</v>
      </c>
      <c r="B1700" t="s">
        <v>13</v>
      </c>
      <c r="C1700" s="16">
        <v>119</v>
      </c>
      <c r="D1700" s="16" t="s">
        <v>190</v>
      </c>
      <c r="E1700" s="17" t="s">
        <v>189</v>
      </c>
      <c r="F1700" s="24">
        <v>0</v>
      </c>
      <c r="G1700" s="19">
        <v>18</v>
      </c>
      <c r="H1700" s="19">
        <v>0</v>
      </c>
      <c r="I1700" s="19">
        <v>0</v>
      </c>
      <c r="T1700" s="20">
        <f>Registro[[#This Row],[Mes 1]]+Registro[[#This Row],[Mes 2]]+Registro[[#This Row],[Mes 3]]</f>
        <v>0</v>
      </c>
      <c r="U1700" s="20">
        <f>Registro[[#This Row],[Mes 4]]+Registro[[#This Row],[Mes 5]]+Registro[[#This Row],[Mes 6]]</f>
        <v>0</v>
      </c>
      <c r="V1700" s="20">
        <f>Registro[[#This Row],[Mes 7]]+Registro[[#This Row],[Mes 8]]+Registro[[#This Row],[Mes 9]]</f>
        <v>0</v>
      </c>
      <c r="W1700" s="20">
        <f>Registro[[#This Row],[Mes 10]]+Registro[[#This Row],[Mes 11]]+Registro[[#This Row],[Mes 12]]</f>
        <v>0</v>
      </c>
      <c r="X1700" s="20">
        <f>SUM(Registro[[#This Row],[Trim I]],Registro[[#This Row],[Trim II]],Registro[[#This Row],[Trim III]],Registro[[#This Row],[Trim IV]])</f>
        <v>0</v>
      </c>
      <c r="Y1700" s="22">
        <f>IFERROR((Registro[[#This Row],[Avance Total]]/Registro[[#This Row],[Meta]]),0)</f>
        <v>0</v>
      </c>
      <c r="Z1700" s="22">
        <f>IFERROR((Registro[[#This Row],[Avance Total]]-Registro[[#This Row],[Línea Base 2025]])/Registro[[#This Row],[Línea Base 2025]],0)</f>
        <v>0</v>
      </c>
      <c r="AA1700" s="20"/>
    </row>
    <row r="1701" spans="1:27" hidden="1">
      <c r="A1701">
        <v>1131</v>
      </c>
      <c r="B1701" t="s">
        <v>13</v>
      </c>
      <c r="C1701" s="16">
        <v>120</v>
      </c>
      <c r="D1701" s="16" t="s">
        <v>192</v>
      </c>
      <c r="E1701" s="17" t="s">
        <v>191</v>
      </c>
      <c r="F1701" s="24">
        <v>0</v>
      </c>
      <c r="G1701" s="19">
        <v>0</v>
      </c>
      <c r="H1701" s="19">
        <v>0</v>
      </c>
      <c r="I1701" s="19">
        <v>0</v>
      </c>
      <c r="T1701" s="20">
        <f>Registro[[#This Row],[Mes 1]]+Registro[[#This Row],[Mes 2]]+Registro[[#This Row],[Mes 3]]</f>
        <v>0</v>
      </c>
      <c r="U1701" s="20">
        <f>Registro[[#This Row],[Mes 4]]+Registro[[#This Row],[Mes 5]]+Registro[[#This Row],[Mes 6]]</f>
        <v>0</v>
      </c>
      <c r="V1701" s="20">
        <f>Registro[[#This Row],[Mes 7]]+Registro[[#This Row],[Mes 8]]+Registro[[#This Row],[Mes 9]]</f>
        <v>0</v>
      </c>
      <c r="W1701" s="20">
        <f>Registro[[#This Row],[Mes 10]]+Registro[[#This Row],[Mes 11]]+Registro[[#This Row],[Mes 12]]</f>
        <v>0</v>
      </c>
      <c r="X1701" s="20">
        <f>SUM(Registro[[#This Row],[Trim I]],Registro[[#This Row],[Trim II]],Registro[[#This Row],[Trim III]],Registro[[#This Row],[Trim IV]])</f>
        <v>0</v>
      </c>
      <c r="Y1701" s="22">
        <f>IFERROR((Registro[[#This Row],[Avance Total]]/Registro[[#This Row],[Meta]]),0)</f>
        <v>0</v>
      </c>
      <c r="Z1701" s="22">
        <f>IFERROR((Registro[[#This Row],[Avance Total]]-Registro[[#This Row],[Línea Base 2025]])/Registro[[#This Row],[Línea Base 2025]],0)</f>
        <v>0</v>
      </c>
      <c r="AA1701" s="20"/>
    </row>
    <row r="1702" spans="1:27" hidden="1">
      <c r="A1702">
        <v>1131</v>
      </c>
      <c r="B1702" t="s">
        <v>13</v>
      </c>
      <c r="C1702" s="16">
        <v>121</v>
      </c>
      <c r="D1702" s="16" t="s">
        <v>194</v>
      </c>
      <c r="E1702" s="17" t="s">
        <v>193</v>
      </c>
      <c r="F1702" s="24">
        <v>0</v>
      </c>
      <c r="G1702" s="19">
        <v>0</v>
      </c>
      <c r="H1702" s="19">
        <v>0</v>
      </c>
      <c r="I1702" s="19">
        <v>0</v>
      </c>
      <c r="T1702" s="20">
        <f>Registro[[#This Row],[Mes 1]]+Registro[[#This Row],[Mes 2]]+Registro[[#This Row],[Mes 3]]</f>
        <v>0</v>
      </c>
      <c r="U1702" s="20">
        <f>Registro[[#This Row],[Mes 4]]+Registro[[#This Row],[Mes 5]]+Registro[[#This Row],[Mes 6]]</f>
        <v>0</v>
      </c>
      <c r="V1702" s="20">
        <f>Registro[[#This Row],[Mes 7]]+Registro[[#This Row],[Mes 8]]+Registro[[#This Row],[Mes 9]]</f>
        <v>0</v>
      </c>
      <c r="W1702" s="20">
        <f>Registro[[#This Row],[Mes 10]]+Registro[[#This Row],[Mes 11]]+Registro[[#This Row],[Mes 12]]</f>
        <v>0</v>
      </c>
      <c r="X1702" s="20">
        <f>SUM(Registro[[#This Row],[Trim I]],Registro[[#This Row],[Trim II]],Registro[[#This Row],[Trim III]],Registro[[#This Row],[Trim IV]])</f>
        <v>0</v>
      </c>
      <c r="Y1702" s="22">
        <f>IFERROR((Registro[[#This Row],[Avance Total]]/Registro[[#This Row],[Meta]]),0)</f>
        <v>0</v>
      </c>
      <c r="Z1702" s="22">
        <f>IFERROR((Registro[[#This Row],[Avance Total]]-Registro[[#This Row],[Línea Base 2025]])/Registro[[#This Row],[Línea Base 2025]],0)</f>
        <v>0</v>
      </c>
      <c r="AA1702" s="20"/>
    </row>
    <row r="1703" spans="1:27" hidden="1">
      <c r="A1703">
        <v>1131</v>
      </c>
      <c r="B1703" t="s">
        <v>13</v>
      </c>
      <c r="C1703" s="16">
        <v>122</v>
      </c>
      <c r="D1703" s="16" t="s">
        <v>196</v>
      </c>
      <c r="E1703" s="17" t="s">
        <v>195</v>
      </c>
      <c r="F1703" s="24">
        <v>0</v>
      </c>
      <c r="G1703" s="19">
        <v>0</v>
      </c>
      <c r="H1703" s="19">
        <v>0</v>
      </c>
      <c r="I1703" s="19">
        <v>0</v>
      </c>
      <c r="T1703" s="20">
        <f>Registro[[#This Row],[Mes 1]]+Registro[[#This Row],[Mes 2]]+Registro[[#This Row],[Mes 3]]</f>
        <v>0</v>
      </c>
      <c r="U1703" s="20">
        <f>Registro[[#This Row],[Mes 4]]+Registro[[#This Row],[Mes 5]]+Registro[[#This Row],[Mes 6]]</f>
        <v>0</v>
      </c>
      <c r="V1703" s="20">
        <f>Registro[[#This Row],[Mes 7]]+Registro[[#This Row],[Mes 8]]+Registro[[#This Row],[Mes 9]]</f>
        <v>0</v>
      </c>
      <c r="W1703" s="20">
        <f>Registro[[#This Row],[Mes 10]]+Registro[[#This Row],[Mes 11]]+Registro[[#This Row],[Mes 12]]</f>
        <v>0</v>
      </c>
      <c r="X1703" s="20">
        <f>SUM(Registro[[#This Row],[Trim I]],Registro[[#This Row],[Trim II]],Registro[[#This Row],[Trim III]],Registro[[#This Row],[Trim IV]])</f>
        <v>0</v>
      </c>
      <c r="Y1703" s="22">
        <f>IFERROR((Registro[[#This Row],[Avance Total]]/Registro[[#This Row],[Meta]]),0)</f>
        <v>0</v>
      </c>
      <c r="Z1703" s="22">
        <f>IFERROR((Registro[[#This Row],[Avance Total]]-Registro[[#This Row],[Línea Base 2025]])/Registro[[#This Row],[Línea Base 2025]],0)</f>
        <v>0</v>
      </c>
      <c r="AA1703" s="20"/>
    </row>
    <row r="1704" spans="1:27" hidden="1">
      <c r="A1704">
        <v>1131</v>
      </c>
      <c r="B1704" t="s">
        <v>13</v>
      </c>
      <c r="C1704" s="26">
        <v>123</v>
      </c>
      <c r="D1704" s="26" t="s">
        <v>198</v>
      </c>
      <c r="E1704" s="17" t="s">
        <v>197</v>
      </c>
      <c r="F1704" s="32">
        <v>0</v>
      </c>
      <c r="G1704" s="28">
        <v>0</v>
      </c>
      <c r="H1704" s="28">
        <v>0</v>
      </c>
      <c r="I1704" s="28">
        <v>0</v>
      </c>
      <c r="J1704" s="27"/>
      <c r="K1704" s="27"/>
      <c r="L1704" s="27"/>
      <c r="M1704" s="27"/>
      <c r="N1704" s="27"/>
      <c r="O1704" s="27"/>
      <c r="P1704" s="27"/>
      <c r="Q1704" s="27"/>
      <c r="R1704" s="27"/>
      <c r="S1704" s="27"/>
      <c r="T1704" s="29">
        <f>Registro[[#This Row],[Mes 1]]+Registro[[#This Row],[Mes 2]]+Registro[[#This Row],[Mes 3]]</f>
        <v>0</v>
      </c>
      <c r="U1704" s="29">
        <f>Registro[[#This Row],[Mes 4]]+Registro[[#This Row],[Mes 5]]+Registro[[#This Row],[Mes 6]]</f>
        <v>0</v>
      </c>
      <c r="V1704" s="29">
        <f>Registro[[#This Row],[Mes 7]]+Registro[[#This Row],[Mes 8]]+Registro[[#This Row],[Mes 9]]</f>
        <v>0</v>
      </c>
      <c r="W1704" s="29">
        <f>Registro[[#This Row],[Mes 10]]+Registro[[#This Row],[Mes 11]]+Registro[[#This Row],[Mes 12]]</f>
        <v>0</v>
      </c>
      <c r="X1704" s="29">
        <f>SUM(Registro[[#This Row],[Trim I]],Registro[[#This Row],[Trim II]],Registro[[#This Row],[Trim III]],Registro[[#This Row],[Trim IV]])</f>
        <v>0</v>
      </c>
      <c r="Y1704" s="30">
        <f>IFERROR((Registro[[#This Row],[Avance Total]]/Registro[[#This Row],[Meta]]),0)</f>
        <v>0</v>
      </c>
      <c r="Z1704" s="30">
        <f>IFERROR((Registro[[#This Row],[Avance Total]]-Registro[[#This Row],[Línea Base 2025]])/Registro[[#This Row],[Línea Base 2025]],0)</f>
        <v>0</v>
      </c>
      <c r="AA1704" s="29"/>
    </row>
  </sheetData>
  <phoneticPr fontId="10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DC715-78B0-41AD-9AD8-3DEACF4B1507}">
  <dimension ref="A1:D132"/>
  <sheetViews>
    <sheetView topLeftCell="A18" workbookViewId="0">
      <selection activeCell="B26" sqref="B26"/>
    </sheetView>
  </sheetViews>
  <sheetFormatPr baseColWidth="10" defaultRowHeight="13.8"/>
  <cols>
    <col min="1" max="1" width="7.796875" customWidth="1"/>
    <col min="2" max="2" width="31.5" customWidth="1"/>
    <col min="3" max="3" width="19.3984375" customWidth="1"/>
    <col min="4" max="4" width="18.3984375" customWidth="1"/>
  </cols>
  <sheetData>
    <row r="1" spans="1:4">
      <c r="A1" t="s">
        <v>200</v>
      </c>
      <c r="B1" t="s">
        <v>199</v>
      </c>
      <c r="C1" t="s">
        <v>163</v>
      </c>
      <c r="D1" t="s">
        <v>164</v>
      </c>
    </row>
    <row r="2" spans="1:4">
      <c r="A2">
        <v>1001</v>
      </c>
      <c r="B2" t="s">
        <v>47</v>
      </c>
      <c r="C2" t="s">
        <v>11</v>
      </c>
      <c r="D2" t="s">
        <v>12</v>
      </c>
    </row>
    <row r="3" spans="1:4">
      <c r="A3">
        <v>1002</v>
      </c>
      <c r="B3" t="s">
        <v>48</v>
      </c>
      <c r="C3" t="s">
        <v>11</v>
      </c>
      <c r="D3" t="s">
        <v>12</v>
      </c>
    </row>
    <row r="4" spans="1:4">
      <c r="A4">
        <v>1003</v>
      </c>
      <c r="B4" t="s">
        <v>49</v>
      </c>
      <c r="C4" t="s">
        <v>11</v>
      </c>
      <c r="D4" t="s">
        <v>12</v>
      </c>
    </row>
    <row r="5" spans="1:4">
      <c r="A5">
        <v>1004</v>
      </c>
      <c r="B5" t="s">
        <v>13</v>
      </c>
      <c r="C5" t="s">
        <v>11</v>
      </c>
      <c r="D5" t="s">
        <v>12</v>
      </c>
    </row>
    <row r="6" spans="1:4">
      <c r="A6">
        <v>1005</v>
      </c>
      <c r="B6" t="s">
        <v>50</v>
      </c>
      <c r="C6" t="s">
        <v>11</v>
      </c>
      <c r="D6" t="s">
        <v>14</v>
      </c>
    </row>
    <row r="7" spans="1:4">
      <c r="A7">
        <v>1006</v>
      </c>
      <c r="B7" t="s">
        <v>51</v>
      </c>
      <c r="C7" t="s">
        <v>11</v>
      </c>
      <c r="D7" t="s">
        <v>14</v>
      </c>
    </row>
    <row r="8" spans="1:4">
      <c r="A8">
        <v>1007</v>
      </c>
      <c r="B8" t="s">
        <v>13</v>
      </c>
      <c r="C8" t="s">
        <v>11</v>
      </c>
      <c r="D8" t="s">
        <v>14</v>
      </c>
    </row>
    <row r="9" spans="1:4">
      <c r="A9">
        <v>1008</v>
      </c>
      <c r="B9" t="s">
        <v>52</v>
      </c>
      <c r="C9" t="s">
        <v>11</v>
      </c>
      <c r="D9" t="s">
        <v>15</v>
      </c>
    </row>
    <row r="10" spans="1:4">
      <c r="A10">
        <v>1009</v>
      </c>
      <c r="B10" t="s">
        <v>53</v>
      </c>
      <c r="C10" t="s">
        <v>11</v>
      </c>
      <c r="D10" t="s">
        <v>15</v>
      </c>
    </row>
    <row r="11" spans="1:4">
      <c r="A11">
        <v>1010</v>
      </c>
      <c r="B11" t="s">
        <v>54</v>
      </c>
      <c r="C11" t="s">
        <v>11</v>
      </c>
      <c r="D11" t="s">
        <v>15</v>
      </c>
    </row>
    <row r="12" spans="1:4">
      <c r="A12">
        <v>1011</v>
      </c>
      <c r="B12" t="s">
        <v>55</v>
      </c>
      <c r="C12" t="s">
        <v>11</v>
      </c>
      <c r="D12" t="s">
        <v>15</v>
      </c>
    </row>
    <row r="13" spans="1:4">
      <c r="A13">
        <v>1012</v>
      </c>
      <c r="B13" t="s">
        <v>13</v>
      </c>
      <c r="C13" t="s">
        <v>11</v>
      </c>
      <c r="D13" t="s">
        <v>15</v>
      </c>
    </row>
    <row r="14" spans="1:4">
      <c r="A14">
        <v>1013</v>
      </c>
      <c r="B14" t="s">
        <v>56</v>
      </c>
      <c r="C14" t="s">
        <v>11</v>
      </c>
      <c r="D14" t="s">
        <v>16</v>
      </c>
    </row>
    <row r="15" spans="1:4">
      <c r="A15">
        <v>1014</v>
      </c>
      <c r="B15" t="s">
        <v>57</v>
      </c>
      <c r="C15" t="s">
        <v>11</v>
      </c>
      <c r="D15" t="s">
        <v>16</v>
      </c>
    </row>
    <row r="16" spans="1:4">
      <c r="A16">
        <v>1015</v>
      </c>
      <c r="B16" t="s">
        <v>58</v>
      </c>
      <c r="C16" t="s">
        <v>11</v>
      </c>
      <c r="D16" t="s">
        <v>16</v>
      </c>
    </row>
    <row r="17" spans="1:4">
      <c r="A17">
        <v>1016</v>
      </c>
      <c r="B17" t="s">
        <v>13</v>
      </c>
      <c r="C17" t="s">
        <v>11</v>
      </c>
      <c r="D17" t="s">
        <v>16</v>
      </c>
    </row>
    <row r="18" spans="1:4">
      <c r="A18">
        <v>1017</v>
      </c>
      <c r="B18" t="s">
        <v>59</v>
      </c>
      <c r="C18" t="s">
        <v>11</v>
      </c>
      <c r="D18" t="s">
        <v>17</v>
      </c>
    </row>
    <row r="19" spans="1:4">
      <c r="A19">
        <v>1018</v>
      </c>
      <c r="B19" t="s">
        <v>60</v>
      </c>
      <c r="C19" t="s">
        <v>11</v>
      </c>
      <c r="D19" t="s">
        <v>17</v>
      </c>
    </row>
    <row r="20" spans="1:4">
      <c r="A20">
        <v>1019</v>
      </c>
      <c r="B20" t="s">
        <v>61</v>
      </c>
      <c r="C20" t="s">
        <v>11</v>
      </c>
      <c r="D20" t="s">
        <v>17</v>
      </c>
    </row>
    <row r="21" spans="1:4">
      <c r="A21">
        <v>1020</v>
      </c>
      <c r="B21" t="s">
        <v>13</v>
      </c>
      <c r="C21" t="s">
        <v>11</v>
      </c>
      <c r="D21" t="s">
        <v>17</v>
      </c>
    </row>
    <row r="22" spans="1:4">
      <c r="A22">
        <v>1021</v>
      </c>
      <c r="B22" t="s">
        <v>13</v>
      </c>
      <c r="C22" t="s">
        <v>11</v>
      </c>
      <c r="D22" t="s">
        <v>143</v>
      </c>
    </row>
    <row r="23" spans="1:4">
      <c r="A23">
        <v>1022</v>
      </c>
      <c r="B23" t="s">
        <v>62</v>
      </c>
      <c r="C23" t="s">
        <v>18</v>
      </c>
      <c r="D23" t="s">
        <v>19</v>
      </c>
    </row>
    <row r="24" spans="1:4">
      <c r="A24">
        <v>1023</v>
      </c>
      <c r="B24" t="s">
        <v>63</v>
      </c>
      <c r="C24" t="s">
        <v>18</v>
      </c>
      <c r="D24" t="s">
        <v>19</v>
      </c>
    </row>
    <row r="25" spans="1:4">
      <c r="A25">
        <v>1024</v>
      </c>
      <c r="B25" t="s">
        <v>64</v>
      </c>
      <c r="C25" t="s">
        <v>18</v>
      </c>
      <c r="D25" t="s">
        <v>19</v>
      </c>
    </row>
    <row r="26" spans="1:4">
      <c r="A26">
        <v>1025</v>
      </c>
      <c r="B26" t="s">
        <v>224</v>
      </c>
      <c r="C26" t="s">
        <v>18</v>
      </c>
      <c r="D26" t="s">
        <v>19</v>
      </c>
    </row>
    <row r="27" spans="1:4">
      <c r="A27">
        <v>1026</v>
      </c>
      <c r="B27" t="s">
        <v>66</v>
      </c>
      <c r="C27" t="s">
        <v>18</v>
      </c>
      <c r="D27" t="s">
        <v>19</v>
      </c>
    </row>
    <row r="28" spans="1:4">
      <c r="A28">
        <v>1027</v>
      </c>
      <c r="B28" t="s">
        <v>67</v>
      </c>
      <c r="C28" t="s">
        <v>18</v>
      </c>
      <c r="D28" t="s">
        <v>19</v>
      </c>
    </row>
    <row r="29" spans="1:4">
      <c r="A29">
        <v>1028</v>
      </c>
      <c r="B29" t="s">
        <v>68</v>
      </c>
      <c r="C29" t="s">
        <v>18</v>
      </c>
      <c r="D29" t="s">
        <v>19</v>
      </c>
    </row>
    <row r="30" spans="1:4">
      <c r="A30">
        <v>1029</v>
      </c>
      <c r="B30" t="s">
        <v>69</v>
      </c>
      <c r="C30" t="s">
        <v>18</v>
      </c>
      <c r="D30" t="s">
        <v>19</v>
      </c>
    </row>
    <row r="31" spans="1:4">
      <c r="A31">
        <v>1030</v>
      </c>
      <c r="B31" t="s">
        <v>13</v>
      </c>
      <c r="C31" t="s">
        <v>18</v>
      </c>
      <c r="D31" t="s">
        <v>19</v>
      </c>
    </row>
    <row r="32" spans="1:4">
      <c r="A32">
        <v>1031</v>
      </c>
      <c r="B32" t="s">
        <v>70</v>
      </c>
      <c r="C32" t="s">
        <v>18</v>
      </c>
      <c r="D32" t="s">
        <v>20</v>
      </c>
    </row>
    <row r="33" spans="1:4">
      <c r="A33">
        <v>1032</v>
      </c>
      <c r="B33" t="s">
        <v>71</v>
      </c>
      <c r="C33" t="s">
        <v>18</v>
      </c>
      <c r="D33" t="s">
        <v>20</v>
      </c>
    </row>
    <row r="34" spans="1:4">
      <c r="A34">
        <v>1033</v>
      </c>
      <c r="B34" t="s">
        <v>72</v>
      </c>
      <c r="C34" t="s">
        <v>18</v>
      </c>
      <c r="D34" t="s">
        <v>20</v>
      </c>
    </row>
    <row r="35" spans="1:4">
      <c r="A35">
        <v>1034</v>
      </c>
      <c r="B35" t="s">
        <v>13</v>
      </c>
      <c r="C35" t="s">
        <v>18</v>
      </c>
      <c r="D35" t="s">
        <v>20</v>
      </c>
    </row>
    <row r="36" spans="1:4">
      <c r="A36">
        <v>1035</v>
      </c>
      <c r="B36" t="s">
        <v>73</v>
      </c>
      <c r="C36" t="s">
        <v>18</v>
      </c>
      <c r="D36" t="s">
        <v>21</v>
      </c>
    </row>
    <row r="37" spans="1:4">
      <c r="A37">
        <v>1036</v>
      </c>
      <c r="B37" t="s">
        <v>74</v>
      </c>
      <c r="C37" t="s">
        <v>18</v>
      </c>
      <c r="D37" t="s">
        <v>21</v>
      </c>
    </row>
    <row r="38" spans="1:4">
      <c r="A38">
        <v>1037</v>
      </c>
      <c r="B38" t="s">
        <v>75</v>
      </c>
      <c r="C38" t="s">
        <v>18</v>
      </c>
      <c r="D38" t="s">
        <v>21</v>
      </c>
    </row>
    <row r="39" spans="1:4">
      <c r="A39">
        <v>1038</v>
      </c>
      <c r="B39" t="s">
        <v>76</v>
      </c>
      <c r="C39" t="s">
        <v>18</v>
      </c>
      <c r="D39" t="s">
        <v>21</v>
      </c>
    </row>
    <row r="40" spans="1:4">
      <c r="A40">
        <v>1039</v>
      </c>
      <c r="B40" t="s">
        <v>13</v>
      </c>
      <c r="C40" t="s">
        <v>18</v>
      </c>
      <c r="D40" t="s">
        <v>21</v>
      </c>
    </row>
    <row r="41" spans="1:4">
      <c r="A41">
        <v>1040</v>
      </c>
      <c r="B41" t="s">
        <v>77</v>
      </c>
      <c r="C41" t="s">
        <v>18</v>
      </c>
      <c r="D41" t="s">
        <v>22</v>
      </c>
    </row>
    <row r="42" spans="1:4">
      <c r="A42">
        <v>1041</v>
      </c>
      <c r="B42" t="s">
        <v>78</v>
      </c>
      <c r="C42" t="s">
        <v>18</v>
      </c>
      <c r="D42" t="s">
        <v>22</v>
      </c>
    </row>
    <row r="43" spans="1:4">
      <c r="A43">
        <v>1042</v>
      </c>
      <c r="B43" t="s">
        <v>79</v>
      </c>
      <c r="C43" t="s">
        <v>18</v>
      </c>
      <c r="D43" t="s">
        <v>22</v>
      </c>
    </row>
    <row r="44" spans="1:4">
      <c r="A44">
        <v>1043</v>
      </c>
      <c r="B44" t="s">
        <v>80</v>
      </c>
      <c r="C44" t="s">
        <v>18</v>
      </c>
      <c r="D44" t="s">
        <v>22</v>
      </c>
    </row>
    <row r="45" spans="1:4">
      <c r="A45">
        <v>1044</v>
      </c>
      <c r="B45" t="s">
        <v>81</v>
      </c>
      <c r="C45" t="s">
        <v>18</v>
      </c>
      <c r="D45" t="s">
        <v>22</v>
      </c>
    </row>
    <row r="46" spans="1:4">
      <c r="A46">
        <v>1045</v>
      </c>
      <c r="B46" t="s">
        <v>13</v>
      </c>
      <c r="C46" t="s">
        <v>18</v>
      </c>
      <c r="D46" t="s">
        <v>22</v>
      </c>
    </row>
    <row r="47" spans="1:4">
      <c r="A47">
        <v>1046</v>
      </c>
      <c r="B47" t="s">
        <v>13</v>
      </c>
      <c r="C47" t="s">
        <v>18</v>
      </c>
      <c r="D47" t="s">
        <v>143</v>
      </c>
    </row>
    <row r="48" spans="1:4">
      <c r="A48">
        <v>1047</v>
      </c>
      <c r="B48" t="s">
        <v>82</v>
      </c>
      <c r="C48" t="s">
        <v>23</v>
      </c>
      <c r="D48" t="s">
        <v>24</v>
      </c>
    </row>
    <row r="49" spans="1:4">
      <c r="A49">
        <v>1048</v>
      </c>
      <c r="B49" t="s">
        <v>83</v>
      </c>
      <c r="C49" t="s">
        <v>23</v>
      </c>
      <c r="D49" t="s">
        <v>24</v>
      </c>
    </row>
    <row r="50" spans="1:4">
      <c r="A50">
        <v>1049</v>
      </c>
      <c r="B50" t="s">
        <v>84</v>
      </c>
      <c r="C50" t="s">
        <v>23</v>
      </c>
      <c r="D50" t="s">
        <v>24</v>
      </c>
    </row>
    <row r="51" spans="1:4">
      <c r="A51">
        <v>1050</v>
      </c>
      <c r="B51" t="s">
        <v>85</v>
      </c>
      <c r="C51" t="s">
        <v>23</v>
      </c>
      <c r="D51" t="s">
        <v>24</v>
      </c>
    </row>
    <row r="52" spans="1:4">
      <c r="A52">
        <v>1051</v>
      </c>
      <c r="B52" t="s">
        <v>13</v>
      </c>
      <c r="C52" t="s">
        <v>23</v>
      </c>
      <c r="D52" t="s">
        <v>24</v>
      </c>
    </row>
    <row r="53" spans="1:4">
      <c r="A53">
        <v>1052</v>
      </c>
      <c r="B53" t="s">
        <v>86</v>
      </c>
      <c r="C53" t="s">
        <v>23</v>
      </c>
      <c r="D53" t="s">
        <v>25</v>
      </c>
    </row>
    <row r="54" spans="1:4">
      <c r="A54">
        <v>1053</v>
      </c>
      <c r="B54" t="s">
        <v>87</v>
      </c>
      <c r="C54" t="s">
        <v>23</v>
      </c>
      <c r="D54" t="s">
        <v>25</v>
      </c>
    </row>
    <row r="55" spans="1:4">
      <c r="A55">
        <v>1054</v>
      </c>
      <c r="B55" t="s">
        <v>88</v>
      </c>
      <c r="C55" t="s">
        <v>23</v>
      </c>
      <c r="D55" t="s">
        <v>25</v>
      </c>
    </row>
    <row r="56" spans="1:4">
      <c r="A56">
        <v>1055</v>
      </c>
      <c r="B56" t="s">
        <v>13</v>
      </c>
      <c r="C56" t="s">
        <v>23</v>
      </c>
      <c r="D56" t="s">
        <v>25</v>
      </c>
    </row>
    <row r="57" spans="1:4">
      <c r="A57">
        <v>1056</v>
      </c>
      <c r="B57" t="s">
        <v>89</v>
      </c>
      <c r="C57" t="s">
        <v>23</v>
      </c>
      <c r="D57" t="s">
        <v>26</v>
      </c>
    </row>
    <row r="58" spans="1:4">
      <c r="A58">
        <v>1057</v>
      </c>
      <c r="B58" t="s">
        <v>90</v>
      </c>
      <c r="C58" t="s">
        <v>23</v>
      </c>
      <c r="D58" t="s">
        <v>26</v>
      </c>
    </row>
    <row r="59" spans="1:4">
      <c r="A59">
        <v>1058</v>
      </c>
      <c r="B59" t="s">
        <v>91</v>
      </c>
      <c r="C59" t="s">
        <v>23</v>
      </c>
      <c r="D59" t="s">
        <v>26</v>
      </c>
    </row>
    <row r="60" spans="1:4">
      <c r="A60">
        <v>1059</v>
      </c>
      <c r="B60" t="s">
        <v>92</v>
      </c>
      <c r="C60" t="s">
        <v>23</v>
      </c>
      <c r="D60" t="s">
        <v>26</v>
      </c>
    </row>
    <row r="61" spans="1:4">
      <c r="A61">
        <v>1060</v>
      </c>
      <c r="B61" t="s">
        <v>13</v>
      </c>
      <c r="C61" t="s">
        <v>23</v>
      </c>
      <c r="D61" t="s">
        <v>26</v>
      </c>
    </row>
    <row r="62" spans="1:4">
      <c r="A62">
        <v>1061</v>
      </c>
      <c r="B62" t="s">
        <v>13</v>
      </c>
      <c r="C62" t="s">
        <v>23</v>
      </c>
      <c r="D62" t="s">
        <v>143</v>
      </c>
    </row>
    <row r="63" spans="1:4">
      <c r="A63">
        <v>1062</v>
      </c>
      <c r="B63" t="s">
        <v>93</v>
      </c>
      <c r="C63" t="s">
        <v>27</v>
      </c>
      <c r="D63" t="s">
        <v>28</v>
      </c>
    </row>
    <row r="64" spans="1:4">
      <c r="A64">
        <v>1063</v>
      </c>
      <c r="B64" t="s">
        <v>94</v>
      </c>
      <c r="C64" t="s">
        <v>27</v>
      </c>
      <c r="D64" t="s">
        <v>28</v>
      </c>
    </row>
    <row r="65" spans="1:4">
      <c r="A65">
        <v>1064</v>
      </c>
      <c r="B65" t="s">
        <v>95</v>
      </c>
      <c r="C65" t="s">
        <v>27</v>
      </c>
      <c r="D65" t="s">
        <v>28</v>
      </c>
    </row>
    <row r="66" spans="1:4">
      <c r="A66">
        <v>1065</v>
      </c>
      <c r="B66" t="s">
        <v>96</v>
      </c>
      <c r="C66" t="s">
        <v>27</v>
      </c>
      <c r="D66" t="s">
        <v>28</v>
      </c>
    </row>
    <row r="67" spans="1:4">
      <c r="A67">
        <v>1066</v>
      </c>
      <c r="B67" t="s">
        <v>97</v>
      </c>
      <c r="C67" t="s">
        <v>27</v>
      </c>
      <c r="D67" t="s">
        <v>28</v>
      </c>
    </row>
    <row r="68" spans="1:4">
      <c r="A68">
        <v>1067</v>
      </c>
      <c r="B68" t="s">
        <v>98</v>
      </c>
      <c r="C68" t="s">
        <v>27</v>
      </c>
      <c r="D68" t="s">
        <v>28</v>
      </c>
    </row>
    <row r="69" spans="1:4">
      <c r="A69">
        <v>1068</v>
      </c>
      <c r="B69" t="s">
        <v>13</v>
      </c>
      <c r="C69" t="s">
        <v>27</v>
      </c>
      <c r="D69" t="s">
        <v>28</v>
      </c>
    </row>
    <row r="70" spans="1:4">
      <c r="A70">
        <v>1069</v>
      </c>
      <c r="B70" t="s">
        <v>99</v>
      </c>
      <c r="C70" t="s">
        <v>27</v>
      </c>
      <c r="D70" t="s">
        <v>29</v>
      </c>
    </row>
    <row r="71" spans="1:4">
      <c r="A71">
        <v>1070</v>
      </c>
      <c r="B71" t="s">
        <v>100</v>
      </c>
      <c r="C71" t="s">
        <v>27</v>
      </c>
      <c r="D71" t="s">
        <v>29</v>
      </c>
    </row>
    <row r="72" spans="1:4">
      <c r="A72">
        <v>1071</v>
      </c>
      <c r="B72" t="s">
        <v>101</v>
      </c>
      <c r="C72" t="s">
        <v>27</v>
      </c>
      <c r="D72" t="s">
        <v>29</v>
      </c>
    </row>
    <row r="73" spans="1:4">
      <c r="A73">
        <v>1072</v>
      </c>
      <c r="B73" t="s">
        <v>102</v>
      </c>
      <c r="C73" t="s">
        <v>27</v>
      </c>
      <c r="D73" t="s">
        <v>29</v>
      </c>
    </row>
    <row r="74" spans="1:4">
      <c r="A74">
        <v>1073</v>
      </c>
      <c r="B74" t="s">
        <v>13</v>
      </c>
      <c r="C74" t="s">
        <v>27</v>
      </c>
      <c r="D74" t="s">
        <v>29</v>
      </c>
    </row>
    <row r="75" spans="1:4">
      <c r="A75">
        <v>1074</v>
      </c>
      <c r="B75" t="s">
        <v>103</v>
      </c>
      <c r="C75" t="s">
        <v>27</v>
      </c>
      <c r="D75" t="s">
        <v>30</v>
      </c>
    </row>
    <row r="76" spans="1:4">
      <c r="A76">
        <v>1075</v>
      </c>
      <c r="B76" t="s">
        <v>104</v>
      </c>
      <c r="C76" t="s">
        <v>27</v>
      </c>
      <c r="D76" t="s">
        <v>30</v>
      </c>
    </row>
    <row r="77" spans="1:4">
      <c r="A77">
        <v>1076</v>
      </c>
      <c r="B77" t="s">
        <v>13</v>
      </c>
      <c r="C77" t="s">
        <v>27</v>
      </c>
      <c r="D77" t="s">
        <v>30</v>
      </c>
    </row>
    <row r="78" spans="1:4">
      <c r="A78">
        <v>1077</v>
      </c>
      <c r="B78" t="s">
        <v>13</v>
      </c>
      <c r="C78" t="s">
        <v>27</v>
      </c>
      <c r="D78" t="s">
        <v>143</v>
      </c>
    </row>
    <row r="79" spans="1:4">
      <c r="A79">
        <v>1078</v>
      </c>
      <c r="B79" t="s">
        <v>105</v>
      </c>
      <c r="C79" t="s">
        <v>31</v>
      </c>
      <c r="D79" t="s">
        <v>32</v>
      </c>
    </row>
    <row r="80" spans="1:4">
      <c r="A80">
        <v>1079</v>
      </c>
      <c r="B80" t="s">
        <v>106</v>
      </c>
      <c r="C80" t="s">
        <v>31</v>
      </c>
      <c r="D80" t="s">
        <v>32</v>
      </c>
    </row>
    <row r="81" spans="1:4">
      <c r="A81">
        <v>1080</v>
      </c>
      <c r="B81" t="s">
        <v>13</v>
      </c>
      <c r="C81" t="s">
        <v>31</v>
      </c>
      <c r="D81" t="s">
        <v>32</v>
      </c>
    </row>
    <row r="82" spans="1:4">
      <c r="A82">
        <v>1081</v>
      </c>
      <c r="B82" t="s">
        <v>107</v>
      </c>
      <c r="C82" t="s">
        <v>31</v>
      </c>
      <c r="D82" t="s">
        <v>33</v>
      </c>
    </row>
    <row r="83" spans="1:4">
      <c r="A83">
        <v>1082</v>
      </c>
      <c r="B83" t="s">
        <v>108</v>
      </c>
      <c r="C83" t="s">
        <v>31</v>
      </c>
      <c r="D83" t="s">
        <v>33</v>
      </c>
    </row>
    <row r="84" spans="1:4">
      <c r="A84">
        <v>1083</v>
      </c>
      <c r="B84" t="s">
        <v>13</v>
      </c>
      <c r="C84" t="s">
        <v>31</v>
      </c>
      <c r="D84" t="s">
        <v>33</v>
      </c>
    </row>
    <row r="85" spans="1:4">
      <c r="A85">
        <v>1084</v>
      </c>
      <c r="B85" t="s">
        <v>109</v>
      </c>
      <c r="C85" t="s">
        <v>31</v>
      </c>
      <c r="D85" t="s">
        <v>34</v>
      </c>
    </row>
    <row r="86" spans="1:4">
      <c r="A86">
        <v>1085</v>
      </c>
      <c r="B86" t="s">
        <v>110</v>
      </c>
      <c r="C86" t="s">
        <v>31</v>
      </c>
      <c r="D86" t="s">
        <v>34</v>
      </c>
    </row>
    <row r="87" spans="1:4">
      <c r="A87">
        <v>1086</v>
      </c>
      <c r="B87" t="s">
        <v>111</v>
      </c>
      <c r="C87" t="s">
        <v>31</v>
      </c>
      <c r="D87" t="s">
        <v>34</v>
      </c>
    </row>
    <row r="88" spans="1:4">
      <c r="A88">
        <v>1087</v>
      </c>
      <c r="B88" t="s">
        <v>112</v>
      </c>
      <c r="C88" t="s">
        <v>31</v>
      </c>
      <c r="D88" t="s">
        <v>34</v>
      </c>
    </row>
    <row r="89" spans="1:4">
      <c r="A89">
        <v>1088</v>
      </c>
      <c r="B89" t="s">
        <v>13</v>
      </c>
      <c r="C89" t="s">
        <v>31</v>
      </c>
      <c r="D89" t="s">
        <v>34</v>
      </c>
    </row>
    <row r="90" spans="1:4">
      <c r="A90">
        <v>1089</v>
      </c>
      <c r="B90" t="s">
        <v>113</v>
      </c>
      <c r="C90" t="s">
        <v>31</v>
      </c>
      <c r="D90" t="s">
        <v>35</v>
      </c>
    </row>
    <row r="91" spans="1:4">
      <c r="A91">
        <v>1090</v>
      </c>
      <c r="B91" t="s">
        <v>114</v>
      </c>
      <c r="C91" t="s">
        <v>31</v>
      </c>
      <c r="D91" t="s">
        <v>35</v>
      </c>
    </row>
    <row r="92" spans="1:4">
      <c r="A92">
        <v>1091</v>
      </c>
      <c r="B92" t="s">
        <v>115</v>
      </c>
      <c r="C92" t="s">
        <v>31</v>
      </c>
      <c r="D92" t="s">
        <v>35</v>
      </c>
    </row>
    <row r="93" spans="1:4">
      <c r="A93">
        <v>1092</v>
      </c>
      <c r="B93" t="s">
        <v>116</v>
      </c>
      <c r="C93" t="s">
        <v>31</v>
      </c>
      <c r="D93" t="s">
        <v>35</v>
      </c>
    </row>
    <row r="94" spans="1:4">
      <c r="A94">
        <v>1093</v>
      </c>
      <c r="B94" t="s">
        <v>117</v>
      </c>
      <c r="C94" t="s">
        <v>31</v>
      </c>
      <c r="D94" t="s">
        <v>35</v>
      </c>
    </row>
    <row r="95" spans="1:4">
      <c r="A95">
        <v>1094</v>
      </c>
      <c r="B95" t="s">
        <v>118</v>
      </c>
      <c r="C95" t="s">
        <v>31</v>
      </c>
      <c r="D95" t="s">
        <v>35</v>
      </c>
    </row>
    <row r="96" spans="1:4">
      <c r="A96">
        <v>1095</v>
      </c>
      <c r="B96" t="s">
        <v>13</v>
      </c>
      <c r="C96" t="s">
        <v>31</v>
      </c>
      <c r="D96" t="s">
        <v>35</v>
      </c>
    </row>
    <row r="97" spans="1:4">
      <c r="A97">
        <v>1096</v>
      </c>
      <c r="B97" t="s">
        <v>13</v>
      </c>
      <c r="C97" t="s">
        <v>31</v>
      </c>
      <c r="D97" t="s">
        <v>143</v>
      </c>
    </row>
    <row r="98" spans="1:4">
      <c r="A98">
        <v>1097</v>
      </c>
      <c r="B98" t="s">
        <v>119</v>
      </c>
      <c r="C98" t="s">
        <v>36</v>
      </c>
      <c r="D98" t="s">
        <v>37</v>
      </c>
    </row>
    <row r="99" spans="1:4">
      <c r="A99">
        <v>1098</v>
      </c>
      <c r="B99" t="s">
        <v>120</v>
      </c>
      <c r="C99" t="s">
        <v>36</v>
      </c>
      <c r="D99" t="s">
        <v>37</v>
      </c>
    </row>
    <row r="100" spans="1:4">
      <c r="A100">
        <v>1099</v>
      </c>
      <c r="B100" t="s">
        <v>121</v>
      </c>
      <c r="C100" t="s">
        <v>36</v>
      </c>
      <c r="D100" t="s">
        <v>37</v>
      </c>
    </row>
    <row r="101" spans="1:4">
      <c r="A101">
        <v>1100</v>
      </c>
      <c r="B101" t="s">
        <v>13</v>
      </c>
      <c r="C101" t="s">
        <v>36</v>
      </c>
      <c r="D101" t="s">
        <v>37</v>
      </c>
    </row>
    <row r="102" spans="1:4">
      <c r="A102">
        <v>1101</v>
      </c>
      <c r="B102" t="s">
        <v>122</v>
      </c>
      <c r="C102" t="s">
        <v>36</v>
      </c>
      <c r="D102" t="s">
        <v>38</v>
      </c>
    </row>
    <row r="103" spans="1:4">
      <c r="A103">
        <v>1102</v>
      </c>
      <c r="B103" t="s">
        <v>123</v>
      </c>
      <c r="C103" t="s">
        <v>36</v>
      </c>
      <c r="D103" t="s">
        <v>38</v>
      </c>
    </row>
    <row r="104" spans="1:4">
      <c r="A104">
        <v>1103</v>
      </c>
      <c r="B104" t="s">
        <v>13</v>
      </c>
      <c r="C104" t="s">
        <v>36</v>
      </c>
      <c r="D104" t="s">
        <v>38</v>
      </c>
    </row>
    <row r="105" spans="1:4">
      <c r="A105">
        <v>1104</v>
      </c>
      <c r="B105" t="s">
        <v>124</v>
      </c>
      <c r="C105" t="s">
        <v>36</v>
      </c>
      <c r="D105" t="s">
        <v>39</v>
      </c>
    </row>
    <row r="106" spans="1:4">
      <c r="A106">
        <v>1105</v>
      </c>
      <c r="B106" t="s">
        <v>125</v>
      </c>
      <c r="C106" t="s">
        <v>36</v>
      </c>
      <c r="D106" t="s">
        <v>39</v>
      </c>
    </row>
    <row r="107" spans="1:4">
      <c r="A107">
        <v>1106</v>
      </c>
      <c r="B107" t="s">
        <v>126</v>
      </c>
      <c r="C107" t="s">
        <v>36</v>
      </c>
      <c r="D107" t="s">
        <v>39</v>
      </c>
    </row>
    <row r="108" spans="1:4">
      <c r="A108">
        <v>1107</v>
      </c>
      <c r="B108" t="s">
        <v>13</v>
      </c>
      <c r="C108" t="s">
        <v>36</v>
      </c>
      <c r="D108" t="s">
        <v>39</v>
      </c>
    </row>
    <row r="109" spans="1:4">
      <c r="A109">
        <v>1108</v>
      </c>
      <c r="B109" t="s">
        <v>13</v>
      </c>
      <c r="C109" t="s">
        <v>36</v>
      </c>
      <c r="D109" t="s">
        <v>143</v>
      </c>
    </row>
    <row r="110" spans="1:4">
      <c r="A110">
        <v>1109</v>
      </c>
      <c r="B110" t="s">
        <v>127</v>
      </c>
      <c r="C110" t="s">
        <v>40</v>
      </c>
      <c r="D110" t="s">
        <v>41</v>
      </c>
    </row>
    <row r="111" spans="1:4">
      <c r="A111">
        <v>1110</v>
      </c>
      <c r="B111" t="s">
        <v>128</v>
      </c>
      <c r="C111" t="s">
        <v>40</v>
      </c>
      <c r="D111" t="s">
        <v>41</v>
      </c>
    </row>
    <row r="112" spans="1:4">
      <c r="A112">
        <v>1111</v>
      </c>
      <c r="B112" t="s">
        <v>129</v>
      </c>
      <c r="C112" t="s">
        <v>40</v>
      </c>
      <c r="D112" t="s">
        <v>41</v>
      </c>
    </row>
    <row r="113" spans="1:4">
      <c r="A113">
        <v>1112</v>
      </c>
      <c r="B113" t="s">
        <v>13</v>
      </c>
      <c r="C113" t="s">
        <v>40</v>
      </c>
      <c r="D113" t="s">
        <v>41</v>
      </c>
    </row>
    <row r="114" spans="1:4">
      <c r="A114">
        <v>1113</v>
      </c>
      <c r="B114" t="s">
        <v>130</v>
      </c>
      <c r="C114" t="s">
        <v>40</v>
      </c>
      <c r="D114" t="s">
        <v>42</v>
      </c>
    </row>
    <row r="115" spans="1:4">
      <c r="A115">
        <v>1114</v>
      </c>
      <c r="B115" t="s">
        <v>131</v>
      </c>
      <c r="C115" t="s">
        <v>40</v>
      </c>
      <c r="D115" t="s">
        <v>42</v>
      </c>
    </row>
    <row r="116" spans="1:4">
      <c r="A116">
        <v>1115</v>
      </c>
      <c r="B116" t="s">
        <v>132</v>
      </c>
      <c r="C116" t="s">
        <v>40</v>
      </c>
      <c r="D116" t="s">
        <v>42</v>
      </c>
    </row>
    <row r="117" spans="1:4">
      <c r="A117">
        <v>1116</v>
      </c>
      <c r="B117" t="s">
        <v>13</v>
      </c>
      <c r="C117" t="s">
        <v>40</v>
      </c>
      <c r="D117" t="s">
        <v>42</v>
      </c>
    </row>
    <row r="118" spans="1:4">
      <c r="A118">
        <v>1117</v>
      </c>
      <c r="B118" t="s">
        <v>133</v>
      </c>
      <c r="C118" t="s">
        <v>40</v>
      </c>
      <c r="D118" t="s">
        <v>43</v>
      </c>
    </row>
    <row r="119" spans="1:4">
      <c r="A119">
        <v>1118</v>
      </c>
      <c r="B119" t="s">
        <v>134</v>
      </c>
      <c r="C119" t="s">
        <v>40</v>
      </c>
      <c r="D119" t="s">
        <v>44</v>
      </c>
    </row>
    <row r="120" spans="1:4">
      <c r="A120">
        <v>1119</v>
      </c>
      <c r="B120" t="s">
        <v>135</v>
      </c>
      <c r="C120" t="s">
        <v>40</v>
      </c>
      <c r="D120" t="s">
        <v>44</v>
      </c>
    </row>
    <row r="121" spans="1:4">
      <c r="A121">
        <v>1120</v>
      </c>
      <c r="B121" t="s">
        <v>136</v>
      </c>
      <c r="C121" t="s">
        <v>40</v>
      </c>
      <c r="D121" t="s">
        <v>44</v>
      </c>
    </row>
    <row r="122" spans="1:4">
      <c r="A122">
        <v>1121</v>
      </c>
      <c r="B122" t="s">
        <v>137</v>
      </c>
      <c r="C122" t="s">
        <v>40</v>
      </c>
      <c r="D122" t="s">
        <v>44</v>
      </c>
    </row>
    <row r="123" spans="1:4">
      <c r="A123">
        <v>1122</v>
      </c>
      <c r="B123" t="s">
        <v>13</v>
      </c>
      <c r="C123" t="s">
        <v>40</v>
      </c>
      <c r="D123" t="s">
        <v>44</v>
      </c>
    </row>
    <row r="124" spans="1:4">
      <c r="A124">
        <v>1123</v>
      </c>
      <c r="B124" t="s">
        <v>138</v>
      </c>
      <c r="C124" t="s">
        <v>40</v>
      </c>
      <c r="D124" t="s">
        <v>45</v>
      </c>
    </row>
    <row r="125" spans="1:4">
      <c r="A125">
        <v>1124</v>
      </c>
      <c r="B125" t="s">
        <v>139</v>
      </c>
      <c r="C125" t="s">
        <v>40</v>
      </c>
      <c r="D125" t="s">
        <v>45</v>
      </c>
    </row>
    <row r="126" spans="1:4">
      <c r="A126">
        <v>1125</v>
      </c>
      <c r="B126" t="s">
        <v>140</v>
      </c>
      <c r="C126" t="s">
        <v>40</v>
      </c>
      <c r="D126" t="s">
        <v>45</v>
      </c>
    </row>
    <row r="127" spans="1:4">
      <c r="A127">
        <v>1126</v>
      </c>
      <c r="B127" t="s">
        <v>141</v>
      </c>
      <c r="C127" t="s">
        <v>40</v>
      </c>
      <c r="D127" t="s">
        <v>45</v>
      </c>
    </row>
    <row r="128" spans="1:4">
      <c r="A128">
        <v>1127</v>
      </c>
      <c r="B128" t="s">
        <v>142</v>
      </c>
      <c r="C128" t="s">
        <v>40</v>
      </c>
      <c r="D128" t="s">
        <v>45</v>
      </c>
    </row>
    <row r="129" spans="1:4">
      <c r="A129">
        <v>1128</v>
      </c>
      <c r="B129" t="s">
        <v>13</v>
      </c>
      <c r="C129" t="s">
        <v>40</v>
      </c>
      <c r="D129" t="s">
        <v>45</v>
      </c>
    </row>
    <row r="130" spans="1:4">
      <c r="A130">
        <v>1129</v>
      </c>
      <c r="B130" t="s">
        <v>13</v>
      </c>
      <c r="C130" t="s">
        <v>40</v>
      </c>
      <c r="D130" t="s">
        <v>143</v>
      </c>
    </row>
    <row r="131" spans="1:4">
      <c r="A131">
        <v>1130</v>
      </c>
      <c r="B131" t="s">
        <v>46</v>
      </c>
      <c r="C131" t="s">
        <v>144</v>
      </c>
      <c r="D131" t="s">
        <v>46</v>
      </c>
    </row>
    <row r="132" spans="1:4">
      <c r="A132">
        <v>1131</v>
      </c>
      <c r="B132" t="s">
        <v>13</v>
      </c>
      <c r="C132" t="s">
        <v>143</v>
      </c>
      <c r="D132" t="s">
        <v>13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882CE-7A2C-4199-AECD-AF9846DED160}">
  <dimension ref="A1:H15"/>
  <sheetViews>
    <sheetView workbookViewId="0">
      <selection activeCell="G3" sqref="G3"/>
    </sheetView>
  </sheetViews>
  <sheetFormatPr baseColWidth="10" defaultRowHeight="13.8"/>
  <cols>
    <col min="3" max="3" width="14" customWidth="1"/>
    <col min="5" max="5" width="14" customWidth="1"/>
    <col min="6" max="6" width="18.796875" customWidth="1"/>
    <col min="7" max="7" width="32.5" customWidth="1"/>
  </cols>
  <sheetData>
    <row r="1" spans="1:8" ht="27" thickBot="1">
      <c r="A1" s="12" t="s">
        <v>166</v>
      </c>
      <c r="B1" s="10" t="s">
        <v>167</v>
      </c>
      <c r="C1" s="11" t="s">
        <v>177</v>
      </c>
      <c r="D1" s="11" t="s">
        <v>175</v>
      </c>
      <c r="E1" s="11" t="s">
        <v>168</v>
      </c>
      <c r="F1" s="11" t="s">
        <v>169</v>
      </c>
      <c r="G1" s="11" t="s">
        <v>170</v>
      </c>
    </row>
    <row r="2" spans="1:8">
      <c r="A2">
        <v>1</v>
      </c>
      <c r="B2" t="s">
        <v>174</v>
      </c>
      <c r="C2">
        <v>11</v>
      </c>
      <c r="D2" t="s">
        <v>176</v>
      </c>
      <c r="E2">
        <v>111</v>
      </c>
      <c r="F2" t="s">
        <v>171</v>
      </c>
      <c r="G2" t="s">
        <v>172</v>
      </c>
      <c r="H2" s="31" t="s">
        <v>225</v>
      </c>
    </row>
    <row r="3" spans="1:8">
      <c r="A3">
        <v>1</v>
      </c>
      <c r="B3" t="s">
        <v>174</v>
      </c>
      <c r="C3">
        <v>11</v>
      </c>
      <c r="D3" t="s">
        <v>176</v>
      </c>
      <c r="E3">
        <v>112</v>
      </c>
      <c r="F3" t="s">
        <v>173</v>
      </c>
      <c r="G3" t="s">
        <v>7</v>
      </c>
      <c r="H3" s="31"/>
    </row>
    <row r="4" spans="1:8">
      <c r="A4">
        <v>1</v>
      </c>
      <c r="B4" t="s">
        <v>174</v>
      </c>
      <c r="C4">
        <v>11</v>
      </c>
      <c r="D4" t="s">
        <v>176</v>
      </c>
      <c r="E4">
        <v>113</v>
      </c>
      <c r="F4" t="s">
        <v>179</v>
      </c>
      <c r="G4" t="s">
        <v>178</v>
      </c>
      <c r="H4" s="31" t="s">
        <v>225</v>
      </c>
    </row>
    <row r="5" spans="1:8">
      <c r="A5">
        <v>1</v>
      </c>
      <c r="B5" t="s">
        <v>174</v>
      </c>
      <c r="C5">
        <v>11</v>
      </c>
      <c r="D5" t="s">
        <v>176</v>
      </c>
      <c r="E5">
        <v>114</v>
      </c>
      <c r="F5" t="s">
        <v>181</v>
      </c>
      <c r="G5" t="s">
        <v>180</v>
      </c>
      <c r="H5" s="31"/>
    </row>
    <row r="6" spans="1:8">
      <c r="A6">
        <v>1</v>
      </c>
      <c r="B6" t="s">
        <v>174</v>
      </c>
      <c r="C6">
        <v>11</v>
      </c>
      <c r="D6" t="s">
        <v>176</v>
      </c>
      <c r="E6">
        <v>115</v>
      </c>
      <c r="F6" t="s">
        <v>183</v>
      </c>
      <c r="G6" t="s">
        <v>182</v>
      </c>
      <c r="H6" s="31" t="s">
        <v>225</v>
      </c>
    </row>
    <row r="7" spans="1:8">
      <c r="A7">
        <v>1</v>
      </c>
      <c r="B7" t="s">
        <v>174</v>
      </c>
      <c r="C7">
        <v>11</v>
      </c>
      <c r="D7" t="s">
        <v>176</v>
      </c>
      <c r="E7">
        <v>116</v>
      </c>
      <c r="F7" t="s">
        <v>185</v>
      </c>
      <c r="G7" t="s">
        <v>184</v>
      </c>
      <c r="H7" s="31" t="s">
        <v>225</v>
      </c>
    </row>
    <row r="8" spans="1:8">
      <c r="A8">
        <v>1</v>
      </c>
      <c r="B8" t="s">
        <v>174</v>
      </c>
      <c r="C8">
        <v>11</v>
      </c>
      <c r="D8" t="s">
        <v>176</v>
      </c>
      <c r="E8">
        <v>117</v>
      </c>
      <c r="F8" t="s">
        <v>187</v>
      </c>
      <c r="G8" t="s">
        <v>186</v>
      </c>
      <c r="H8" s="31" t="s">
        <v>225</v>
      </c>
    </row>
    <row r="9" spans="1:8">
      <c r="A9">
        <v>1</v>
      </c>
      <c r="B9" t="s">
        <v>174</v>
      </c>
      <c r="C9">
        <v>11</v>
      </c>
      <c r="D9" t="s">
        <v>176</v>
      </c>
      <c r="E9">
        <v>118</v>
      </c>
      <c r="F9" t="s">
        <v>188</v>
      </c>
      <c r="G9" t="s">
        <v>9</v>
      </c>
      <c r="H9" s="31" t="s">
        <v>225</v>
      </c>
    </row>
    <row r="10" spans="1:8">
      <c r="A10">
        <v>1</v>
      </c>
      <c r="B10" t="s">
        <v>174</v>
      </c>
      <c r="C10">
        <v>11</v>
      </c>
      <c r="D10" t="s">
        <v>176</v>
      </c>
      <c r="E10">
        <v>119</v>
      </c>
      <c r="F10" t="s">
        <v>190</v>
      </c>
      <c r="G10" t="s">
        <v>189</v>
      </c>
      <c r="H10" s="31" t="s">
        <v>225</v>
      </c>
    </row>
    <row r="11" spans="1:8">
      <c r="A11">
        <v>1</v>
      </c>
      <c r="B11" t="s">
        <v>174</v>
      </c>
      <c r="C11">
        <v>11</v>
      </c>
      <c r="D11" t="s">
        <v>176</v>
      </c>
      <c r="E11">
        <v>120</v>
      </c>
      <c r="F11" t="s">
        <v>192</v>
      </c>
      <c r="G11" t="s">
        <v>191</v>
      </c>
      <c r="H11" s="31" t="s">
        <v>225</v>
      </c>
    </row>
    <row r="12" spans="1:8">
      <c r="A12">
        <v>1</v>
      </c>
      <c r="B12" t="s">
        <v>174</v>
      </c>
      <c r="C12">
        <v>11</v>
      </c>
      <c r="D12" t="s">
        <v>176</v>
      </c>
      <c r="E12">
        <v>121</v>
      </c>
      <c r="F12" t="s">
        <v>194</v>
      </c>
      <c r="G12" t="s">
        <v>193</v>
      </c>
      <c r="H12" s="31" t="s">
        <v>225</v>
      </c>
    </row>
    <row r="13" spans="1:8">
      <c r="A13">
        <v>1</v>
      </c>
      <c r="B13" t="s">
        <v>174</v>
      </c>
      <c r="C13">
        <v>11</v>
      </c>
      <c r="D13" t="s">
        <v>176</v>
      </c>
      <c r="E13">
        <v>122</v>
      </c>
      <c r="F13" t="s">
        <v>196</v>
      </c>
      <c r="G13" t="s">
        <v>195</v>
      </c>
      <c r="H13" s="31"/>
    </row>
    <row r="14" spans="1:8">
      <c r="A14">
        <v>1</v>
      </c>
      <c r="B14" t="s">
        <v>174</v>
      </c>
      <c r="C14">
        <v>11</v>
      </c>
      <c r="D14" t="s">
        <v>176</v>
      </c>
      <c r="E14">
        <v>123</v>
      </c>
      <c r="F14" t="s">
        <v>198</v>
      </c>
      <c r="G14" t="s">
        <v>197</v>
      </c>
      <c r="H14" s="31"/>
    </row>
    <row r="15" spans="1:8">
      <c r="H15" s="3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Hoja2</vt:lpstr>
      <vt:lpstr>Historico</vt:lpstr>
      <vt:lpstr>PRB</vt:lpstr>
      <vt:lpstr>EstructuraIndicadores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Del Pilar Acero Alvarez</dc:creator>
  <cp:lastModifiedBy>ivan bernal</cp:lastModifiedBy>
  <dcterms:created xsi:type="dcterms:W3CDTF">2026-03-10T12:42:32Z</dcterms:created>
  <dcterms:modified xsi:type="dcterms:W3CDTF">2026-04-07T21:02:09Z</dcterms:modified>
</cp:coreProperties>
</file>