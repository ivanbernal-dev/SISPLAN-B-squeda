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5E347AB-F0DA-428D-B780-832A2349DDE5}" xr6:coauthVersionLast="47" xr6:coauthVersionMax="47" xr10:uidLastSave="{00000000-0000-0000-0000-000000000000}"/>
  <bookViews>
    <workbookView xWindow="-108" yWindow="-108" windowWidth="23256" windowHeight="12456" xr2:uid="{DEC555ED-3C7F-4754-AEE8-4C543BD61D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17" i="1" l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73" i="1"/>
  <c r="R72" i="1"/>
  <c r="R71" i="1"/>
  <c r="R70" i="1"/>
  <c r="R69" i="1"/>
  <c r="R68" i="1"/>
  <c r="R67" i="1"/>
  <c r="R66" i="1"/>
  <c r="R65" i="1"/>
  <c r="R64" i="1"/>
  <c r="R63" i="1"/>
  <c r="R62" i="1"/>
  <c r="R85" i="1"/>
  <c r="R84" i="1"/>
  <c r="R83" i="1"/>
  <c r="R82" i="1"/>
  <c r="R81" i="1"/>
  <c r="R80" i="1"/>
  <c r="R79" i="1"/>
  <c r="R78" i="1"/>
  <c r="R77" i="1"/>
  <c r="R76" i="1"/>
  <c r="R75" i="1"/>
  <c r="R74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16" i="1"/>
  <c r="R15" i="1"/>
  <c r="R14" i="1"/>
  <c r="R24" i="1"/>
  <c r="R23" i="1"/>
  <c r="R22" i="1"/>
  <c r="R21" i="1"/>
  <c r="R20" i="1"/>
  <c r="R19" i="1"/>
  <c r="R18" i="1"/>
  <c r="R17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<sst xmlns="http://schemas.openxmlformats.org/spreadsheetml/2006/main" count="2917" uniqueCount="133">
  <si>
    <t>Mes de Reporte</t>
  </si>
  <si>
    <t>Línea estratégica</t>
  </si>
  <si>
    <t>Resultados Estratégico 2024 - 2028</t>
  </si>
  <si>
    <t>Resultado 2026</t>
  </si>
  <si>
    <t>Código del Producto</t>
  </si>
  <si>
    <t>Producto</t>
  </si>
  <si>
    <t>Objetivo del Producto</t>
  </si>
  <si>
    <t>Área Responsable</t>
  </si>
  <si>
    <t>Área implementadora o corresponsable 1</t>
  </si>
  <si>
    <t>Área implementadora o corresponsable 2</t>
  </si>
  <si>
    <t>Área implementadora o corresponsable 3</t>
  </si>
  <si>
    <t>Ejes y Actividades Clave</t>
  </si>
  <si>
    <t xml:space="preserve">Indicador </t>
  </si>
  <si>
    <t>Variable 1</t>
  </si>
  <si>
    <t>Reporte Cuantitativo Variable 1</t>
  </si>
  <si>
    <t>Variable 2</t>
  </si>
  <si>
    <t>Reporte Cuantitativo Variable 2</t>
  </si>
  <si>
    <t>Calculo formula</t>
  </si>
  <si>
    <t>Meta Anual</t>
  </si>
  <si>
    <t>Entregable</t>
  </si>
  <si>
    <t>Oficina Asesora de Comunicación y Pedagogía</t>
  </si>
  <si>
    <t>1.1 Producir y difundir formatos propios para visibilizar avances.</t>
  </si>
  <si>
    <t>1.2 Gestionar medios y prensa para mantener el tema en la agenda pública.</t>
  </si>
  <si>
    <t>1.3 Producir y emitir programas de radio regionales "La Conversa" y cápsulas informativas en emisoras comunitarias y regionales, seleccionadas según los Planes Regionales de Búsqueda.</t>
  </si>
  <si>
    <t>1.4 Realizar alianzas con influenciadores a partir del Mapeo y selección de inflenciadores territoriales para amplificar el mensaje.</t>
  </si>
  <si>
    <t>1.5 Divulgar la producción documental y videográfico de la UBPD destacando los logros de la búsqueda humanitaria.</t>
  </si>
  <si>
    <t>2.1 Realizar visitas guiadas (presenciales y virtuales) a los centros de abordaje y cementerios para explicar la labor forense y humanitaria (Pedagogía para la Identificación)</t>
  </si>
  <si>
    <t>2.2 Apoyar desde la acción pedagógica en el territorio el despliegue de la estrategia móvil "Ruta Buscadora"</t>
  </si>
  <si>
    <t>2.3 Participar en Eventos de Alto Impacto nacionales y territoriales para llevar la pedagogía a espacios de gran afluencia.</t>
  </si>
  <si>
    <t>2.4 Realizar acciones pedagógicas en el marco de la agenda conmemorativa 2026 
1. Día de las Manos Rojas – 12 de febrero. Conversatorio Museo Nacional
2. Día Nacional de las Víctimas del Conflicto Armado – 9 de abril. Lanzamiento revista fractales
3 Semana del Detenido Desaparecido – Última semana de mayo
4. Día Internacional de las Víctimas de Desapariciones Forzadas – 30 de agosto. Lanzamiento documental el Eco de sus voces
5. Día de Reconocimiento de las Mujeres Buscadoras – 23 de octubre. Carrera de la solidaridad con las mujeres buscadoras.
6. Día Internacional de los Derechos Humanos – 10 de diciembre</t>
  </si>
  <si>
    <t>3.1 Implementar la campaña "Con el corazón en la búsqueda" como estrategia de apropiación mediante espacios presenciales, reuniones virtuales y la instalación de piezas interactivas (dummies) en los GITT para fortalecer el sentido de pertenencia.</t>
  </si>
  <si>
    <t>3.2 Producir boletines segmentados como "Conexión UBPD" (general), "Contigo UBPD" (gestión humana), "Así nos vemos" (enfoque pedagógico) y boletines diarios rotativos entre territoriales y regionales.</t>
  </si>
  <si>
    <t>3.3 Crear productos para visibilización de narrativas internas de las acciones humanitarias</t>
  </si>
  <si>
    <t>3.4 Difundir lineamientos a través de "En sintonía" y cartas de la Directora para asegurar la coherencia institucional. (Comunicación estratégica)</t>
  </si>
  <si>
    <t>1.1 Recopilar, clasificar y validar metodológicamente las prácticas empíricas de las familias y la experiencia acumulada de los equipos forenses y de investigación
1.2 Identificar buenas prácticas y lecciones aprendidas.</t>
  </si>
  <si>
    <t>2.1 Integrar explícitamente los hallazgos de la sistematización dentro de los manuales, protocolos y lineamientos oficiales que rigen la búsqueda, transformando la memoria en insumo técnico.</t>
  </si>
  <si>
    <t>3.1 Diseñar y poner a disposición pública los recursos pedagógicos y metodológicos (físicos/digitales) derivados de la memoria
3.2 Capacitar a actores clave para garantizar la continuidad de la búsqueda.</t>
  </si>
  <si>
    <t>4.1. Estructurar los contenidos, guías didácticas y metodologías de evaluación que traducen los estándares de búsqueda en un programa de capacitación/entrenamiento, diferenciando niveles de complejidad (básico, intermedio, experto) para distintos actores.
4.2 Implementar las jornadas de entrenamiento y certificación donde expertos (internos y externos) transfieren las habilidades técnicas a funcionarios y organizaciones, asegurando que los participantes puedan aplicar los nuevos estándares de búsqueda.</t>
  </si>
  <si>
    <t>Número de productos "Así Avanzamos" producidos por regional.</t>
  </si>
  <si>
    <t>Número de espacios de relacionamiento con medios 
(ruedas de prensa, giras).</t>
  </si>
  <si>
    <t>Porcentaje de cumplimiento en la emisión de "La busqueda nos une " y cápsulas.</t>
  </si>
  <si>
    <t>Número de alianzas con influenciadores territoriales gestionadas.</t>
  </si>
  <si>
    <t>Número de lanzamientos de productos de alto nivel realizados.</t>
  </si>
  <si>
    <t>Porcentaje de implementación de la estrategia de visitas a centros de abordaje.</t>
  </si>
  <si>
    <t>Porcentaje de Rutas Buscadoras con acompañamiento pedagógico.</t>
  </si>
  <si>
    <t>Número de eventos de alto impacto con presencia pedagógica de la UBPD.</t>
  </si>
  <si>
    <t>Ejecución de la agenda pedagógica en fechas conmemorativas.</t>
  </si>
  <si>
    <t>Frecuencia de renovación de piezas interactivas (dummies/plotter) en GITT.</t>
  </si>
  <si>
    <t>Realización de espacios de alineación comunicativa.</t>
  </si>
  <si>
    <t>Porcentaje de prácticas priorizadas sistematizadas</t>
  </si>
  <si>
    <t>Número de instrumentos técnicos actualizados</t>
  </si>
  <si>
    <t>Porcentaje de avance en la Caja de Herramientas</t>
  </si>
  <si>
    <t>• 100% de las emisoras regionales y comunitarias priorizadas en los Planes Regionales emitieron los contenidos.</t>
  </si>
  <si>
    <t>• 27 alianzas (selección de un influenciador por cada territorial).</t>
  </si>
  <si>
    <t>• 1 Lanzamiento de Revista "Fractales" 10 de abril).
• 1 Lanzamiento externo de documental (30 de agosto).</t>
  </si>
  <si>
    <t>• Inicio de visitas (presenciales/virtuales) a partir de febrero 2026.</t>
  </si>
  <si>
    <t>• 100% de las rutas cuentan con un encargado de pedagogía y alistamiento previo.</t>
  </si>
  <si>
    <t>• Participación en 133 eventos (fiestas, festivales, ferias) propuestos por los GITT.</t>
  </si>
  <si>
    <t>Realización de acciones en:
• Semana del Detenido Desaparecido (Mayo).
• Día Int. Víctimas Desaparición (Agosto).
• Día Mujeres Buscadoras (Octubre).
• Día de las Manos Rojas (febrero).
• Día Nacional de las Víctimas del Conflicto Armado (Abril)
• Semana del Detenido Desaparecido (Junio)
• Día Internacional de las Víctimas de Desapariciones Forzadas (Agosto)
• Día de Reconocimiento de las Mujeres Buscadoras (Octubre).
• Día Internacional de los Derechos Humanos (Diciembre)</t>
  </si>
  <si>
    <t>• Cambio de piezas cada 2 meses (6 renovaciones al año). Sujeto a cemtral de mediios</t>
  </si>
  <si>
    <t>• Emisión semanal de: "Conexión UBPD" (martes), "Contigo UBPD" (miércoles), "Así nos vemos" (viernes).
• Emisión de ciclo rotativo diario de boletines territoriales/regionales. Horizonte de saberes</t>
  </si>
  <si>
    <t>• 27 historias (1 por cada GITT) para el "Cuaderno Viajero".
• Avance en el "Cancionero UBPD".</t>
  </si>
  <si>
    <t>• 10 Consejo de redacción con coordinaciones y comunicadores territoriales (última semana de cada mes).</t>
  </si>
  <si>
    <t>•100% de las prácticas priorizadas (estimado: 4 líneas temáticas críticas)</t>
  </si>
  <si>
    <t>• 3 Instrumentos clave actualizados</t>
  </si>
  <si>
    <t>• 100% (Caja de Herramientas diseñada, producida y disponible en canales públicos).</t>
  </si>
  <si>
    <t>• 1 Ruta de Formación completa con al menos 4 módulos temáticos especializados.
• Ciclos de formación/entrenamiento ejecutados (1 ciclo piloto + 3 ciclos territoriales)</t>
  </si>
  <si>
    <t>• Parrilla de programación radial.
• Certificaciones de emisión.</t>
  </si>
  <si>
    <t>• Mapeo de influenciadores.
• Evidencias de publicaciones conjuntas.</t>
  </si>
  <si>
    <t>• Eventos de lanzamiento realizados.
• Revista impresa/digital y documental publicado.</t>
  </si>
  <si>
    <t>• Guiones pedagógicos de las visitas.
• Registro de asistentes a las visitas.</t>
  </si>
  <si>
    <t>• Informes de acciones pedagógicas en las rutas.</t>
  </si>
  <si>
    <t>Registro fotográfico y/o de asistencia en stands/espacios pedagógicos..</t>
  </si>
  <si>
    <t>Registro fotográfico y/o de asistencia en stands/espacios pedagógicos.
*Guión de pedagogía del espacio (cuando aplique)</t>
  </si>
  <si>
    <t>Diseño
• Dummies y plotters instalados en sedes.
• Registro de actividades de apropiación.</t>
  </si>
  <si>
    <t>• Archivo digital de boletines enviados.</t>
  </si>
  <si>
    <t xml:space="preserve">• Videos/Crónicas del "Cuaderno Viajero".
</t>
  </si>
  <si>
    <t>• Actas o memorias de los consejos de redacción.
• Comunicados "En sintonía" enviados. y dos cartas a la directora (12)</t>
  </si>
  <si>
    <t>•Matriz Técnica de Lecciones Aprendidas: Documento final que compila, categoriza y valida técnicamente los hallazgos por región y tipología.</t>
  </si>
  <si>
    <t>• Documentos oficializados en el Modelo de Operación Por procesos de la Entidad - MOP</t>
  </si>
  <si>
    <t>• Kit "Legado de la Búsqueda"(Repositorio digital activo y set de materiales físicos distribuidos en territorios priorizados)</t>
  </si>
  <si>
    <t>• Malla Curricular y Guías Didácticas:
• Informes del proceso</t>
  </si>
  <si>
    <t>Número de productos "Así Avanzamos" producidos por regional Trimestre</t>
  </si>
  <si>
    <t>21 productos de difusión de avances y logros con enfoque regional</t>
  </si>
  <si>
    <t>Piezas gráficas y audiovisuales de los formatos por regional.</t>
  </si>
  <si>
    <t>Ejecución de agenda de medios según hitos (ej.., lanzamiento Fractales, Documental).</t>
  </si>
  <si>
    <t>Reportes de Free Press.
Archivo de publicaciones en medios.</t>
  </si>
  <si>
    <t>Número de espacios de relacionamiento con medios Trimestre
(ruedas de prensa, giras).</t>
  </si>
  <si>
    <t>Número de espacios de relacionamiento con medios programados en el Trimestre
(ruedas de prensa, giras).</t>
  </si>
  <si>
    <t>Productos "Así Avanzamos" producidos por regional programados para el Trimestre</t>
  </si>
  <si>
    <t>Porcentaje de cumplimiento en la emisión de "La busqueda nos une " y cápsulas Realizadas en el Trimestre</t>
  </si>
  <si>
    <t>Porcentaje de cumplimiento en la emisión de "La busqueda nos une " y cápsulas programadas en el Trimestre</t>
  </si>
  <si>
    <t>Número de alianzas con influenciadores territoriales gestionadasen el trimestre</t>
  </si>
  <si>
    <t>Número de alianzas con influenciadores territoriales programadas en el trimestre</t>
  </si>
  <si>
    <t>Número de lanzamientos de productos de alto nivel realizados en el trimestre</t>
  </si>
  <si>
    <t>Número de lanzamientos de productos de alto nivel  programados en el trimestre</t>
  </si>
  <si>
    <t>Porcentaje de Rutas Buscadoras con acompañamiento pedagógico ejecutados en el trimestre</t>
  </si>
  <si>
    <t>Porcentaje de Rutas Buscadoras con acompañamiento pedagógico programados en el trimestre</t>
  </si>
  <si>
    <t>Línea 4. Sensibilización, información y comunicación para la búsqueda</t>
  </si>
  <si>
    <t>R4. La UBPD es reconocida como la entidad líder en la búsqueda humanitaria, extrajudicial y participativa generando confianza y credibilidad, y aumentando la conciencia pública sobre el fenómeno de la desaparición.</t>
  </si>
  <si>
    <t>La UBPD ha logrado posicionar social y mediáticamente al 2026 como 'el año de la identificación', aumentando la conciencia pública sobre la urgencia de la investigación humanitaria y forense para brindar respuestas a las familias. Asimismo, cuenta con un talento humano alineado y cohesionado bajo la premisa 'Con el corazón en la búsqueda', garantizando una gestión coherente que contribuye de manera efectiva a la construcción de paz y al alivio del sufrimiento de las víctimas a diez años de la firma del Acuerdo.</t>
  </si>
  <si>
    <t>L4-P1-CP-2026</t>
  </si>
  <si>
    <t>Estrategia Integral de Comunicaciones y Pedagogía 2026</t>
  </si>
  <si>
    <t>Implementar una estrategia convergente con enfoque territorial y diferencial que consolide a la UBPD como líder legítimo en la acción humanitaria, mediante una Comunicación Masiva que posicione los logros de la búsqueda; una Comunicación Pedagógica que impulse la participación social y posicione la prioridad de la identificación y una Comunicación Interna que alinee al talento humano garantizando la coherencia institucional necesaria para aliviar el sufrimiento de las familias</t>
  </si>
  <si>
    <t>Enlaces de Comunicación en Territorio</t>
  </si>
  <si>
    <t>GITT</t>
  </si>
  <si>
    <t>Número de eventos de alto impacto con presencia pedagógica de la UBPD realizados en el trimestre</t>
  </si>
  <si>
    <t>Número de eventos de alto impacto con presencia pedagógica de la UBPD programados en el trimestre</t>
  </si>
  <si>
    <t>Acciones Realizadas en el Trimestre</t>
  </si>
  <si>
    <t>Acciones Programadas en el trimestre</t>
  </si>
  <si>
    <t>Renovaciones de piezas interactivas (dummies/plotter) en GITT en el Trimestre</t>
  </si>
  <si>
    <t>Renovaciones de piezas interactivas (dummies/plotter) en GITT programadas en el Trimestre</t>
  </si>
  <si>
    <t>% de avance en la publicación de boletines</t>
  </si>
  <si>
    <t>100% de avance en la publicación de boletines</t>
  </si>
  <si>
    <t>Porcentaje de cumplimiento del cronograma de eneviós de boletines</t>
  </si>
  <si>
    <t>Número de historias territoriales producidas para canales internos</t>
  </si>
  <si>
    <t>Número de historias territoriales producidas para canales internos en el trimestre</t>
  </si>
  <si>
    <t>Número de historias territoriales programadas para canales internos en el trimestre</t>
  </si>
  <si>
    <t>Número de espacios realizados de alineación comunicativa.</t>
  </si>
  <si>
    <t>Número de espacios programados de alineación comunicativa.</t>
  </si>
  <si>
    <t>Practicas priorizadas sistematizadas en el trimestre</t>
  </si>
  <si>
    <t>Practicas priorizadas sistematizadas programadas en el trimestre</t>
  </si>
  <si>
    <t>Número de instrumentos técnicos actualizados en el trimestre</t>
  </si>
  <si>
    <t>Número de instrumentos técnicos actualizados programados en el trimestre</t>
  </si>
  <si>
    <t>100% de la caja de herramientas</t>
  </si>
  <si>
    <t>% de avance en la caja de herramientas</t>
  </si>
  <si>
    <t>4.2 Implementar las jornadas de entrenamiento y certificación donde expertos (internos y externos) transfieren las habilidades técnicas a funcionarios y organizaciones, asegurando que los participantes puedan aplicar los nuevos estándares de búsqueda.
4.2 Implementar las jornadas de entrenamiento y certificación donde expertos (internos y externos) transfieren las habilidades técnicas a funcionarios y organizaciones, asegurando que los participantes puedan aplicar los nuevos estándares de búsqueda.</t>
  </si>
  <si>
    <t>Diseño Curricular Técnico aprobado</t>
  </si>
  <si>
    <t>Cobertura de cualificación</t>
  </si>
  <si>
    <t>Modulos Temáticos Especializados desarrollados en el trimestre</t>
  </si>
  <si>
    <t>Modulos Temáticos Especializados programados en el trimestre</t>
  </si>
  <si>
    <t>Ciclos de formación/entrenamiento ejecutados en el trimestre</t>
  </si>
  <si>
    <t>Ciclos de formación/entrenamiento progrmados en el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</si>
</sst>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Aveni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/>
    <xf numFmtId="17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5DA7-848B-408F-B03E-B447EC279B3B}">
  <dimension ref="A1:T217"/>
  <sheetViews>
    <sheetView tabSelected="1" topLeftCell="D194" workbookViewId="0">
      <selection activeCell="P207" sqref="P207:P217"/>
    </sheetView>
  </sheetViews>
  <sheetFormatPr baseColWidth="10" defaultRowHeight="14.4"/>
  <sheetData>
    <row r="1" spans="1:20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4">
        <v>46023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s">
        <v>20</v>
      </c>
      <c r="I2" t="s">
        <v>104</v>
      </c>
      <c r="J2" t="s">
        <v>105</v>
      </c>
      <c r="L2" t="s">
        <v>21</v>
      </c>
      <c r="M2" t="s">
        <v>38</v>
      </c>
      <c r="N2" t="s">
        <v>82</v>
      </c>
      <c r="P2" t="s">
        <v>89</v>
      </c>
      <c r="Q2">
        <v>2</v>
      </c>
      <c r="R2" s="5">
        <f>O2/Q2</f>
        <v>0</v>
      </c>
      <c r="S2" t="s">
        <v>83</v>
      </c>
      <c r="T2" t="s">
        <v>84</v>
      </c>
    </row>
    <row r="3" spans="1:20">
      <c r="A3" s="4">
        <v>46054</v>
      </c>
      <c r="B3" t="s">
        <v>98</v>
      </c>
      <c r="C3" t="s">
        <v>99</v>
      </c>
      <c r="D3" t="s">
        <v>100</v>
      </c>
      <c r="E3" t="s">
        <v>101</v>
      </c>
      <c r="F3" t="s">
        <v>102</v>
      </c>
      <c r="G3" t="s">
        <v>103</v>
      </c>
      <c r="H3" t="s">
        <v>20</v>
      </c>
      <c r="I3" t="s">
        <v>104</v>
      </c>
      <c r="J3" t="s">
        <v>105</v>
      </c>
      <c r="L3" t="s">
        <v>21</v>
      </c>
      <c r="M3" t="s">
        <v>38</v>
      </c>
      <c r="N3" t="s">
        <v>82</v>
      </c>
      <c r="P3" t="s">
        <v>89</v>
      </c>
      <c r="Q3">
        <v>2</v>
      </c>
      <c r="R3" s="5">
        <f>O3/Q3</f>
        <v>0</v>
      </c>
      <c r="S3" t="s">
        <v>83</v>
      </c>
      <c r="T3" t="s">
        <v>84</v>
      </c>
    </row>
    <row r="4" spans="1:20">
      <c r="A4" s="4">
        <v>46082</v>
      </c>
      <c r="B4" t="s">
        <v>98</v>
      </c>
      <c r="C4" t="s">
        <v>99</v>
      </c>
      <c r="D4" t="s">
        <v>100</v>
      </c>
      <c r="E4" t="s">
        <v>101</v>
      </c>
      <c r="F4" t="s">
        <v>102</v>
      </c>
      <c r="G4" t="s">
        <v>103</v>
      </c>
      <c r="H4" t="s">
        <v>20</v>
      </c>
      <c r="I4" t="s">
        <v>104</v>
      </c>
      <c r="J4" t="s">
        <v>105</v>
      </c>
      <c r="L4" t="s">
        <v>21</v>
      </c>
      <c r="M4" t="s">
        <v>38</v>
      </c>
      <c r="N4" t="s">
        <v>82</v>
      </c>
      <c r="P4" t="s">
        <v>89</v>
      </c>
      <c r="Q4">
        <v>2</v>
      </c>
      <c r="R4" s="5">
        <f>O4/Q4</f>
        <v>0</v>
      </c>
      <c r="S4" t="s">
        <v>83</v>
      </c>
      <c r="T4" t="s">
        <v>84</v>
      </c>
    </row>
    <row r="5" spans="1:20">
      <c r="A5" s="4">
        <v>46113</v>
      </c>
      <c r="B5" t="s">
        <v>98</v>
      </c>
      <c r="C5" t="s">
        <v>99</v>
      </c>
      <c r="D5" t="s">
        <v>100</v>
      </c>
      <c r="E5" t="s">
        <v>101</v>
      </c>
      <c r="F5" t="s">
        <v>102</v>
      </c>
      <c r="G5" t="s">
        <v>103</v>
      </c>
      <c r="H5" t="s">
        <v>20</v>
      </c>
      <c r="I5" t="s">
        <v>104</v>
      </c>
      <c r="J5" t="s">
        <v>105</v>
      </c>
      <c r="L5" t="s">
        <v>21</v>
      </c>
      <c r="M5" t="s">
        <v>38</v>
      </c>
      <c r="N5" t="s">
        <v>82</v>
      </c>
      <c r="P5" t="s">
        <v>89</v>
      </c>
      <c r="Q5">
        <v>2</v>
      </c>
      <c r="R5" s="5">
        <f t="shared" ref="R5:R24" si="0">O5/Q5</f>
        <v>0</v>
      </c>
      <c r="S5" t="s">
        <v>83</v>
      </c>
      <c r="T5" t="s">
        <v>84</v>
      </c>
    </row>
    <row r="6" spans="1:20">
      <c r="A6" s="4">
        <v>46143</v>
      </c>
      <c r="B6" t="s">
        <v>98</v>
      </c>
      <c r="C6" t="s">
        <v>99</v>
      </c>
      <c r="D6" t="s">
        <v>100</v>
      </c>
      <c r="E6" t="s">
        <v>101</v>
      </c>
      <c r="F6" t="s">
        <v>102</v>
      </c>
      <c r="G6" t="s">
        <v>103</v>
      </c>
      <c r="H6" t="s">
        <v>20</v>
      </c>
      <c r="I6" t="s">
        <v>104</v>
      </c>
      <c r="J6" t="s">
        <v>105</v>
      </c>
      <c r="L6" t="s">
        <v>21</v>
      </c>
      <c r="M6" t="s">
        <v>38</v>
      </c>
      <c r="N6" t="s">
        <v>82</v>
      </c>
      <c r="P6" t="s">
        <v>89</v>
      </c>
      <c r="Q6">
        <v>2</v>
      </c>
      <c r="R6" s="5">
        <f t="shared" si="0"/>
        <v>0</v>
      </c>
      <c r="S6" t="s">
        <v>83</v>
      </c>
      <c r="T6" t="s">
        <v>84</v>
      </c>
    </row>
    <row r="7" spans="1:20">
      <c r="A7" s="4">
        <v>46174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20</v>
      </c>
      <c r="I7" t="s">
        <v>104</v>
      </c>
      <c r="J7" t="s">
        <v>105</v>
      </c>
      <c r="L7" t="s">
        <v>21</v>
      </c>
      <c r="M7" t="s">
        <v>38</v>
      </c>
      <c r="N7" t="s">
        <v>82</v>
      </c>
      <c r="P7" t="s">
        <v>89</v>
      </c>
      <c r="Q7">
        <v>3</v>
      </c>
      <c r="R7" s="5">
        <f t="shared" si="0"/>
        <v>0</v>
      </c>
      <c r="S7" t="s">
        <v>83</v>
      </c>
      <c r="T7" t="s">
        <v>84</v>
      </c>
    </row>
    <row r="8" spans="1:20">
      <c r="A8" s="4">
        <v>46204</v>
      </c>
      <c r="B8" t="s">
        <v>98</v>
      </c>
      <c r="C8" t="s">
        <v>99</v>
      </c>
      <c r="D8" t="s">
        <v>100</v>
      </c>
      <c r="E8" t="s">
        <v>101</v>
      </c>
      <c r="F8" t="s">
        <v>102</v>
      </c>
      <c r="G8" t="s">
        <v>103</v>
      </c>
      <c r="H8" t="s">
        <v>20</v>
      </c>
      <c r="I8" t="s">
        <v>104</v>
      </c>
      <c r="J8" t="s">
        <v>105</v>
      </c>
      <c r="L8" t="s">
        <v>21</v>
      </c>
      <c r="M8" t="s">
        <v>38</v>
      </c>
      <c r="N8" t="s">
        <v>82</v>
      </c>
      <c r="P8" t="s">
        <v>89</v>
      </c>
      <c r="Q8">
        <v>2</v>
      </c>
      <c r="R8" s="5">
        <f t="shared" si="0"/>
        <v>0</v>
      </c>
      <c r="S8" t="s">
        <v>83</v>
      </c>
      <c r="T8" t="s">
        <v>84</v>
      </c>
    </row>
    <row r="9" spans="1:20">
      <c r="A9" s="4">
        <v>46235</v>
      </c>
      <c r="B9" t="s">
        <v>98</v>
      </c>
      <c r="C9" t="s">
        <v>99</v>
      </c>
      <c r="D9" t="s">
        <v>100</v>
      </c>
      <c r="E9" t="s">
        <v>101</v>
      </c>
      <c r="F9" t="s">
        <v>102</v>
      </c>
      <c r="G9" t="s">
        <v>103</v>
      </c>
      <c r="H9" t="s">
        <v>20</v>
      </c>
      <c r="I9" t="s">
        <v>104</v>
      </c>
      <c r="J9" t="s">
        <v>105</v>
      </c>
      <c r="L9" t="s">
        <v>21</v>
      </c>
      <c r="M9" t="s">
        <v>38</v>
      </c>
      <c r="N9" t="s">
        <v>82</v>
      </c>
      <c r="P9" t="s">
        <v>89</v>
      </c>
      <c r="Q9">
        <v>2</v>
      </c>
      <c r="R9" s="5">
        <f t="shared" si="0"/>
        <v>0</v>
      </c>
      <c r="S9" t="s">
        <v>83</v>
      </c>
      <c r="T9" t="s">
        <v>84</v>
      </c>
    </row>
    <row r="10" spans="1:20">
      <c r="A10" s="4">
        <v>46266</v>
      </c>
      <c r="B10" t="s">
        <v>98</v>
      </c>
      <c r="C10" t="s">
        <v>99</v>
      </c>
      <c r="D10" t="s">
        <v>100</v>
      </c>
      <c r="E10" t="s">
        <v>101</v>
      </c>
      <c r="F10" t="s">
        <v>102</v>
      </c>
      <c r="G10" t="s">
        <v>103</v>
      </c>
      <c r="H10" t="s">
        <v>20</v>
      </c>
      <c r="I10" t="s">
        <v>104</v>
      </c>
      <c r="J10" t="s">
        <v>105</v>
      </c>
      <c r="L10" t="s">
        <v>21</v>
      </c>
      <c r="M10" t="s">
        <v>38</v>
      </c>
      <c r="N10" t="s">
        <v>82</v>
      </c>
      <c r="P10" t="s">
        <v>89</v>
      </c>
      <c r="Q10">
        <v>3</v>
      </c>
      <c r="R10" s="5">
        <f t="shared" si="0"/>
        <v>0</v>
      </c>
      <c r="S10" t="s">
        <v>83</v>
      </c>
      <c r="T10" t="s">
        <v>84</v>
      </c>
    </row>
    <row r="11" spans="1:20">
      <c r="A11" s="4">
        <v>46296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20</v>
      </c>
      <c r="I11" t="s">
        <v>104</v>
      </c>
      <c r="J11" t="s">
        <v>105</v>
      </c>
      <c r="L11" t="s">
        <v>21</v>
      </c>
      <c r="M11" t="s">
        <v>38</v>
      </c>
      <c r="N11" t="s">
        <v>82</v>
      </c>
      <c r="P11" t="s">
        <v>89</v>
      </c>
      <c r="Q11">
        <v>2</v>
      </c>
      <c r="R11" s="5">
        <f t="shared" si="0"/>
        <v>0</v>
      </c>
      <c r="S11" t="s">
        <v>83</v>
      </c>
      <c r="T11" t="s">
        <v>84</v>
      </c>
    </row>
    <row r="12" spans="1:20">
      <c r="A12" s="4">
        <v>46327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103</v>
      </c>
      <c r="H12" t="s">
        <v>20</v>
      </c>
      <c r="I12" t="s">
        <v>104</v>
      </c>
      <c r="J12" t="s">
        <v>105</v>
      </c>
      <c r="L12" t="s">
        <v>21</v>
      </c>
      <c r="M12" t="s">
        <v>38</v>
      </c>
      <c r="N12" t="s">
        <v>82</v>
      </c>
      <c r="P12" t="s">
        <v>89</v>
      </c>
      <c r="Q12">
        <v>2</v>
      </c>
      <c r="R12" s="5">
        <f t="shared" si="0"/>
        <v>0</v>
      </c>
      <c r="S12" t="s">
        <v>83</v>
      </c>
      <c r="T12" t="s">
        <v>84</v>
      </c>
    </row>
    <row r="13" spans="1:20">
      <c r="A13" s="4">
        <v>46357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103</v>
      </c>
      <c r="H13" t="s">
        <v>20</v>
      </c>
      <c r="I13" t="s">
        <v>104</v>
      </c>
      <c r="J13" t="s">
        <v>105</v>
      </c>
      <c r="L13" t="s">
        <v>21</v>
      </c>
      <c r="M13" t="s">
        <v>38</v>
      </c>
      <c r="N13" t="s">
        <v>82</v>
      </c>
      <c r="P13" t="s">
        <v>89</v>
      </c>
      <c r="Q13">
        <v>1</v>
      </c>
      <c r="R13" s="5">
        <f t="shared" si="0"/>
        <v>0</v>
      </c>
      <c r="S13" t="s">
        <v>83</v>
      </c>
      <c r="T13" t="s">
        <v>84</v>
      </c>
    </row>
    <row r="14" spans="1:20">
      <c r="A14" s="4">
        <v>46023</v>
      </c>
      <c r="B14" t="s">
        <v>98</v>
      </c>
      <c r="C14" t="s">
        <v>99</v>
      </c>
      <c r="D14" t="s">
        <v>100</v>
      </c>
      <c r="E14" t="s">
        <v>101</v>
      </c>
      <c r="F14" t="s">
        <v>102</v>
      </c>
      <c r="G14" t="s">
        <v>103</v>
      </c>
      <c r="H14" t="s">
        <v>20</v>
      </c>
      <c r="I14" t="s">
        <v>104</v>
      </c>
      <c r="J14" t="s">
        <v>105</v>
      </c>
      <c r="L14" t="s">
        <v>22</v>
      </c>
      <c r="M14" s="3" t="s">
        <v>39</v>
      </c>
      <c r="N14" s="3" t="s">
        <v>87</v>
      </c>
      <c r="P14" s="3" t="s">
        <v>88</v>
      </c>
      <c r="Q14">
        <v>0</v>
      </c>
      <c r="R14" s="5">
        <f>IFERROR(O14/Q14,0%)</f>
        <v>0</v>
      </c>
      <c r="S14" s="3" t="s">
        <v>85</v>
      </c>
      <c r="T14" s="3" t="s">
        <v>86</v>
      </c>
    </row>
    <row r="15" spans="1:20">
      <c r="A15" s="4">
        <v>46054</v>
      </c>
      <c r="B15" t="s">
        <v>98</v>
      </c>
      <c r="C15" t="s">
        <v>99</v>
      </c>
      <c r="D15" t="s">
        <v>100</v>
      </c>
      <c r="E15" t="s">
        <v>101</v>
      </c>
      <c r="F15" t="s">
        <v>102</v>
      </c>
      <c r="G15" t="s">
        <v>103</v>
      </c>
      <c r="H15" t="s">
        <v>20</v>
      </c>
      <c r="I15" t="s">
        <v>104</v>
      </c>
      <c r="J15" t="s">
        <v>105</v>
      </c>
      <c r="L15" t="s">
        <v>22</v>
      </c>
      <c r="M15" s="3" t="s">
        <v>39</v>
      </c>
      <c r="N15" s="3" t="s">
        <v>87</v>
      </c>
      <c r="P15" s="3" t="s">
        <v>88</v>
      </c>
      <c r="Q15">
        <v>0</v>
      </c>
      <c r="R15" s="5">
        <f>IFERROR(O15/Q15,0%)</f>
        <v>0</v>
      </c>
      <c r="S15" s="3"/>
      <c r="T15" s="3"/>
    </row>
    <row r="16" spans="1:20">
      <c r="A16" s="4">
        <v>46082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20</v>
      </c>
      <c r="I16" t="s">
        <v>104</v>
      </c>
      <c r="J16" t="s">
        <v>105</v>
      </c>
      <c r="L16" t="s">
        <v>22</v>
      </c>
      <c r="M16" s="3" t="s">
        <v>39</v>
      </c>
      <c r="N16" s="3" t="s">
        <v>87</v>
      </c>
      <c r="P16" s="3" t="s">
        <v>88</v>
      </c>
      <c r="Q16">
        <v>0</v>
      </c>
      <c r="R16" s="5">
        <f>IFERROR(O16/Q16,0%)</f>
        <v>0</v>
      </c>
      <c r="S16" s="3"/>
      <c r="T16" s="3"/>
    </row>
    <row r="17" spans="1:20">
      <c r="A17" s="4">
        <v>46113</v>
      </c>
      <c r="B17" t="s">
        <v>98</v>
      </c>
      <c r="C17" t="s">
        <v>99</v>
      </c>
      <c r="D17" t="s">
        <v>100</v>
      </c>
      <c r="E17" t="s">
        <v>101</v>
      </c>
      <c r="F17" t="s">
        <v>102</v>
      </c>
      <c r="G17" t="s">
        <v>103</v>
      </c>
      <c r="H17" t="s">
        <v>20</v>
      </c>
      <c r="I17" t="s">
        <v>104</v>
      </c>
      <c r="J17" t="s">
        <v>105</v>
      </c>
      <c r="L17" t="s">
        <v>22</v>
      </c>
      <c r="M17" s="3" t="s">
        <v>39</v>
      </c>
      <c r="N17" s="3" t="s">
        <v>87</v>
      </c>
      <c r="P17" s="3" t="s">
        <v>88</v>
      </c>
      <c r="Q17">
        <v>1</v>
      </c>
      <c r="R17" s="5">
        <f t="shared" si="0"/>
        <v>0</v>
      </c>
      <c r="S17" s="3"/>
      <c r="T17" s="3"/>
    </row>
    <row r="18" spans="1:20">
      <c r="A18" s="4">
        <v>46143</v>
      </c>
      <c r="B18" t="s">
        <v>98</v>
      </c>
      <c r="C18" t="s">
        <v>99</v>
      </c>
      <c r="D18" t="s">
        <v>100</v>
      </c>
      <c r="E18" t="s">
        <v>101</v>
      </c>
      <c r="F18" t="s">
        <v>102</v>
      </c>
      <c r="G18" t="s">
        <v>103</v>
      </c>
      <c r="H18" t="s">
        <v>20</v>
      </c>
      <c r="I18" t="s">
        <v>104</v>
      </c>
      <c r="J18" t="s">
        <v>105</v>
      </c>
      <c r="L18" t="s">
        <v>22</v>
      </c>
      <c r="M18" s="3" t="s">
        <v>39</v>
      </c>
      <c r="N18" s="3" t="s">
        <v>87</v>
      </c>
      <c r="P18" s="3" t="s">
        <v>88</v>
      </c>
      <c r="Q18">
        <v>1</v>
      </c>
      <c r="R18" s="5">
        <f t="shared" si="0"/>
        <v>0</v>
      </c>
      <c r="S18" s="3"/>
      <c r="T18" s="3"/>
    </row>
    <row r="19" spans="1:20">
      <c r="A19" s="4">
        <v>46174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  <c r="G19" t="s">
        <v>103</v>
      </c>
      <c r="H19" t="s">
        <v>20</v>
      </c>
      <c r="I19" t="s">
        <v>104</v>
      </c>
      <c r="J19" t="s">
        <v>105</v>
      </c>
      <c r="L19" t="s">
        <v>22</v>
      </c>
      <c r="M19" s="3" t="s">
        <v>39</v>
      </c>
      <c r="N19" s="3" t="s">
        <v>87</v>
      </c>
      <c r="P19" s="3" t="s">
        <v>88</v>
      </c>
      <c r="Q19">
        <v>1</v>
      </c>
      <c r="R19" s="5">
        <f t="shared" si="0"/>
        <v>0</v>
      </c>
      <c r="S19" s="3"/>
      <c r="T19" s="3"/>
    </row>
    <row r="20" spans="1:20">
      <c r="A20" s="4">
        <v>46204</v>
      </c>
      <c r="B20" t="s">
        <v>98</v>
      </c>
      <c r="C20" t="s">
        <v>99</v>
      </c>
      <c r="D20" t="s">
        <v>100</v>
      </c>
      <c r="E20" t="s">
        <v>101</v>
      </c>
      <c r="F20" t="s">
        <v>102</v>
      </c>
      <c r="G20" t="s">
        <v>103</v>
      </c>
      <c r="H20" t="s">
        <v>20</v>
      </c>
      <c r="I20" t="s">
        <v>104</v>
      </c>
      <c r="J20" t="s">
        <v>105</v>
      </c>
      <c r="L20" t="s">
        <v>22</v>
      </c>
      <c r="M20" s="3" t="s">
        <v>39</v>
      </c>
      <c r="N20" s="3" t="s">
        <v>87</v>
      </c>
      <c r="P20" s="3" t="s">
        <v>88</v>
      </c>
      <c r="Q20">
        <v>1</v>
      </c>
      <c r="R20" s="5">
        <f t="shared" si="0"/>
        <v>0</v>
      </c>
      <c r="S20" s="3"/>
      <c r="T20" s="3"/>
    </row>
    <row r="21" spans="1:20">
      <c r="A21" s="4">
        <v>46235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  <c r="G21" t="s">
        <v>103</v>
      </c>
      <c r="H21" t="s">
        <v>20</v>
      </c>
      <c r="I21" t="s">
        <v>104</v>
      </c>
      <c r="J21" t="s">
        <v>105</v>
      </c>
      <c r="L21" t="s">
        <v>22</v>
      </c>
      <c r="M21" s="3" t="s">
        <v>39</v>
      </c>
      <c r="N21" s="3" t="s">
        <v>87</v>
      </c>
      <c r="P21" s="3" t="s">
        <v>88</v>
      </c>
      <c r="Q21">
        <v>1</v>
      </c>
      <c r="R21" s="5">
        <f t="shared" si="0"/>
        <v>0</v>
      </c>
      <c r="S21" s="3"/>
      <c r="T21" s="3"/>
    </row>
    <row r="22" spans="1:20">
      <c r="A22" s="4">
        <v>46266</v>
      </c>
      <c r="B22" t="s">
        <v>98</v>
      </c>
      <c r="C22" t="s">
        <v>99</v>
      </c>
      <c r="D22" t="s">
        <v>100</v>
      </c>
      <c r="E22" t="s">
        <v>101</v>
      </c>
      <c r="F22" t="s">
        <v>102</v>
      </c>
      <c r="G22" t="s">
        <v>103</v>
      </c>
      <c r="H22" t="s">
        <v>20</v>
      </c>
      <c r="I22" t="s">
        <v>104</v>
      </c>
      <c r="J22" t="s">
        <v>105</v>
      </c>
      <c r="L22" t="s">
        <v>22</v>
      </c>
      <c r="M22" s="3" t="s">
        <v>39</v>
      </c>
      <c r="N22" s="3" t="s">
        <v>87</v>
      </c>
      <c r="P22" s="3" t="s">
        <v>88</v>
      </c>
      <c r="Q22">
        <v>1</v>
      </c>
      <c r="R22" s="5">
        <f t="shared" si="0"/>
        <v>0</v>
      </c>
      <c r="S22" s="3"/>
      <c r="T22" s="3"/>
    </row>
    <row r="23" spans="1:20">
      <c r="A23" s="4">
        <v>46296</v>
      </c>
      <c r="B23" t="s">
        <v>98</v>
      </c>
      <c r="C23" t="s">
        <v>99</v>
      </c>
      <c r="D23" t="s">
        <v>100</v>
      </c>
      <c r="E23" t="s">
        <v>101</v>
      </c>
      <c r="F23" t="s">
        <v>102</v>
      </c>
      <c r="G23" t="s">
        <v>103</v>
      </c>
      <c r="H23" t="s">
        <v>20</v>
      </c>
      <c r="I23" t="s">
        <v>104</v>
      </c>
      <c r="J23" t="s">
        <v>105</v>
      </c>
      <c r="L23" t="s">
        <v>22</v>
      </c>
      <c r="M23" s="3" t="s">
        <v>39</v>
      </c>
      <c r="N23" s="3" t="s">
        <v>87</v>
      </c>
      <c r="P23" s="3" t="s">
        <v>88</v>
      </c>
      <c r="Q23">
        <v>1</v>
      </c>
      <c r="R23" s="5">
        <f t="shared" si="0"/>
        <v>0</v>
      </c>
      <c r="S23" s="3"/>
      <c r="T23" s="3"/>
    </row>
    <row r="24" spans="1:20">
      <c r="A24" s="4">
        <v>46327</v>
      </c>
      <c r="B24" t="s">
        <v>98</v>
      </c>
      <c r="C24" t="s">
        <v>99</v>
      </c>
      <c r="D24" t="s">
        <v>100</v>
      </c>
      <c r="E24" t="s">
        <v>101</v>
      </c>
      <c r="F24" t="s">
        <v>102</v>
      </c>
      <c r="G24" t="s">
        <v>103</v>
      </c>
      <c r="H24" t="s">
        <v>20</v>
      </c>
      <c r="I24" t="s">
        <v>104</v>
      </c>
      <c r="J24" t="s">
        <v>105</v>
      </c>
      <c r="L24" t="s">
        <v>22</v>
      </c>
      <c r="M24" s="3" t="s">
        <v>39</v>
      </c>
      <c r="N24" s="3" t="s">
        <v>87</v>
      </c>
      <c r="P24" s="3" t="s">
        <v>88</v>
      </c>
      <c r="Q24">
        <v>1</v>
      </c>
      <c r="R24" s="5">
        <f t="shared" si="0"/>
        <v>0</v>
      </c>
      <c r="S24" s="3"/>
      <c r="T24" s="3"/>
    </row>
    <row r="25" spans="1:20">
      <c r="A25" s="4">
        <v>46357</v>
      </c>
      <c r="B25" t="s">
        <v>98</v>
      </c>
      <c r="C25" t="s">
        <v>99</v>
      </c>
      <c r="D25" t="s">
        <v>100</v>
      </c>
      <c r="E25" t="s">
        <v>101</v>
      </c>
      <c r="F25" t="s">
        <v>102</v>
      </c>
      <c r="G25" t="s">
        <v>103</v>
      </c>
      <c r="H25" t="s">
        <v>20</v>
      </c>
      <c r="I25" t="s">
        <v>104</v>
      </c>
      <c r="J25" t="s">
        <v>105</v>
      </c>
      <c r="L25" t="s">
        <v>22</v>
      </c>
      <c r="M25" s="3" t="s">
        <v>39</v>
      </c>
      <c r="N25" s="3" t="s">
        <v>87</v>
      </c>
      <c r="P25" s="3" t="s">
        <v>88</v>
      </c>
      <c r="Q25">
        <v>0</v>
      </c>
      <c r="R25" s="5">
        <f>IFERROR(O25/Q25,0%)</f>
        <v>0</v>
      </c>
      <c r="S25" s="3"/>
      <c r="T25" s="3"/>
    </row>
    <row r="26" spans="1:20">
      <c r="A26" s="4">
        <v>46023</v>
      </c>
      <c r="B26" t="s">
        <v>98</v>
      </c>
      <c r="C26" t="s">
        <v>99</v>
      </c>
      <c r="D26" t="s">
        <v>100</v>
      </c>
      <c r="E26" t="s">
        <v>101</v>
      </c>
      <c r="F26" t="s">
        <v>102</v>
      </c>
      <c r="G26" t="s">
        <v>103</v>
      </c>
      <c r="H26" t="s">
        <v>20</v>
      </c>
      <c r="I26" t="s">
        <v>104</v>
      </c>
      <c r="J26" t="s">
        <v>105</v>
      </c>
      <c r="L26" t="s">
        <v>23</v>
      </c>
      <c r="M26" t="s">
        <v>40</v>
      </c>
      <c r="N26" s="3" t="s">
        <v>90</v>
      </c>
      <c r="P26" s="3" t="s">
        <v>91</v>
      </c>
      <c r="R26" s="5">
        <f t="shared" ref="R26:R73" si="1">IFERROR(O26/Q26,0%)</f>
        <v>0</v>
      </c>
      <c r="S26" t="s">
        <v>52</v>
      </c>
      <c r="T26" t="s">
        <v>67</v>
      </c>
    </row>
    <row r="27" spans="1:20">
      <c r="A27" s="4">
        <v>46054</v>
      </c>
      <c r="B27" t="s">
        <v>98</v>
      </c>
      <c r="C27" t="s">
        <v>99</v>
      </c>
      <c r="D27" t="s">
        <v>100</v>
      </c>
      <c r="E27" t="s">
        <v>101</v>
      </c>
      <c r="F27" t="s">
        <v>102</v>
      </c>
      <c r="G27" t="s">
        <v>103</v>
      </c>
      <c r="H27" t="s">
        <v>20</v>
      </c>
      <c r="I27" t="s">
        <v>104</v>
      </c>
      <c r="J27" t="s">
        <v>105</v>
      </c>
      <c r="L27" t="s">
        <v>23</v>
      </c>
      <c r="M27" t="s">
        <v>40</v>
      </c>
      <c r="P27" s="3" t="s">
        <v>91</v>
      </c>
      <c r="R27" s="5">
        <f t="shared" si="1"/>
        <v>0</v>
      </c>
    </row>
    <row r="28" spans="1:20">
      <c r="A28" s="4">
        <v>46082</v>
      </c>
      <c r="B28" t="s">
        <v>98</v>
      </c>
      <c r="C28" t="s">
        <v>99</v>
      </c>
      <c r="D28" t="s">
        <v>100</v>
      </c>
      <c r="E28" t="s">
        <v>101</v>
      </c>
      <c r="F28" t="s">
        <v>102</v>
      </c>
      <c r="G28" t="s">
        <v>103</v>
      </c>
      <c r="H28" t="s">
        <v>20</v>
      </c>
      <c r="I28" t="s">
        <v>104</v>
      </c>
      <c r="J28" t="s">
        <v>105</v>
      </c>
      <c r="L28" t="s">
        <v>23</v>
      </c>
      <c r="M28" t="s">
        <v>40</v>
      </c>
      <c r="P28" s="3" t="s">
        <v>91</v>
      </c>
      <c r="R28" s="5">
        <f t="shared" si="1"/>
        <v>0</v>
      </c>
    </row>
    <row r="29" spans="1:20">
      <c r="A29" s="4">
        <v>46113</v>
      </c>
      <c r="B29" t="s">
        <v>98</v>
      </c>
      <c r="C29" t="s">
        <v>99</v>
      </c>
      <c r="D29" t="s">
        <v>100</v>
      </c>
      <c r="E29" t="s">
        <v>101</v>
      </c>
      <c r="F29" t="s">
        <v>102</v>
      </c>
      <c r="G29" t="s">
        <v>103</v>
      </c>
      <c r="H29" t="s">
        <v>20</v>
      </c>
      <c r="I29" t="s">
        <v>104</v>
      </c>
      <c r="J29" t="s">
        <v>105</v>
      </c>
      <c r="L29" t="s">
        <v>23</v>
      </c>
      <c r="M29" t="s">
        <v>40</v>
      </c>
      <c r="P29" s="3" t="s">
        <v>91</v>
      </c>
      <c r="R29" s="5">
        <f t="shared" si="1"/>
        <v>0</v>
      </c>
    </row>
    <row r="30" spans="1:20">
      <c r="A30" s="4">
        <v>46143</v>
      </c>
      <c r="B30" t="s">
        <v>98</v>
      </c>
      <c r="C30" t="s">
        <v>99</v>
      </c>
      <c r="D30" t="s">
        <v>100</v>
      </c>
      <c r="E30" t="s">
        <v>101</v>
      </c>
      <c r="F30" t="s">
        <v>102</v>
      </c>
      <c r="G30" t="s">
        <v>103</v>
      </c>
      <c r="H30" t="s">
        <v>20</v>
      </c>
      <c r="I30" t="s">
        <v>104</v>
      </c>
      <c r="J30" t="s">
        <v>105</v>
      </c>
      <c r="L30" t="s">
        <v>23</v>
      </c>
      <c r="M30" t="s">
        <v>40</v>
      </c>
      <c r="P30" s="3" t="s">
        <v>91</v>
      </c>
      <c r="R30" s="5">
        <f t="shared" si="1"/>
        <v>0</v>
      </c>
    </row>
    <row r="31" spans="1:20">
      <c r="A31" s="4">
        <v>46174</v>
      </c>
      <c r="B31" t="s">
        <v>98</v>
      </c>
      <c r="C31" t="s">
        <v>99</v>
      </c>
      <c r="D31" t="s">
        <v>100</v>
      </c>
      <c r="E31" t="s">
        <v>101</v>
      </c>
      <c r="F31" t="s">
        <v>102</v>
      </c>
      <c r="G31" t="s">
        <v>103</v>
      </c>
      <c r="H31" t="s">
        <v>20</v>
      </c>
      <c r="I31" t="s">
        <v>104</v>
      </c>
      <c r="J31" t="s">
        <v>105</v>
      </c>
      <c r="L31" t="s">
        <v>23</v>
      </c>
      <c r="M31" t="s">
        <v>40</v>
      </c>
      <c r="P31" s="3" t="s">
        <v>91</v>
      </c>
      <c r="R31" s="5">
        <f t="shared" si="1"/>
        <v>0</v>
      </c>
    </row>
    <row r="32" spans="1:20">
      <c r="A32" s="4">
        <v>46204</v>
      </c>
      <c r="B32" t="s">
        <v>98</v>
      </c>
      <c r="C32" t="s">
        <v>99</v>
      </c>
      <c r="D32" t="s">
        <v>100</v>
      </c>
      <c r="E32" t="s">
        <v>101</v>
      </c>
      <c r="F32" t="s">
        <v>102</v>
      </c>
      <c r="G32" t="s">
        <v>103</v>
      </c>
      <c r="H32" t="s">
        <v>20</v>
      </c>
      <c r="I32" t="s">
        <v>104</v>
      </c>
      <c r="J32" t="s">
        <v>105</v>
      </c>
      <c r="L32" t="s">
        <v>23</v>
      </c>
      <c r="M32" t="s">
        <v>40</v>
      </c>
      <c r="P32" s="3" t="s">
        <v>91</v>
      </c>
      <c r="R32" s="5">
        <f t="shared" si="1"/>
        <v>0</v>
      </c>
    </row>
    <row r="33" spans="1:20">
      <c r="A33" s="4">
        <v>46235</v>
      </c>
      <c r="B33" t="s">
        <v>98</v>
      </c>
      <c r="C33" t="s">
        <v>99</v>
      </c>
      <c r="D33" t="s">
        <v>100</v>
      </c>
      <c r="E33" t="s">
        <v>101</v>
      </c>
      <c r="F33" t="s">
        <v>102</v>
      </c>
      <c r="G33" t="s">
        <v>103</v>
      </c>
      <c r="H33" t="s">
        <v>20</v>
      </c>
      <c r="I33" t="s">
        <v>104</v>
      </c>
      <c r="J33" t="s">
        <v>105</v>
      </c>
      <c r="L33" t="s">
        <v>23</v>
      </c>
      <c r="M33" t="s">
        <v>40</v>
      </c>
      <c r="P33" s="3" t="s">
        <v>91</v>
      </c>
      <c r="R33" s="5">
        <f t="shared" si="1"/>
        <v>0</v>
      </c>
    </row>
    <row r="34" spans="1:20">
      <c r="A34" s="4">
        <v>46266</v>
      </c>
      <c r="B34" t="s">
        <v>98</v>
      </c>
      <c r="C34" t="s">
        <v>99</v>
      </c>
      <c r="D34" t="s">
        <v>100</v>
      </c>
      <c r="E34" t="s">
        <v>101</v>
      </c>
      <c r="F34" t="s">
        <v>102</v>
      </c>
      <c r="G34" t="s">
        <v>103</v>
      </c>
      <c r="H34" t="s">
        <v>20</v>
      </c>
      <c r="I34" t="s">
        <v>104</v>
      </c>
      <c r="J34" t="s">
        <v>105</v>
      </c>
      <c r="L34" t="s">
        <v>23</v>
      </c>
      <c r="M34" t="s">
        <v>40</v>
      </c>
      <c r="P34" s="3" t="s">
        <v>91</v>
      </c>
      <c r="R34" s="5">
        <f t="shared" si="1"/>
        <v>0</v>
      </c>
    </row>
    <row r="35" spans="1:20">
      <c r="A35" s="4">
        <v>46296</v>
      </c>
      <c r="B35" t="s">
        <v>98</v>
      </c>
      <c r="C35" t="s">
        <v>99</v>
      </c>
      <c r="D35" t="s">
        <v>100</v>
      </c>
      <c r="E35" t="s">
        <v>101</v>
      </c>
      <c r="F35" t="s">
        <v>102</v>
      </c>
      <c r="G35" t="s">
        <v>103</v>
      </c>
      <c r="H35" t="s">
        <v>20</v>
      </c>
      <c r="I35" t="s">
        <v>104</v>
      </c>
      <c r="J35" t="s">
        <v>105</v>
      </c>
      <c r="L35" t="s">
        <v>23</v>
      </c>
      <c r="M35" t="s">
        <v>40</v>
      </c>
      <c r="P35" s="3" t="s">
        <v>91</v>
      </c>
      <c r="R35" s="5">
        <f t="shared" si="1"/>
        <v>0</v>
      </c>
    </row>
    <row r="36" spans="1:20">
      <c r="A36" s="4">
        <v>46327</v>
      </c>
      <c r="B36" t="s">
        <v>98</v>
      </c>
      <c r="C36" t="s">
        <v>99</v>
      </c>
      <c r="D36" t="s">
        <v>100</v>
      </c>
      <c r="E36" t="s">
        <v>101</v>
      </c>
      <c r="F36" t="s">
        <v>102</v>
      </c>
      <c r="G36" t="s">
        <v>103</v>
      </c>
      <c r="H36" t="s">
        <v>20</v>
      </c>
      <c r="I36" t="s">
        <v>104</v>
      </c>
      <c r="J36" t="s">
        <v>105</v>
      </c>
      <c r="L36" t="s">
        <v>23</v>
      </c>
      <c r="M36" t="s">
        <v>40</v>
      </c>
      <c r="P36" s="3" t="s">
        <v>91</v>
      </c>
      <c r="R36" s="5">
        <f t="shared" si="1"/>
        <v>0</v>
      </c>
    </row>
    <row r="37" spans="1:20">
      <c r="A37" s="4">
        <v>46357</v>
      </c>
      <c r="B37" t="s">
        <v>98</v>
      </c>
      <c r="C37" t="s">
        <v>99</v>
      </c>
      <c r="D37" t="s">
        <v>100</v>
      </c>
      <c r="E37" t="s">
        <v>101</v>
      </c>
      <c r="F37" t="s">
        <v>102</v>
      </c>
      <c r="G37" t="s">
        <v>103</v>
      </c>
      <c r="H37" t="s">
        <v>20</v>
      </c>
      <c r="I37" t="s">
        <v>104</v>
      </c>
      <c r="J37" t="s">
        <v>105</v>
      </c>
      <c r="L37" t="s">
        <v>23</v>
      </c>
      <c r="M37" t="s">
        <v>40</v>
      </c>
      <c r="P37" s="3" t="s">
        <v>91</v>
      </c>
      <c r="R37" s="5">
        <f t="shared" si="1"/>
        <v>0</v>
      </c>
    </row>
    <row r="38" spans="1:20">
      <c r="A38" s="4">
        <v>46023</v>
      </c>
      <c r="B38" t="s">
        <v>98</v>
      </c>
      <c r="C38" t="s">
        <v>99</v>
      </c>
      <c r="D38" t="s">
        <v>100</v>
      </c>
      <c r="E38" t="s">
        <v>101</v>
      </c>
      <c r="F38" t="s">
        <v>102</v>
      </c>
      <c r="G38" t="s">
        <v>103</v>
      </c>
      <c r="H38" t="s">
        <v>20</v>
      </c>
      <c r="I38" t="s">
        <v>104</v>
      </c>
      <c r="J38" t="s">
        <v>105</v>
      </c>
      <c r="L38" t="s">
        <v>24</v>
      </c>
      <c r="M38" t="s">
        <v>41</v>
      </c>
      <c r="N38" t="s">
        <v>92</v>
      </c>
      <c r="P38" t="s">
        <v>93</v>
      </c>
      <c r="Q38">
        <v>0</v>
      </c>
      <c r="R38" s="5">
        <f t="shared" si="1"/>
        <v>0</v>
      </c>
      <c r="S38" t="s">
        <v>53</v>
      </c>
      <c r="T38" t="s">
        <v>68</v>
      </c>
    </row>
    <row r="39" spans="1:20">
      <c r="A39" s="4">
        <v>46054</v>
      </c>
      <c r="B39" t="s">
        <v>98</v>
      </c>
      <c r="C39" t="s">
        <v>99</v>
      </c>
      <c r="D39" t="s">
        <v>100</v>
      </c>
      <c r="E39" t="s">
        <v>101</v>
      </c>
      <c r="F39" t="s">
        <v>102</v>
      </c>
      <c r="G39" t="s">
        <v>103</v>
      </c>
      <c r="H39" t="s">
        <v>20</v>
      </c>
      <c r="I39" t="s">
        <v>104</v>
      </c>
      <c r="J39" t="s">
        <v>105</v>
      </c>
      <c r="L39" t="s">
        <v>24</v>
      </c>
      <c r="M39" t="s">
        <v>41</v>
      </c>
      <c r="N39" t="s">
        <v>92</v>
      </c>
      <c r="P39" t="s">
        <v>93</v>
      </c>
      <c r="Q39">
        <v>0</v>
      </c>
      <c r="R39" s="5">
        <f t="shared" si="1"/>
        <v>0</v>
      </c>
    </row>
    <row r="40" spans="1:20">
      <c r="A40" s="4">
        <v>46082</v>
      </c>
      <c r="B40" t="s">
        <v>98</v>
      </c>
      <c r="C40" t="s">
        <v>99</v>
      </c>
      <c r="D40" t="s">
        <v>100</v>
      </c>
      <c r="E40" t="s">
        <v>101</v>
      </c>
      <c r="F40" t="s">
        <v>102</v>
      </c>
      <c r="G40" t="s">
        <v>103</v>
      </c>
      <c r="H40" t="s">
        <v>20</v>
      </c>
      <c r="I40" t="s">
        <v>104</v>
      </c>
      <c r="J40" t="s">
        <v>105</v>
      </c>
      <c r="L40" t="s">
        <v>24</v>
      </c>
      <c r="M40" t="s">
        <v>41</v>
      </c>
      <c r="N40" t="s">
        <v>92</v>
      </c>
      <c r="P40" t="s">
        <v>93</v>
      </c>
      <c r="Q40">
        <v>0</v>
      </c>
      <c r="R40" s="5">
        <f t="shared" si="1"/>
        <v>0</v>
      </c>
    </row>
    <row r="41" spans="1:20">
      <c r="A41" s="4">
        <v>46113</v>
      </c>
      <c r="B41" t="s">
        <v>98</v>
      </c>
      <c r="C41" t="s">
        <v>99</v>
      </c>
      <c r="D41" t="s">
        <v>100</v>
      </c>
      <c r="E41" t="s">
        <v>101</v>
      </c>
      <c r="F41" t="s">
        <v>102</v>
      </c>
      <c r="G41" t="s">
        <v>103</v>
      </c>
      <c r="H41" t="s">
        <v>20</v>
      </c>
      <c r="I41" t="s">
        <v>104</v>
      </c>
      <c r="J41" t="s">
        <v>105</v>
      </c>
      <c r="L41" t="s">
        <v>24</v>
      </c>
      <c r="M41" t="s">
        <v>41</v>
      </c>
      <c r="N41" t="s">
        <v>92</v>
      </c>
      <c r="P41" t="s">
        <v>93</v>
      </c>
      <c r="Q41">
        <v>3</v>
      </c>
      <c r="R41" s="5">
        <f t="shared" si="1"/>
        <v>0</v>
      </c>
    </row>
    <row r="42" spans="1:20">
      <c r="A42" s="4">
        <v>46143</v>
      </c>
      <c r="B42" t="s">
        <v>98</v>
      </c>
      <c r="C42" t="s">
        <v>99</v>
      </c>
      <c r="D42" t="s">
        <v>100</v>
      </c>
      <c r="E42" t="s">
        <v>101</v>
      </c>
      <c r="F42" t="s">
        <v>102</v>
      </c>
      <c r="G42" t="s">
        <v>103</v>
      </c>
      <c r="H42" t="s">
        <v>20</v>
      </c>
      <c r="I42" t="s">
        <v>104</v>
      </c>
      <c r="J42" t="s">
        <v>105</v>
      </c>
      <c r="L42" t="s">
        <v>24</v>
      </c>
      <c r="M42" t="s">
        <v>41</v>
      </c>
      <c r="N42" t="s">
        <v>92</v>
      </c>
      <c r="P42" t="s">
        <v>93</v>
      </c>
      <c r="Q42">
        <v>3</v>
      </c>
      <c r="R42" s="5">
        <f t="shared" si="1"/>
        <v>0</v>
      </c>
    </row>
    <row r="43" spans="1:20">
      <c r="A43" s="4">
        <v>46174</v>
      </c>
      <c r="B43" t="s">
        <v>98</v>
      </c>
      <c r="C43" t="s">
        <v>99</v>
      </c>
      <c r="D43" t="s">
        <v>100</v>
      </c>
      <c r="E43" t="s">
        <v>101</v>
      </c>
      <c r="F43" t="s">
        <v>102</v>
      </c>
      <c r="G43" t="s">
        <v>103</v>
      </c>
      <c r="H43" t="s">
        <v>20</v>
      </c>
      <c r="I43" t="s">
        <v>104</v>
      </c>
      <c r="J43" t="s">
        <v>105</v>
      </c>
      <c r="L43" t="s">
        <v>24</v>
      </c>
      <c r="M43" t="s">
        <v>41</v>
      </c>
      <c r="N43" t="s">
        <v>92</v>
      </c>
      <c r="P43" t="s">
        <v>93</v>
      </c>
      <c r="Q43">
        <v>3</v>
      </c>
      <c r="R43" s="5">
        <f t="shared" si="1"/>
        <v>0</v>
      </c>
    </row>
    <row r="44" spans="1:20">
      <c r="A44" s="4">
        <v>46204</v>
      </c>
      <c r="B44" t="s">
        <v>98</v>
      </c>
      <c r="C44" t="s">
        <v>99</v>
      </c>
      <c r="D44" t="s">
        <v>100</v>
      </c>
      <c r="E44" t="s">
        <v>101</v>
      </c>
      <c r="F44" t="s">
        <v>102</v>
      </c>
      <c r="G44" t="s">
        <v>103</v>
      </c>
      <c r="H44" t="s">
        <v>20</v>
      </c>
      <c r="I44" t="s">
        <v>104</v>
      </c>
      <c r="J44" t="s">
        <v>105</v>
      </c>
      <c r="L44" t="s">
        <v>24</v>
      </c>
      <c r="M44" t="s">
        <v>41</v>
      </c>
      <c r="N44" t="s">
        <v>92</v>
      </c>
      <c r="P44" t="s">
        <v>93</v>
      </c>
      <c r="Q44">
        <v>4</v>
      </c>
      <c r="R44" s="5">
        <f t="shared" si="1"/>
        <v>0</v>
      </c>
    </row>
    <row r="45" spans="1:20">
      <c r="A45" s="4">
        <v>46235</v>
      </c>
      <c r="B45" t="s">
        <v>98</v>
      </c>
      <c r="C45" t="s">
        <v>99</v>
      </c>
      <c r="D45" t="s">
        <v>100</v>
      </c>
      <c r="E45" t="s">
        <v>101</v>
      </c>
      <c r="F45" t="s">
        <v>102</v>
      </c>
      <c r="G45" t="s">
        <v>103</v>
      </c>
      <c r="H45" t="s">
        <v>20</v>
      </c>
      <c r="I45" t="s">
        <v>104</v>
      </c>
      <c r="J45" t="s">
        <v>105</v>
      </c>
      <c r="L45" t="s">
        <v>24</v>
      </c>
      <c r="M45" t="s">
        <v>41</v>
      </c>
      <c r="N45" t="s">
        <v>92</v>
      </c>
      <c r="P45" t="s">
        <v>93</v>
      </c>
      <c r="Q45">
        <v>4</v>
      </c>
      <c r="R45" s="5">
        <f t="shared" si="1"/>
        <v>0</v>
      </c>
    </row>
    <row r="46" spans="1:20">
      <c r="A46" s="4">
        <v>46266</v>
      </c>
      <c r="B46" t="s">
        <v>98</v>
      </c>
      <c r="C46" t="s">
        <v>99</v>
      </c>
      <c r="D46" t="s">
        <v>100</v>
      </c>
      <c r="E46" t="s">
        <v>101</v>
      </c>
      <c r="F46" t="s">
        <v>102</v>
      </c>
      <c r="G46" t="s">
        <v>103</v>
      </c>
      <c r="H46" t="s">
        <v>20</v>
      </c>
      <c r="I46" t="s">
        <v>104</v>
      </c>
      <c r="J46" t="s">
        <v>105</v>
      </c>
      <c r="L46" t="s">
        <v>24</v>
      </c>
      <c r="M46" t="s">
        <v>41</v>
      </c>
      <c r="N46" t="s">
        <v>92</v>
      </c>
      <c r="P46" t="s">
        <v>93</v>
      </c>
      <c r="Q46">
        <v>2</v>
      </c>
      <c r="R46" s="5">
        <f t="shared" si="1"/>
        <v>0</v>
      </c>
    </row>
    <row r="47" spans="1:20">
      <c r="A47" s="4">
        <v>46296</v>
      </c>
      <c r="B47" t="s">
        <v>98</v>
      </c>
      <c r="C47" t="s">
        <v>99</v>
      </c>
      <c r="D47" t="s">
        <v>100</v>
      </c>
      <c r="E47" t="s">
        <v>101</v>
      </c>
      <c r="F47" t="s">
        <v>102</v>
      </c>
      <c r="G47" t="s">
        <v>103</v>
      </c>
      <c r="H47" t="s">
        <v>20</v>
      </c>
      <c r="I47" t="s">
        <v>104</v>
      </c>
      <c r="J47" t="s">
        <v>105</v>
      </c>
      <c r="L47" t="s">
        <v>24</v>
      </c>
      <c r="M47" t="s">
        <v>41</v>
      </c>
      <c r="N47" t="s">
        <v>92</v>
      </c>
      <c r="P47" t="s">
        <v>93</v>
      </c>
      <c r="Q47">
        <v>3</v>
      </c>
      <c r="R47" s="5">
        <f t="shared" si="1"/>
        <v>0</v>
      </c>
    </row>
    <row r="48" spans="1:20">
      <c r="A48" s="4">
        <v>46327</v>
      </c>
      <c r="B48" t="s">
        <v>98</v>
      </c>
      <c r="C48" t="s">
        <v>99</v>
      </c>
      <c r="D48" t="s">
        <v>100</v>
      </c>
      <c r="E48" t="s">
        <v>101</v>
      </c>
      <c r="F48" t="s">
        <v>102</v>
      </c>
      <c r="G48" t="s">
        <v>103</v>
      </c>
      <c r="H48" t="s">
        <v>20</v>
      </c>
      <c r="I48" t="s">
        <v>104</v>
      </c>
      <c r="J48" t="s">
        <v>105</v>
      </c>
      <c r="L48" t="s">
        <v>24</v>
      </c>
      <c r="M48" t="s">
        <v>41</v>
      </c>
      <c r="N48" t="s">
        <v>92</v>
      </c>
      <c r="P48" t="s">
        <v>93</v>
      </c>
      <c r="Q48">
        <v>3</v>
      </c>
      <c r="R48" s="5">
        <f t="shared" si="1"/>
        <v>0</v>
      </c>
    </row>
    <row r="49" spans="1:20">
      <c r="A49" s="4">
        <v>46357</v>
      </c>
      <c r="B49" t="s">
        <v>98</v>
      </c>
      <c r="C49" t="s">
        <v>99</v>
      </c>
      <c r="D49" t="s">
        <v>100</v>
      </c>
      <c r="E49" t="s">
        <v>101</v>
      </c>
      <c r="F49" t="s">
        <v>102</v>
      </c>
      <c r="G49" t="s">
        <v>103</v>
      </c>
      <c r="H49" t="s">
        <v>20</v>
      </c>
      <c r="I49" t="s">
        <v>104</v>
      </c>
      <c r="J49" t="s">
        <v>105</v>
      </c>
      <c r="L49" t="s">
        <v>24</v>
      </c>
      <c r="M49" t="s">
        <v>41</v>
      </c>
      <c r="N49" t="s">
        <v>92</v>
      </c>
      <c r="P49" t="s">
        <v>93</v>
      </c>
      <c r="Q49">
        <v>2</v>
      </c>
      <c r="R49" s="5">
        <f t="shared" si="1"/>
        <v>0</v>
      </c>
    </row>
    <row r="50" spans="1:20">
      <c r="A50" s="4">
        <v>46023</v>
      </c>
      <c r="B50" t="s">
        <v>98</v>
      </c>
      <c r="C50" t="s">
        <v>99</v>
      </c>
      <c r="D50" t="s">
        <v>100</v>
      </c>
      <c r="E50" t="s">
        <v>101</v>
      </c>
      <c r="F50" t="s">
        <v>102</v>
      </c>
      <c r="G50" t="s">
        <v>103</v>
      </c>
      <c r="H50" t="s">
        <v>20</v>
      </c>
      <c r="I50" t="s">
        <v>104</v>
      </c>
      <c r="J50" t="s">
        <v>105</v>
      </c>
      <c r="L50" t="s">
        <v>25</v>
      </c>
      <c r="M50" t="s">
        <v>42</v>
      </c>
      <c r="N50" t="s">
        <v>94</v>
      </c>
      <c r="P50" t="s">
        <v>95</v>
      </c>
      <c r="Q50">
        <v>0</v>
      </c>
      <c r="R50" s="5">
        <f t="shared" si="1"/>
        <v>0</v>
      </c>
      <c r="S50" t="s">
        <v>54</v>
      </c>
      <c r="T50" t="s">
        <v>69</v>
      </c>
    </row>
    <row r="51" spans="1:20">
      <c r="A51" s="4">
        <v>46054</v>
      </c>
      <c r="B51" t="s">
        <v>98</v>
      </c>
      <c r="C51" t="s">
        <v>99</v>
      </c>
      <c r="D51" t="s">
        <v>100</v>
      </c>
      <c r="E51" t="s">
        <v>101</v>
      </c>
      <c r="F51" t="s">
        <v>102</v>
      </c>
      <c r="G51" t="s">
        <v>103</v>
      </c>
      <c r="H51" t="s">
        <v>20</v>
      </c>
      <c r="I51" t="s">
        <v>104</v>
      </c>
      <c r="J51" t="s">
        <v>105</v>
      </c>
      <c r="L51" t="s">
        <v>25</v>
      </c>
      <c r="M51" t="s">
        <v>42</v>
      </c>
      <c r="N51" t="s">
        <v>94</v>
      </c>
      <c r="P51" t="s">
        <v>95</v>
      </c>
      <c r="Q51">
        <v>0</v>
      </c>
      <c r="R51" s="5">
        <f t="shared" si="1"/>
        <v>0</v>
      </c>
    </row>
    <row r="52" spans="1:20">
      <c r="A52" s="4">
        <v>46082</v>
      </c>
      <c r="B52" t="s">
        <v>98</v>
      </c>
      <c r="C52" t="s">
        <v>99</v>
      </c>
      <c r="D52" t="s">
        <v>100</v>
      </c>
      <c r="E52" t="s">
        <v>101</v>
      </c>
      <c r="F52" t="s">
        <v>102</v>
      </c>
      <c r="G52" t="s">
        <v>103</v>
      </c>
      <c r="H52" t="s">
        <v>20</v>
      </c>
      <c r="I52" t="s">
        <v>104</v>
      </c>
      <c r="J52" t="s">
        <v>105</v>
      </c>
      <c r="L52" t="s">
        <v>25</v>
      </c>
      <c r="M52" t="s">
        <v>42</v>
      </c>
      <c r="N52" t="s">
        <v>94</v>
      </c>
      <c r="P52" t="s">
        <v>95</v>
      </c>
      <c r="Q52">
        <v>0</v>
      </c>
      <c r="R52" s="5">
        <f t="shared" si="1"/>
        <v>0</v>
      </c>
    </row>
    <row r="53" spans="1:20">
      <c r="A53" s="4">
        <v>46113</v>
      </c>
      <c r="B53" t="s">
        <v>98</v>
      </c>
      <c r="C53" t="s">
        <v>99</v>
      </c>
      <c r="D53" t="s">
        <v>100</v>
      </c>
      <c r="E53" t="s">
        <v>101</v>
      </c>
      <c r="F53" t="s">
        <v>102</v>
      </c>
      <c r="G53" t="s">
        <v>103</v>
      </c>
      <c r="H53" t="s">
        <v>20</v>
      </c>
      <c r="I53" t="s">
        <v>104</v>
      </c>
      <c r="J53" t="s">
        <v>105</v>
      </c>
      <c r="L53" t="s">
        <v>25</v>
      </c>
      <c r="M53" t="s">
        <v>42</v>
      </c>
      <c r="N53" t="s">
        <v>94</v>
      </c>
      <c r="P53" t="s">
        <v>95</v>
      </c>
      <c r="Q53">
        <v>0</v>
      </c>
      <c r="R53" s="5">
        <f t="shared" si="1"/>
        <v>0</v>
      </c>
    </row>
    <row r="54" spans="1:20">
      <c r="A54" s="4">
        <v>46143</v>
      </c>
      <c r="B54" t="s">
        <v>98</v>
      </c>
      <c r="C54" t="s">
        <v>99</v>
      </c>
      <c r="D54" t="s">
        <v>100</v>
      </c>
      <c r="E54" t="s">
        <v>101</v>
      </c>
      <c r="F54" t="s">
        <v>102</v>
      </c>
      <c r="G54" t="s">
        <v>103</v>
      </c>
      <c r="H54" t="s">
        <v>20</v>
      </c>
      <c r="I54" t="s">
        <v>104</v>
      </c>
      <c r="J54" t="s">
        <v>105</v>
      </c>
      <c r="L54" t="s">
        <v>25</v>
      </c>
      <c r="M54" t="s">
        <v>42</v>
      </c>
      <c r="N54" t="s">
        <v>94</v>
      </c>
      <c r="P54" t="s">
        <v>95</v>
      </c>
      <c r="Q54">
        <v>0</v>
      </c>
      <c r="R54" s="5">
        <f t="shared" si="1"/>
        <v>0</v>
      </c>
    </row>
    <row r="55" spans="1:20">
      <c r="A55" s="4">
        <v>46174</v>
      </c>
      <c r="B55" t="s">
        <v>98</v>
      </c>
      <c r="C55" t="s">
        <v>99</v>
      </c>
      <c r="D55" t="s">
        <v>100</v>
      </c>
      <c r="E55" t="s">
        <v>101</v>
      </c>
      <c r="F55" t="s">
        <v>102</v>
      </c>
      <c r="G55" t="s">
        <v>103</v>
      </c>
      <c r="H55" t="s">
        <v>20</v>
      </c>
      <c r="I55" t="s">
        <v>104</v>
      </c>
      <c r="J55" t="s">
        <v>105</v>
      </c>
      <c r="L55" t="s">
        <v>25</v>
      </c>
      <c r="M55" t="s">
        <v>42</v>
      </c>
      <c r="N55" t="s">
        <v>94</v>
      </c>
      <c r="P55" t="s">
        <v>95</v>
      </c>
      <c r="Q55">
        <v>1</v>
      </c>
      <c r="R55" s="5">
        <f t="shared" si="1"/>
        <v>0</v>
      </c>
    </row>
    <row r="56" spans="1:20">
      <c r="A56" s="4">
        <v>46204</v>
      </c>
      <c r="B56" t="s">
        <v>98</v>
      </c>
      <c r="C56" t="s">
        <v>99</v>
      </c>
      <c r="D56" t="s">
        <v>100</v>
      </c>
      <c r="E56" t="s">
        <v>101</v>
      </c>
      <c r="F56" t="s">
        <v>102</v>
      </c>
      <c r="G56" t="s">
        <v>103</v>
      </c>
      <c r="H56" t="s">
        <v>20</v>
      </c>
      <c r="I56" t="s">
        <v>104</v>
      </c>
      <c r="J56" t="s">
        <v>105</v>
      </c>
      <c r="L56" t="s">
        <v>25</v>
      </c>
      <c r="M56" t="s">
        <v>42</v>
      </c>
      <c r="N56" t="s">
        <v>94</v>
      </c>
      <c r="P56" t="s">
        <v>95</v>
      </c>
      <c r="Q56">
        <v>0</v>
      </c>
      <c r="R56" s="5">
        <f t="shared" si="1"/>
        <v>0</v>
      </c>
    </row>
    <row r="57" spans="1:20">
      <c r="A57" s="4">
        <v>46235</v>
      </c>
      <c r="B57" t="s">
        <v>98</v>
      </c>
      <c r="C57" t="s">
        <v>99</v>
      </c>
      <c r="D57" t="s">
        <v>100</v>
      </c>
      <c r="E57" t="s">
        <v>101</v>
      </c>
      <c r="F57" t="s">
        <v>102</v>
      </c>
      <c r="G57" t="s">
        <v>103</v>
      </c>
      <c r="H57" t="s">
        <v>20</v>
      </c>
      <c r="I57" t="s">
        <v>104</v>
      </c>
      <c r="J57" t="s">
        <v>105</v>
      </c>
      <c r="L57" t="s">
        <v>25</v>
      </c>
      <c r="M57" t="s">
        <v>42</v>
      </c>
      <c r="N57" t="s">
        <v>94</v>
      </c>
      <c r="P57" t="s">
        <v>95</v>
      </c>
      <c r="Q57">
        <v>0</v>
      </c>
      <c r="R57" s="5">
        <f t="shared" si="1"/>
        <v>0</v>
      </c>
    </row>
    <row r="58" spans="1:20">
      <c r="A58" s="4">
        <v>46266</v>
      </c>
      <c r="B58" t="s">
        <v>98</v>
      </c>
      <c r="C58" t="s">
        <v>99</v>
      </c>
      <c r="D58" t="s">
        <v>100</v>
      </c>
      <c r="E58" t="s">
        <v>101</v>
      </c>
      <c r="F58" t="s">
        <v>102</v>
      </c>
      <c r="G58" t="s">
        <v>103</v>
      </c>
      <c r="H58" t="s">
        <v>20</v>
      </c>
      <c r="I58" t="s">
        <v>104</v>
      </c>
      <c r="J58" t="s">
        <v>105</v>
      </c>
      <c r="L58" t="s">
        <v>25</v>
      </c>
      <c r="M58" t="s">
        <v>42</v>
      </c>
      <c r="N58" t="s">
        <v>94</v>
      </c>
      <c r="P58" t="s">
        <v>95</v>
      </c>
      <c r="Q58">
        <v>1</v>
      </c>
      <c r="R58" s="5">
        <f t="shared" si="1"/>
        <v>0</v>
      </c>
    </row>
    <row r="59" spans="1:20">
      <c r="A59" s="4">
        <v>46296</v>
      </c>
      <c r="B59" t="s">
        <v>98</v>
      </c>
      <c r="C59" t="s">
        <v>99</v>
      </c>
      <c r="D59" t="s">
        <v>100</v>
      </c>
      <c r="E59" t="s">
        <v>101</v>
      </c>
      <c r="F59" t="s">
        <v>102</v>
      </c>
      <c r="G59" t="s">
        <v>103</v>
      </c>
      <c r="H59" t="s">
        <v>20</v>
      </c>
      <c r="I59" t="s">
        <v>104</v>
      </c>
      <c r="J59" t="s">
        <v>105</v>
      </c>
      <c r="L59" t="s">
        <v>25</v>
      </c>
      <c r="M59" t="s">
        <v>42</v>
      </c>
      <c r="N59" t="s">
        <v>94</v>
      </c>
      <c r="P59" t="s">
        <v>95</v>
      </c>
      <c r="Q59">
        <v>0</v>
      </c>
      <c r="R59" s="5">
        <f t="shared" si="1"/>
        <v>0</v>
      </c>
    </row>
    <row r="60" spans="1:20">
      <c r="A60" s="4">
        <v>46327</v>
      </c>
      <c r="B60" t="s">
        <v>98</v>
      </c>
      <c r="C60" t="s">
        <v>99</v>
      </c>
      <c r="D60" t="s">
        <v>100</v>
      </c>
      <c r="E60" t="s">
        <v>101</v>
      </c>
      <c r="F60" t="s">
        <v>102</v>
      </c>
      <c r="G60" t="s">
        <v>103</v>
      </c>
      <c r="H60" t="s">
        <v>20</v>
      </c>
      <c r="I60" t="s">
        <v>104</v>
      </c>
      <c r="J60" t="s">
        <v>105</v>
      </c>
      <c r="L60" t="s">
        <v>25</v>
      </c>
      <c r="M60" t="s">
        <v>42</v>
      </c>
      <c r="N60" t="s">
        <v>94</v>
      </c>
      <c r="P60" t="s">
        <v>95</v>
      </c>
      <c r="Q60">
        <v>0</v>
      </c>
      <c r="R60" s="5">
        <f t="shared" si="1"/>
        <v>0</v>
      </c>
    </row>
    <row r="61" spans="1:20">
      <c r="A61" s="4">
        <v>46357</v>
      </c>
      <c r="B61" t="s">
        <v>98</v>
      </c>
      <c r="C61" t="s">
        <v>99</v>
      </c>
      <c r="D61" t="s">
        <v>100</v>
      </c>
      <c r="E61" t="s">
        <v>101</v>
      </c>
      <c r="F61" t="s">
        <v>102</v>
      </c>
      <c r="G61" t="s">
        <v>103</v>
      </c>
      <c r="H61" t="s">
        <v>20</v>
      </c>
      <c r="I61" t="s">
        <v>104</v>
      </c>
      <c r="J61" t="s">
        <v>105</v>
      </c>
      <c r="L61" t="s">
        <v>25</v>
      </c>
      <c r="M61" t="s">
        <v>42</v>
      </c>
      <c r="N61" t="s">
        <v>94</v>
      </c>
      <c r="P61" t="s">
        <v>95</v>
      </c>
      <c r="Q61">
        <v>0</v>
      </c>
      <c r="R61" s="5">
        <f t="shared" si="1"/>
        <v>0</v>
      </c>
    </row>
    <row r="62" spans="1:20">
      <c r="A62" s="4">
        <v>46023</v>
      </c>
      <c r="B62" t="s">
        <v>98</v>
      </c>
      <c r="C62" t="s">
        <v>99</v>
      </c>
      <c r="D62" t="s">
        <v>100</v>
      </c>
      <c r="E62" t="s">
        <v>101</v>
      </c>
      <c r="F62" t="s">
        <v>102</v>
      </c>
      <c r="G62" t="s">
        <v>103</v>
      </c>
      <c r="H62" t="s">
        <v>20</v>
      </c>
      <c r="I62" t="s">
        <v>104</v>
      </c>
      <c r="J62" t="s">
        <v>105</v>
      </c>
      <c r="L62" t="s">
        <v>26</v>
      </c>
      <c r="M62" t="s">
        <v>43</v>
      </c>
      <c r="Q62">
        <v>0</v>
      </c>
      <c r="R62" s="5">
        <f t="shared" si="1"/>
        <v>0</v>
      </c>
      <c r="S62" t="s">
        <v>55</v>
      </c>
      <c r="T62" t="s">
        <v>70</v>
      </c>
    </row>
    <row r="63" spans="1:20">
      <c r="A63" s="4">
        <v>46054</v>
      </c>
      <c r="B63" t="s">
        <v>98</v>
      </c>
      <c r="C63" t="s">
        <v>99</v>
      </c>
      <c r="D63" t="s">
        <v>100</v>
      </c>
      <c r="E63" t="s">
        <v>101</v>
      </c>
      <c r="F63" t="s">
        <v>102</v>
      </c>
      <c r="G63" t="s">
        <v>103</v>
      </c>
      <c r="H63" t="s">
        <v>20</v>
      </c>
      <c r="I63" t="s">
        <v>104</v>
      </c>
      <c r="J63" t="s">
        <v>105</v>
      </c>
      <c r="L63" t="s">
        <v>26</v>
      </c>
      <c r="M63" t="s">
        <v>43</v>
      </c>
      <c r="Q63">
        <v>0</v>
      </c>
      <c r="R63" s="5">
        <f t="shared" si="1"/>
        <v>0</v>
      </c>
    </row>
    <row r="64" spans="1:20">
      <c r="A64" s="4">
        <v>46082</v>
      </c>
      <c r="B64" t="s">
        <v>98</v>
      </c>
      <c r="C64" t="s">
        <v>99</v>
      </c>
      <c r="D64" t="s">
        <v>100</v>
      </c>
      <c r="E64" t="s">
        <v>101</v>
      </c>
      <c r="F64" t="s">
        <v>102</v>
      </c>
      <c r="G64" t="s">
        <v>103</v>
      </c>
      <c r="H64" t="s">
        <v>20</v>
      </c>
      <c r="I64" t="s">
        <v>104</v>
      </c>
      <c r="J64" t="s">
        <v>105</v>
      </c>
      <c r="L64" t="s">
        <v>26</v>
      </c>
      <c r="M64" t="s">
        <v>43</v>
      </c>
      <c r="Q64">
        <v>0</v>
      </c>
      <c r="R64" s="5">
        <f t="shared" si="1"/>
        <v>0</v>
      </c>
    </row>
    <row r="65" spans="1:20">
      <c r="A65" s="4">
        <v>46113</v>
      </c>
      <c r="B65" t="s">
        <v>98</v>
      </c>
      <c r="C65" t="s">
        <v>99</v>
      </c>
      <c r="D65" t="s">
        <v>100</v>
      </c>
      <c r="E65" t="s">
        <v>101</v>
      </c>
      <c r="F65" t="s">
        <v>102</v>
      </c>
      <c r="G65" t="s">
        <v>103</v>
      </c>
      <c r="H65" t="s">
        <v>20</v>
      </c>
      <c r="I65" t="s">
        <v>104</v>
      </c>
      <c r="J65" t="s">
        <v>105</v>
      </c>
      <c r="L65" t="s">
        <v>26</v>
      </c>
      <c r="M65" t="s">
        <v>43</v>
      </c>
      <c r="Q65">
        <v>0</v>
      </c>
      <c r="R65" s="5">
        <f t="shared" si="1"/>
        <v>0</v>
      </c>
    </row>
    <row r="66" spans="1:20">
      <c r="A66" s="4">
        <v>46143</v>
      </c>
      <c r="B66" t="s">
        <v>98</v>
      </c>
      <c r="C66" t="s">
        <v>99</v>
      </c>
      <c r="D66" t="s">
        <v>100</v>
      </c>
      <c r="E66" t="s">
        <v>101</v>
      </c>
      <c r="F66" t="s">
        <v>102</v>
      </c>
      <c r="G66" t="s">
        <v>103</v>
      </c>
      <c r="H66" t="s">
        <v>20</v>
      </c>
      <c r="I66" t="s">
        <v>104</v>
      </c>
      <c r="J66" t="s">
        <v>105</v>
      </c>
      <c r="L66" t="s">
        <v>26</v>
      </c>
      <c r="M66" t="s">
        <v>43</v>
      </c>
      <c r="Q66">
        <v>0</v>
      </c>
      <c r="R66" s="5">
        <f t="shared" si="1"/>
        <v>0</v>
      </c>
    </row>
    <row r="67" spans="1:20">
      <c r="A67" s="4">
        <v>46174</v>
      </c>
      <c r="B67" t="s">
        <v>98</v>
      </c>
      <c r="C67" t="s">
        <v>99</v>
      </c>
      <c r="D67" t="s">
        <v>100</v>
      </c>
      <c r="E67" t="s">
        <v>101</v>
      </c>
      <c r="F67" t="s">
        <v>102</v>
      </c>
      <c r="G67" t="s">
        <v>103</v>
      </c>
      <c r="H67" t="s">
        <v>20</v>
      </c>
      <c r="I67" t="s">
        <v>104</v>
      </c>
      <c r="J67" t="s">
        <v>105</v>
      </c>
      <c r="L67" t="s">
        <v>26</v>
      </c>
      <c r="M67" t="s">
        <v>43</v>
      </c>
      <c r="Q67">
        <v>1</v>
      </c>
      <c r="R67" s="5">
        <f t="shared" si="1"/>
        <v>0</v>
      </c>
    </row>
    <row r="68" spans="1:20">
      <c r="A68" s="4">
        <v>46204</v>
      </c>
      <c r="B68" t="s">
        <v>98</v>
      </c>
      <c r="C68" t="s">
        <v>99</v>
      </c>
      <c r="D68" t="s">
        <v>100</v>
      </c>
      <c r="E68" t="s">
        <v>101</v>
      </c>
      <c r="F68" t="s">
        <v>102</v>
      </c>
      <c r="G68" t="s">
        <v>103</v>
      </c>
      <c r="H68" t="s">
        <v>20</v>
      </c>
      <c r="I68" t="s">
        <v>104</v>
      </c>
      <c r="J68" t="s">
        <v>105</v>
      </c>
      <c r="L68" t="s">
        <v>26</v>
      </c>
      <c r="M68" t="s">
        <v>43</v>
      </c>
      <c r="Q68">
        <v>0</v>
      </c>
      <c r="R68" s="5">
        <f t="shared" si="1"/>
        <v>0</v>
      </c>
    </row>
    <row r="69" spans="1:20">
      <c r="A69" s="4">
        <v>46235</v>
      </c>
      <c r="B69" t="s">
        <v>98</v>
      </c>
      <c r="C69" t="s">
        <v>99</v>
      </c>
      <c r="D69" t="s">
        <v>100</v>
      </c>
      <c r="E69" t="s">
        <v>101</v>
      </c>
      <c r="F69" t="s">
        <v>102</v>
      </c>
      <c r="G69" t="s">
        <v>103</v>
      </c>
      <c r="H69" t="s">
        <v>20</v>
      </c>
      <c r="I69" t="s">
        <v>104</v>
      </c>
      <c r="J69" t="s">
        <v>105</v>
      </c>
      <c r="L69" t="s">
        <v>26</v>
      </c>
      <c r="M69" t="s">
        <v>43</v>
      </c>
      <c r="Q69">
        <v>0</v>
      </c>
      <c r="R69" s="5">
        <f t="shared" si="1"/>
        <v>0</v>
      </c>
    </row>
    <row r="70" spans="1:20">
      <c r="A70" s="4">
        <v>46266</v>
      </c>
      <c r="B70" t="s">
        <v>98</v>
      </c>
      <c r="C70" t="s">
        <v>99</v>
      </c>
      <c r="D70" t="s">
        <v>100</v>
      </c>
      <c r="E70" t="s">
        <v>101</v>
      </c>
      <c r="F70" t="s">
        <v>102</v>
      </c>
      <c r="G70" t="s">
        <v>103</v>
      </c>
      <c r="H70" t="s">
        <v>20</v>
      </c>
      <c r="I70" t="s">
        <v>104</v>
      </c>
      <c r="J70" t="s">
        <v>105</v>
      </c>
      <c r="L70" t="s">
        <v>26</v>
      </c>
      <c r="M70" t="s">
        <v>43</v>
      </c>
      <c r="Q70">
        <v>1</v>
      </c>
      <c r="R70" s="5">
        <f t="shared" si="1"/>
        <v>0</v>
      </c>
    </row>
    <row r="71" spans="1:20">
      <c r="A71" s="4">
        <v>46296</v>
      </c>
      <c r="B71" t="s">
        <v>98</v>
      </c>
      <c r="C71" t="s">
        <v>99</v>
      </c>
      <c r="D71" t="s">
        <v>100</v>
      </c>
      <c r="E71" t="s">
        <v>101</v>
      </c>
      <c r="F71" t="s">
        <v>102</v>
      </c>
      <c r="G71" t="s">
        <v>103</v>
      </c>
      <c r="H71" t="s">
        <v>20</v>
      </c>
      <c r="I71" t="s">
        <v>104</v>
      </c>
      <c r="J71" t="s">
        <v>105</v>
      </c>
      <c r="L71" t="s">
        <v>26</v>
      </c>
      <c r="M71" t="s">
        <v>43</v>
      </c>
      <c r="Q71">
        <v>0</v>
      </c>
      <c r="R71" s="5">
        <f t="shared" si="1"/>
        <v>0</v>
      </c>
    </row>
    <row r="72" spans="1:20">
      <c r="A72" s="4">
        <v>46327</v>
      </c>
      <c r="B72" t="s">
        <v>98</v>
      </c>
      <c r="C72" t="s">
        <v>99</v>
      </c>
      <c r="D72" t="s">
        <v>100</v>
      </c>
      <c r="E72" t="s">
        <v>101</v>
      </c>
      <c r="F72" t="s">
        <v>102</v>
      </c>
      <c r="G72" t="s">
        <v>103</v>
      </c>
      <c r="H72" t="s">
        <v>20</v>
      </c>
      <c r="I72" t="s">
        <v>104</v>
      </c>
      <c r="J72" t="s">
        <v>105</v>
      </c>
      <c r="L72" t="s">
        <v>26</v>
      </c>
      <c r="M72" t="s">
        <v>43</v>
      </c>
      <c r="Q72">
        <v>0</v>
      </c>
      <c r="R72" s="5">
        <f t="shared" si="1"/>
        <v>0</v>
      </c>
    </row>
    <row r="73" spans="1:20">
      <c r="A73" s="4">
        <v>46357</v>
      </c>
      <c r="B73" t="s">
        <v>98</v>
      </c>
      <c r="C73" t="s">
        <v>99</v>
      </c>
      <c r="D73" t="s">
        <v>100</v>
      </c>
      <c r="E73" t="s">
        <v>101</v>
      </c>
      <c r="F73" t="s">
        <v>102</v>
      </c>
      <c r="G73" t="s">
        <v>103</v>
      </c>
      <c r="H73" t="s">
        <v>20</v>
      </c>
      <c r="I73" t="s">
        <v>104</v>
      </c>
      <c r="J73" t="s">
        <v>105</v>
      </c>
      <c r="L73" t="s">
        <v>26</v>
      </c>
      <c r="M73" t="s">
        <v>43</v>
      </c>
      <c r="Q73">
        <v>1</v>
      </c>
      <c r="R73" s="5">
        <f t="shared" si="1"/>
        <v>0</v>
      </c>
    </row>
    <row r="74" spans="1:20">
      <c r="A74" s="4">
        <v>46023</v>
      </c>
      <c r="B74" t="s">
        <v>98</v>
      </c>
      <c r="C74" t="s">
        <v>99</v>
      </c>
      <c r="D74" t="s">
        <v>100</v>
      </c>
      <c r="E74" t="s">
        <v>101</v>
      </c>
      <c r="F74" t="s">
        <v>102</v>
      </c>
      <c r="G74" t="s">
        <v>103</v>
      </c>
      <c r="H74" t="s">
        <v>20</v>
      </c>
      <c r="I74" t="s">
        <v>104</v>
      </c>
      <c r="J74" t="s">
        <v>105</v>
      </c>
      <c r="L74" t="s">
        <v>27</v>
      </c>
      <c r="M74" t="s">
        <v>44</v>
      </c>
      <c r="N74" t="s">
        <v>96</v>
      </c>
      <c r="P74" t="s">
        <v>97</v>
      </c>
      <c r="Q74">
        <v>0</v>
      </c>
      <c r="R74" s="5">
        <f t="shared" ref="R74" si="2">IFERROR(O74/Q74,0%)</f>
        <v>0</v>
      </c>
      <c r="S74" t="s">
        <v>56</v>
      </c>
      <c r="T74" t="s">
        <v>71</v>
      </c>
    </row>
    <row r="75" spans="1:20">
      <c r="A75" s="4">
        <v>46054</v>
      </c>
      <c r="B75" t="s">
        <v>98</v>
      </c>
      <c r="C75" t="s">
        <v>99</v>
      </c>
      <c r="D75" t="s">
        <v>100</v>
      </c>
      <c r="E75" t="s">
        <v>101</v>
      </c>
      <c r="F75" t="s">
        <v>102</v>
      </c>
      <c r="G75" t="s">
        <v>103</v>
      </c>
      <c r="H75" t="s">
        <v>20</v>
      </c>
      <c r="I75" t="s">
        <v>104</v>
      </c>
      <c r="J75" t="s">
        <v>105</v>
      </c>
      <c r="L75" t="s">
        <v>27</v>
      </c>
      <c r="M75" t="s">
        <v>44</v>
      </c>
      <c r="N75" t="s">
        <v>96</v>
      </c>
      <c r="P75" t="s">
        <v>97</v>
      </c>
      <c r="Q75">
        <v>0</v>
      </c>
      <c r="R75" s="5">
        <f t="shared" ref="R75:R138" si="3">IFERROR(O75/Q75,0%)</f>
        <v>0</v>
      </c>
    </row>
    <row r="76" spans="1:20">
      <c r="A76" s="4">
        <v>46082</v>
      </c>
      <c r="B76" t="s">
        <v>98</v>
      </c>
      <c r="C76" t="s">
        <v>99</v>
      </c>
      <c r="D76" t="s">
        <v>100</v>
      </c>
      <c r="E76" t="s">
        <v>101</v>
      </c>
      <c r="F76" t="s">
        <v>102</v>
      </c>
      <c r="G76" t="s">
        <v>103</v>
      </c>
      <c r="H76" t="s">
        <v>20</v>
      </c>
      <c r="I76" t="s">
        <v>104</v>
      </c>
      <c r="J76" t="s">
        <v>105</v>
      </c>
      <c r="L76" t="s">
        <v>27</v>
      </c>
      <c r="M76" t="s">
        <v>44</v>
      </c>
      <c r="N76" t="s">
        <v>96</v>
      </c>
      <c r="P76" t="s">
        <v>97</v>
      </c>
      <c r="Q76">
        <v>0</v>
      </c>
      <c r="R76" s="5">
        <f t="shared" si="3"/>
        <v>0</v>
      </c>
    </row>
    <row r="77" spans="1:20">
      <c r="A77" s="4">
        <v>46113</v>
      </c>
      <c r="B77" t="s">
        <v>98</v>
      </c>
      <c r="C77" t="s">
        <v>99</v>
      </c>
      <c r="D77" t="s">
        <v>100</v>
      </c>
      <c r="E77" t="s">
        <v>101</v>
      </c>
      <c r="F77" t="s">
        <v>102</v>
      </c>
      <c r="G77" t="s">
        <v>103</v>
      </c>
      <c r="H77" t="s">
        <v>20</v>
      </c>
      <c r="I77" t="s">
        <v>104</v>
      </c>
      <c r="J77" t="s">
        <v>105</v>
      </c>
      <c r="L77" t="s">
        <v>27</v>
      </c>
      <c r="M77" t="s">
        <v>44</v>
      </c>
      <c r="N77" t="s">
        <v>96</v>
      </c>
      <c r="P77" t="s">
        <v>97</v>
      </c>
      <c r="Q77">
        <v>0</v>
      </c>
      <c r="R77" s="5">
        <f t="shared" si="3"/>
        <v>0</v>
      </c>
    </row>
    <row r="78" spans="1:20">
      <c r="A78" s="4">
        <v>46143</v>
      </c>
      <c r="B78" t="s">
        <v>98</v>
      </c>
      <c r="C78" t="s">
        <v>99</v>
      </c>
      <c r="D78" t="s">
        <v>100</v>
      </c>
      <c r="E78" t="s">
        <v>101</v>
      </c>
      <c r="F78" t="s">
        <v>102</v>
      </c>
      <c r="G78" t="s">
        <v>103</v>
      </c>
      <c r="H78" t="s">
        <v>20</v>
      </c>
      <c r="I78" t="s">
        <v>104</v>
      </c>
      <c r="J78" t="s">
        <v>105</v>
      </c>
      <c r="L78" t="s">
        <v>27</v>
      </c>
      <c r="M78" t="s">
        <v>44</v>
      </c>
      <c r="N78" t="s">
        <v>96</v>
      </c>
      <c r="P78" t="s">
        <v>97</v>
      </c>
      <c r="Q78">
        <v>0</v>
      </c>
      <c r="R78" s="5">
        <f t="shared" si="3"/>
        <v>0</v>
      </c>
    </row>
    <row r="79" spans="1:20">
      <c r="A79" s="4">
        <v>46174</v>
      </c>
      <c r="B79" t="s">
        <v>98</v>
      </c>
      <c r="C79" t="s">
        <v>99</v>
      </c>
      <c r="D79" t="s">
        <v>100</v>
      </c>
      <c r="E79" t="s">
        <v>101</v>
      </c>
      <c r="F79" t="s">
        <v>102</v>
      </c>
      <c r="G79" t="s">
        <v>103</v>
      </c>
      <c r="H79" t="s">
        <v>20</v>
      </c>
      <c r="I79" t="s">
        <v>104</v>
      </c>
      <c r="J79" t="s">
        <v>105</v>
      </c>
      <c r="L79" t="s">
        <v>27</v>
      </c>
      <c r="M79" t="s">
        <v>44</v>
      </c>
      <c r="N79" t="s">
        <v>96</v>
      </c>
      <c r="P79" t="s">
        <v>97</v>
      </c>
      <c r="Q79">
        <v>0</v>
      </c>
      <c r="R79" s="5">
        <f t="shared" si="3"/>
        <v>0</v>
      </c>
    </row>
    <row r="80" spans="1:20">
      <c r="A80" s="4">
        <v>46204</v>
      </c>
      <c r="B80" t="s">
        <v>98</v>
      </c>
      <c r="C80" t="s">
        <v>99</v>
      </c>
      <c r="D80" t="s">
        <v>100</v>
      </c>
      <c r="E80" t="s">
        <v>101</v>
      </c>
      <c r="F80" t="s">
        <v>102</v>
      </c>
      <c r="G80" t="s">
        <v>103</v>
      </c>
      <c r="H80" t="s">
        <v>20</v>
      </c>
      <c r="I80" t="s">
        <v>104</v>
      </c>
      <c r="J80" t="s">
        <v>105</v>
      </c>
      <c r="L80" t="s">
        <v>27</v>
      </c>
      <c r="M80" t="s">
        <v>44</v>
      </c>
      <c r="N80" t="s">
        <v>96</v>
      </c>
      <c r="P80" t="s">
        <v>97</v>
      </c>
      <c r="Q80">
        <v>0</v>
      </c>
      <c r="R80" s="5">
        <f t="shared" si="3"/>
        <v>0</v>
      </c>
    </row>
    <row r="81" spans="1:20">
      <c r="A81" s="4">
        <v>46235</v>
      </c>
      <c r="B81" t="s">
        <v>98</v>
      </c>
      <c r="C81" t="s">
        <v>99</v>
      </c>
      <c r="D81" t="s">
        <v>100</v>
      </c>
      <c r="E81" t="s">
        <v>101</v>
      </c>
      <c r="F81" t="s">
        <v>102</v>
      </c>
      <c r="G81" t="s">
        <v>103</v>
      </c>
      <c r="H81" t="s">
        <v>20</v>
      </c>
      <c r="I81" t="s">
        <v>104</v>
      </c>
      <c r="J81" t="s">
        <v>105</v>
      </c>
      <c r="L81" t="s">
        <v>27</v>
      </c>
      <c r="M81" t="s">
        <v>44</v>
      </c>
      <c r="N81" t="s">
        <v>96</v>
      </c>
      <c r="P81" t="s">
        <v>97</v>
      </c>
      <c r="Q81">
        <v>0</v>
      </c>
      <c r="R81" s="5">
        <f t="shared" si="3"/>
        <v>0</v>
      </c>
    </row>
    <row r="82" spans="1:20">
      <c r="A82" s="4">
        <v>46266</v>
      </c>
      <c r="B82" t="s">
        <v>98</v>
      </c>
      <c r="C82" t="s">
        <v>99</v>
      </c>
      <c r="D82" t="s">
        <v>100</v>
      </c>
      <c r="E82" t="s">
        <v>101</v>
      </c>
      <c r="F82" t="s">
        <v>102</v>
      </c>
      <c r="G82" t="s">
        <v>103</v>
      </c>
      <c r="H82" t="s">
        <v>20</v>
      </c>
      <c r="I82" t="s">
        <v>104</v>
      </c>
      <c r="J82" t="s">
        <v>105</v>
      </c>
      <c r="L82" t="s">
        <v>27</v>
      </c>
      <c r="M82" t="s">
        <v>44</v>
      </c>
      <c r="N82" t="s">
        <v>96</v>
      </c>
      <c r="P82" t="s">
        <v>97</v>
      </c>
      <c r="Q82" s="6">
        <v>0.5</v>
      </c>
      <c r="R82" s="5">
        <f t="shared" si="3"/>
        <v>0</v>
      </c>
    </row>
    <row r="83" spans="1:20">
      <c r="A83" s="4">
        <v>46296</v>
      </c>
      <c r="B83" t="s">
        <v>98</v>
      </c>
      <c r="C83" t="s">
        <v>99</v>
      </c>
      <c r="D83" t="s">
        <v>100</v>
      </c>
      <c r="E83" t="s">
        <v>101</v>
      </c>
      <c r="F83" t="s">
        <v>102</v>
      </c>
      <c r="G83" t="s">
        <v>103</v>
      </c>
      <c r="H83" t="s">
        <v>20</v>
      </c>
      <c r="I83" t="s">
        <v>104</v>
      </c>
      <c r="J83" t="s">
        <v>105</v>
      </c>
      <c r="L83" t="s">
        <v>27</v>
      </c>
      <c r="M83" t="s">
        <v>44</v>
      </c>
      <c r="N83" t="s">
        <v>96</v>
      </c>
      <c r="P83" t="s">
        <v>97</v>
      </c>
      <c r="Q83">
        <v>0</v>
      </c>
      <c r="R83" s="5">
        <f t="shared" si="3"/>
        <v>0</v>
      </c>
    </row>
    <row r="84" spans="1:20">
      <c r="A84" s="4">
        <v>46327</v>
      </c>
      <c r="B84" t="s">
        <v>98</v>
      </c>
      <c r="C84" t="s">
        <v>99</v>
      </c>
      <c r="D84" t="s">
        <v>100</v>
      </c>
      <c r="E84" t="s">
        <v>101</v>
      </c>
      <c r="F84" t="s">
        <v>102</v>
      </c>
      <c r="G84" t="s">
        <v>103</v>
      </c>
      <c r="H84" t="s">
        <v>20</v>
      </c>
      <c r="I84" t="s">
        <v>104</v>
      </c>
      <c r="J84" t="s">
        <v>105</v>
      </c>
      <c r="L84" t="s">
        <v>27</v>
      </c>
      <c r="M84" t="s">
        <v>44</v>
      </c>
      <c r="N84" t="s">
        <v>96</v>
      </c>
      <c r="P84" t="s">
        <v>97</v>
      </c>
      <c r="Q84">
        <v>0</v>
      </c>
      <c r="R84" s="5">
        <f t="shared" si="3"/>
        <v>0</v>
      </c>
    </row>
    <row r="85" spans="1:20">
      <c r="A85" s="4">
        <v>46357</v>
      </c>
      <c r="B85" t="s">
        <v>98</v>
      </c>
      <c r="C85" t="s">
        <v>99</v>
      </c>
      <c r="D85" t="s">
        <v>100</v>
      </c>
      <c r="E85" t="s">
        <v>101</v>
      </c>
      <c r="F85" t="s">
        <v>102</v>
      </c>
      <c r="G85" t="s">
        <v>103</v>
      </c>
      <c r="H85" t="s">
        <v>20</v>
      </c>
      <c r="I85" t="s">
        <v>104</v>
      </c>
      <c r="J85" t="s">
        <v>105</v>
      </c>
      <c r="L85" t="s">
        <v>27</v>
      </c>
      <c r="M85" t="s">
        <v>44</v>
      </c>
      <c r="N85" t="s">
        <v>96</v>
      </c>
      <c r="P85" t="s">
        <v>97</v>
      </c>
      <c r="Q85" s="6">
        <v>0.5</v>
      </c>
      <c r="R85" s="5">
        <f t="shared" si="3"/>
        <v>0</v>
      </c>
    </row>
    <row r="86" spans="1:20">
      <c r="A86" s="4">
        <v>46023</v>
      </c>
      <c r="B86" t="s">
        <v>98</v>
      </c>
      <c r="C86" t="s">
        <v>99</v>
      </c>
      <c r="D86" t="s">
        <v>100</v>
      </c>
      <c r="E86" t="s">
        <v>101</v>
      </c>
      <c r="F86" t="s">
        <v>102</v>
      </c>
      <c r="G86" t="s">
        <v>103</v>
      </c>
      <c r="H86" t="s">
        <v>20</v>
      </c>
      <c r="I86" t="s">
        <v>104</v>
      </c>
      <c r="J86" t="s">
        <v>105</v>
      </c>
      <c r="L86" t="s">
        <v>28</v>
      </c>
      <c r="M86" t="s">
        <v>45</v>
      </c>
      <c r="N86" t="s">
        <v>106</v>
      </c>
      <c r="P86" t="s">
        <v>107</v>
      </c>
      <c r="Q86">
        <v>0</v>
      </c>
      <c r="R86" s="5">
        <f t="shared" si="3"/>
        <v>0</v>
      </c>
      <c r="S86" t="s">
        <v>57</v>
      </c>
      <c r="T86" t="s">
        <v>72</v>
      </c>
    </row>
    <row r="87" spans="1:20">
      <c r="A87" s="4">
        <v>46054</v>
      </c>
      <c r="B87" t="s">
        <v>98</v>
      </c>
      <c r="C87" t="s">
        <v>99</v>
      </c>
      <c r="D87" t="s">
        <v>100</v>
      </c>
      <c r="E87" t="s">
        <v>101</v>
      </c>
      <c r="F87" t="s">
        <v>102</v>
      </c>
      <c r="G87" t="s">
        <v>103</v>
      </c>
      <c r="H87" t="s">
        <v>20</v>
      </c>
      <c r="I87" t="s">
        <v>104</v>
      </c>
      <c r="J87" t="s">
        <v>105</v>
      </c>
      <c r="L87" t="s">
        <v>28</v>
      </c>
      <c r="M87" t="s">
        <v>45</v>
      </c>
      <c r="N87" t="s">
        <v>106</v>
      </c>
      <c r="P87" t="s">
        <v>107</v>
      </c>
      <c r="Q87">
        <v>0</v>
      </c>
      <c r="R87" s="5">
        <f t="shared" si="3"/>
        <v>0</v>
      </c>
    </row>
    <row r="88" spans="1:20">
      <c r="A88" s="4">
        <v>46082</v>
      </c>
      <c r="B88" t="s">
        <v>98</v>
      </c>
      <c r="C88" t="s">
        <v>99</v>
      </c>
      <c r="D88" t="s">
        <v>100</v>
      </c>
      <c r="E88" t="s">
        <v>101</v>
      </c>
      <c r="F88" t="s">
        <v>102</v>
      </c>
      <c r="G88" t="s">
        <v>103</v>
      </c>
      <c r="H88" t="s">
        <v>20</v>
      </c>
      <c r="I88" t="s">
        <v>104</v>
      </c>
      <c r="J88" t="s">
        <v>105</v>
      </c>
      <c r="L88" t="s">
        <v>28</v>
      </c>
      <c r="M88" t="s">
        <v>45</v>
      </c>
      <c r="N88" t="s">
        <v>106</v>
      </c>
      <c r="P88" t="s">
        <v>107</v>
      </c>
      <c r="Q88">
        <v>0</v>
      </c>
      <c r="R88" s="5">
        <f t="shared" si="3"/>
        <v>0</v>
      </c>
    </row>
    <row r="89" spans="1:20">
      <c r="A89" s="4">
        <v>46113</v>
      </c>
      <c r="B89" t="s">
        <v>98</v>
      </c>
      <c r="C89" t="s">
        <v>99</v>
      </c>
      <c r="D89" t="s">
        <v>100</v>
      </c>
      <c r="E89" t="s">
        <v>101</v>
      </c>
      <c r="F89" t="s">
        <v>102</v>
      </c>
      <c r="G89" t="s">
        <v>103</v>
      </c>
      <c r="H89" t="s">
        <v>20</v>
      </c>
      <c r="I89" t="s">
        <v>104</v>
      </c>
      <c r="J89" t="s">
        <v>105</v>
      </c>
      <c r="L89" t="s">
        <v>28</v>
      </c>
      <c r="M89" t="s">
        <v>45</v>
      </c>
      <c r="N89" t="s">
        <v>106</v>
      </c>
      <c r="P89" t="s">
        <v>107</v>
      </c>
      <c r="Q89">
        <v>13</v>
      </c>
      <c r="R89" s="5">
        <f t="shared" si="3"/>
        <v>0</v>
      </c>
    </row>
    <row r="90" spans="1:20">
      <c r="A90" s="4">
        <v>46143</v>
      </c>
      <c r="B90" t="s">
        <v>98</v>
      </c>
      <c r="C90" t="s">
        <v>99</v>
      </c>
      <c r="D90" t="s">
        <v>100</v>
      </c>
      <c r="E90" t="s">
        <v>101</v>
      </c>
      <c r="F90" t="s">
        <v>102</v>
      </c>
      <c r="G90" t="s">
        <v>103</v>
      </c>
      <c r="H90" t="s">
        <v>20</v>
      </c>
      <c r="I90" t="s">
        <v>104</v>
      </c>
      <c r="J90" t="s">
        <v>105</v>
      </c>
      <c r="L90" t="s">
        <v>28</v>
      </c>
      <c r="M90" t="s">
        <v>45</v>
      </c>
      <c r="N90" t="s">
        <v>106</v>
      </c>
      <c r="P90" t="s">
        <v>107</v>
      </c>
      <c r="Q90">
        <v>13</v>
      </c>
      <c r="R90" s="5">
        <f t="shared" si="3"/>
        <v>0</v>
      </c>
    </row>
    <row r="91" spans="1:20">
      <c r="A91" s="4">
        <v>46174</v>
      </c>
      <c r="B91" t="s">
        <v>98</v>
      </c>
      <c r="C91" t="s">
        <v>99</v>
      </c>
      <c r="D91" t="s">
        <v>100</v>
      </c>
      <c r="E91" t="s">
        <v>101</v>
      </c>
      <c r="F91" t="s">
        <v>102</v>
      </c>
      <c r="G91" t="s">
        <v>103</v>
      </c>
      <c r="H91" t="s">
        <v>20</v>
      </c>
      <c r="I91" t="s">
        <v>104</v>
      </c>
      <c r="J91" t="s">
        <v>105</v>
      </c>
      <c r="L91" t="s">
        <v>28</v>
      </c>
      <c r="M91" t="s">
        <v>45</v>
      </c>
      <c r="N91" t="s">
        <v>106</v>
      </c>
      <c r="P91" t="s">
        <v>107</v>
      </c>
      <c r="Q91">
        <v>13</v>
      </c>
      <c r="R91" s="5">
        <f t="shared" si="3"/>
        <v>0</v>
      </c>
    </row>
    <row r="92" spans="1:20">
      <c r="A92" s="4">
        <v>46204</v>
      </c>
      <c r="B92" t="s">
        <v>98</v>
      </c>
      <c r="C92" t="s">
        <v>99</v>
      </c>
      <c r="D92" t="s">
        <v>100</v>
      </c>
      <c r="E92" t="s">
        <v>101</v>
      </c>
      <c r="F92" t="s">
        <v>102</v>
      </c>
      <c r="G92" t="s">
        <v>103</v>
      </c>
      <c r="H92" t="s">
        <v>20</v>
      </c>
      <c r="I92" t="s">
        <v>104</v>
      </c>
      <c r="J92" t="s">
        <v>105</v>
      </c>
      <c r="L92" t="s">
        <v>28</v>
      </c>
      <c r="M92" t="s">
        <v>45</v>
      </c>
      <c r="N92" t="s">
        <v>106</v>
      </c>
      <c r="P92" t="s">
        <v>107</v>
      </c>
      <c r="Q92">
        <v>17</v>
      </c>
      <c r="R92" s="5">
        <f t="shared" si="3"/>
        <v>0</v>
      </c>
    </row>
    <row r="93" spans="1:20">
      <c r="A93" s="4">
        <v>46235</v>
      </c>
      <c r="B93" t="s">
        <v>98</v>
      </c>
      <c r="C93" t="s">
        <v>99</v>
      </c>
      <c r="D93" t="s">
        <v>100</v>
      </c>
      <c r="E93" t="s">
        <v>101</v>
      </c>
      <c r="F93" t="s">
        <v>102</v>
      </c>
      <c r="G93" t="s">
        <v>103</v>
      </c>
      <c r="H93" t="s">
        <v>20</v>
      </c>
      <c r="I93" t="s">
        <v>104</v>
      </c>
      <c r="J93" t="s">
        <v>105</v>
      </c>
      <c r="L93" t="s">
        <v>28</v>
      </c>
      <c r="M93" t="s">
        <v>45</v>
      </c>
      <c r="N93" t="s">
        <v>106</v>
      </c>
      <c r="P93" t="s">
        <v>107</v>
      </c>
      <c r="Q93">
        <v>17</v>
      </c>
      <c r="R93" s="5">
        <f t="shared" si="3"/>
        <v>0</v>
      </c>
    </row>
    <row r="94" spans="1:20">
      <c r="A94" s="4">
        <v>46266</v>
      </c>
      <c r="B94" t="s">
        <v>98</v>
      </c>
      <c r="C94" t="s">
        <v>99</v>
      </c>
      <c r="D94" t="s">
        <v>100</v>
      </c>
      <c r="E94" t="s">
        <v>101</v>
      </c>
      <c r="F94" t="s">
        <v>102</v>
      </c>
      <c r="G94" t="s">
        <v>103</v>
      </c>
      <c r="H94" t="s">
        <v>20</v>
      </c>
      <c r="I94" t="s">
        <v>104</v>
      </c>
      <c r="J94" t="s">
        <v>105</v>
      </c>
      <c r="L94" t="s">
        <v>28</v>
      </c>
      <c r="M94" t="s">
        <v>45</v>
      </c>
      <c r="N94" t="s">
        <v>106</v>
      </c>
      <c r="P94" t="s">
        <v>107</v>
      </c>
      <c r="Q94">
        <v>18</v>
      </c>
      <c r="R94" s="5">
        <f t="shared" si="3"/>
        <v>0</v>
      </c>
    </row>
    <row r="95" spans="1:20">
      <c r="A95" s="4">
        <v>46296</v>
      </c>
      <c r="B95" t="s">
        <v>98</v>
      </c>
      <c r="C95" t="s">
        <v>99</v>
      </c>
      <c r="D95" t="s">
        <v>100</v>
      </c>
      <c r="E95" t="s">
        <v>101</v>
      </c>
      <c r="F95" t="s">
        <v>102</v>
      </c>
      <c r="G95" t="s">
        <v>103</v>
      </c>
      <c r="H95" t="s">
        <v>20</v>
      </c>
      <c r="I95" t="s">
        <v>104</v>
      </c>
      <c r="J95" t="s">
        <v>105</v>
      </c>
      <c r="L95" t="s">
        <v>28</v>
      </c>
      <c r="M95" t="s">
        <v>45</v>
      </c>
      <c r="N95" t="s">
        <v>106</v>
      </c>
      <c r="P95" t="s">
        <v>107</v>
      </c>
      <c r="Q95">
        <v>14</v>
      </c>
      <c r="R95" s="5">
        <f t="shared" si="3"/>
        <v>0</v>
      </c>
    </row>
    <row r="96" spans="1:20">
      <c r="A96" s="4">
        <v>46327</v>
      </c>
      <c r="B96" t="s">
        <v>98</v>
      </c>
      <c r="C96" t="s">
        <v>99</v>
      </c>
      <c r="D96" t="s">
        <v>100</v>
      </c>
      <c r="E96" t="s">
        <v>101</v>
      </c>
      <c r="F96" t="s">
        <v>102</v>
      </c>
      <c r="G96" t="s">
        <v>103</v>
      </c>
      <c r="H96" t="s">
        <v>20</v>
      </c>
      <c r="I96" t="s">
        <v>104</v>
      </c>
      <c r="J96" t="s">
        <v>105</v>
      </c>
      <c r="L96" t="s">
        <v>28</v>
      </c>
      <c r="M96" t="s">
        <v>45</v>
      </c>
      <c r="N96" t="s">
        <v>106</v>
      </c>
      <c r="P96" t="s">
        <v>107</v>
      </c>
      <c r="Q96">
        <v>14</v>
      </c>
      <c r="R96" s="5">
        <f t="shared" si="3"/>
        <v>0</v>
      </c>
    </row>
    <row r="97" spans="1:20">
      <c r="A97" s="4">
        <v>46357</v>
      </c>
      <c r="B97" t="s">
        <v>98</v>
      </c>
      <c r="C97" t="s">
        <v>99</v>
      </c>
      <c r="D97" t="s">
        <v>100</v>
      </c>
      <c r="E97" t="s">
        <v>101</v>
      </c>
      <c r="F97" t="s">
        <v>102</v>
      </c>
      <c r="G97" t="s">
        <v>103</v>
      </c>
      <c r="H97" t="s">
        <v>20</v>
      </c>
      <c r="I97" t="s">
        <v>104</v>
      </c>
      <c r="J97" t="s">
        <v>105</v>
      </c>
      <c r="L97" t="s">
        <v>28</v>
      </c>
      <c r="M97" t="s">
        <v>45</v>
      </c>
      <c r="N97" t="s">
        <v>106</v>
      </c>
      <c r="P97" t="s">
        <v>107</v>
      </c>
      <c r="Q97">
        <v>14</v>
      </c>
      <c r="R97" s="5">
        <f t="shared" si="3"/>
        <v>0</v>
      </c>
    </row>
    <row r="98" spans="1:20">
      <c r="A98" s="4">
        <v>46023</v>
      </c>
      <c r="B98" t="s">
        <v>98</v>
      </c>
      <c r="C98" t="s">
        <v>99</v>
      </c>
      <c r="D98" t="s">
        <v>100</v>
      </c>
      <c r="E98" t="s">
        <v>101</v>
      </c>
      <c r="F98" t="s">
        <v>102</v>
      </c>
      <c r="G98" t="s">
        <v>103</v>
      </c>
      <c r="H98" t="s">
        <v>20</v>
      </c>
      <c r="I98" t="s">
        <v>104</v>
      </c>
      <c r="J98" t="s">
        <v>105</v>
      </c>
      <c r="L98" t="s">
        <v>29</v>
      </c>
      <c r="M98" t="s">
        <v>46</v>
      </c>
      <c r="N98" t="s">
        <v>108</v>
      </c>
      <c r="P98" t="s">
        <v>109</v>
      </c>
      <c r="Q98">
        <v>9</v>
      </c>
      <c r="R98" s="5">
        <f t="shared" si="3"/>
        <v>0</v>
      </c>
      <c r="S98" t="s">
        <v>58</v>
      </c>
      <c r="T98" t="s">
        <v>73</v>
      </c>
    </row>
    <row r="99" spans="1:20">
      <c r="A99" s="4">
        <v>46054</v>
      </c>
      <c r="B99" t="s">
        <v>98</v>
      </c>
      <c r="C99" t="s">
        <v>99</v>
      </c>
      <c r="D99" t="s">
        <v>100</v>
      </c>
      <c r="E99" t="s">
        <v>101</v>
      </c>
      <c r="F99" t="s">
        <v>102</v>
      </c>
      <c r="G99" t="s">
        <v>103</v>
      </c>
      <c r="H99" t="s">
        <v>20</v>
      </c>
      <c r="I99" t="s">
        <v>104</v>
      </c>
      <c r="J99" t="s">
        <v>105</v>
      </c>
      <c r="L99" t="s">
        <v>29</v>
      </c>
      <c r="M99" t="s">
        <v>46</v>
      </c>
      <c r="N99" t="s">
        <v>108</v>
      </c>
      <c r="P99" t="s">
        <v>109</v>
      </c>
      <c r="Q99">
        <v>9</v>
      </c>
      <c r="R99" s="5">
        <f t="shared" si="3"/>
        <v>0</v>
      </c>
    </row>
    <row r="100" spans="1:20">
      <c r="A100" s="4">
        <v>46082</v>
      </c>
      <c r="B100" t="s">
        <v>98</v>
      </c>
      <c r="C100" t="s">
        <v>99</v>
      </c>
      <c r="D100" t="s">
        <v>100</v>
      </c>
      <c r="E100" t="s">
        <v>101</v>
      </c>
      <c r="F100" t="s">
        <v>102</v>
      </c>
      <c r="G100" t="s">
        <v>103</v>
      </c>
      <c r="H100" t="s">
        <v>20</v>
      </c>
      <c r="I100" t="s">
        <v>104</v>
      </c>
      <c r="J100" t="s">
        <v>105</v>
      </c>
      <c r="L100" t="s">
        <v>29</v>
      </c>
      <c r="M100" t="s">
        <v>46</v>
      </c>
      <c r="N100" t="s">
        <v>108</v>
      </c>
      <c r="P100" t="s">
        <v>109</v>
      </c>
      <c r="Q100">
        <v>9</v>
      </c>
      <c r="R100" s="5">
        <f t="shared" si="3"/>
        <v>0</v>
      </c>
    </row>
    <row r="101" spans="1:20">
      <c r="A101" s="4">
        <v>46113</v>
      </c>
      <c r="B101" t="s">
        <v>98</v>
      </c>
      <c r="C101" t="s">
        <v>99</v>
      </c>
      <c r="D101" t="s">
        <v>100</v>
      </c>
      <c r="E101" t="s">
        <v>101</v>
      </c>
      <c r="F101" t="s">
        <v>102</v>
      </c>
      <c r="G101" t="s">
        <v>103</v>
      </c>
      <c r="H101" t="s">
        <v>20</v>
      </c>
      <c r="I101" t="s">
        <v>104</v>
      </c>
      <c r="J101" t="s">
        <v>105</v>
      </c>
      <c r="L101" t="s">
        <v>29</v>
      </c>
      <c r="M101" t="s">
        <v>46</v>
      </c>
      <c r="N101" t="s">
        <v>108</v>
      </c>
      <c r="P101" t="s">
        <v>109</v>
      </c>
      <c r="Q101">
        <v>9</v>
      </c>
      <c r="R101" s="5">
        <f t="shared" si="3"/>
        <v>0</v>
      </c>
    </row>
    <row r="102" spans="1:20">
      <c r="A102" s="4">
        <v>46143</v>
      </c>
      <c r="B102" t="s">
        <v>98</v>
      </c>
      <c r="C102" t="s">
        <v>99</v>
      </c>
      <c r="D102" t="s">
        <v>100</v>
      </c>
      <c r="E102" t="s">
        <v>101</v>
      </c>
      <c r="F102" t="s">
        <v>102</v>
      </c>
      <c r="G102" t="s">
        <v>103</v>
      </c>
      <c r="H102" t="s">
        <v>20</v>
      </c>
      <c r="I102" t="s">
        <v>104</v>
      </c>
      <c r="J102" t="s">
        <v>105</v>
      </c>
      <c r="L102" t="s">
        <v>29</v>
      </c>
      <c r="M102" t="s">
        <v>46</v>
      </c>
      <c r="N102" t="s">
        <v>108</v>
      </c>
      <c r="P102" t="s">
        <v>109</v>
      </c>
      <c r="Q102">
        <v>9</v>
      </c>
      <c r="R102" s="5">
        <f t="shared" si="3"/>
        <v>0</v>
      </c>
    </row>
    <row r="103" spans="1:20">
      <c r="A103" s="4">
        <v>46174</v>
      </c>
      <c r="B103" t="s">
        <v>98</v>
      </c>
      <c r="C103" t="s">
        <v>99</v>
      </c>
      <c r="D103" t="s">
        <v>100</v>
      </c>
      <c r="E103" t="s">
        <v>101</v>
      </c>
      <c r="F103" t="s">
        <v>102</v>
      </c>
      <c r="G103" t="s">
        <v>103</v>
      </c>
      <c r="H103" t="s">
        <v>20</v>
      </c>
      <c r="I103" t="s">
        <v>104</v>
      </c>
      <c r="J103" t="s">
        <v>105</v>
      </c>
      <c r="L103" t="s">
        <v>29</v>
      </c>
      <c r="M103" t="s">
        <v>46</v>
      </c>
      <c r="N103" t="s">
        <v>108</v>
      </c>
      <c r="P103" t="s">
        <v>109</v>
      </c>
      <c r="Q103">
        <v>9</v>
      </c>
      <c r="R103" s="5">
        <f t="shared" si="3"/>
        <v>0</v>
      </c>
    </row>
    <row r="104" spans="1:20">
      <c r="A104" s="4">
        <v>46204</v>
      </c>
      <c r="B104" t="s">
        <v>98</v>
      </c>
      <c r="C104" t="s">
        <v>99</v>
      </c>
      <c r="D104" t="s">
        <v>100</v>
      </c>
      <c r="E104" t="s">
        <v>101</v>
      </c>
      <c r="F104" t="s">
        <v>102</v>
      </c>
      <c r="G104" t="s">
        <v>103</v>
      </c>
      <c r="H104" t="s">
        <v>20</v>
      </c>
      <c r="I104" t="s">
        <v>104</v>
      </c>
      <c r="J104" t="s">
        <v>105</v>
      </c>
      <c r="L104" t="s">
        <v>29</v>
      </c>
      <c r="M104" t="s">
        <v>46</v>
      </c>
      <c r="N104" t="s">
        <v>108</v>
      </c>
      <c r="P104" t="s">
        <v>109</v>
      </c>
      <c r="Q104">
        <v>9</v>
      </c>
      <c r="R104" s="5">
        <f t="shared" si="3"/>
        <v>0</v>
      </c>
    </row>
    <row r="105" spans="1:20">
      <c r="A105" s="4">
        <v>46235</v>
      </c>
      <c r="B105" t="s">
        <v>98</v>
      </c>
      <c r="C105" t="s">
        <v>99</v>
      </c>
      <c r="D105" t="s">
        <v>100</v>
      </c>
      <c r="E105" t="s">
        <v>101</v>
      </c>
      <c r="F105" t="s">
        <v>102</v>
      </c>
      <c r="G105" t="s">
        <v>103</v>
      </c>
      <c r="H105" t="s">
        <v>20</v>
      </c>
      <c r="I105" t="s">
        <v>104</v>
      </c>
      <c r="J105" t="s">
        <v>105</v>
      </c>
      <c r="L105" t="s">
        <v>29</v>
      </c>
      <c r="M105" t="s">
        <v>46</v>
      </c>
      <c r="N105" t="s">
        <v>108</v>
      </c>
      <c r="P105" t="s">
        <v>109</v>
      </c>
      <c r="Q105">
        <v>9</v>
      </c>
      <c r="R105" s="5">
        <f t="shared" si="3"/>
        <v>0</v>
      </c>
    </row>
    <row r="106" spans="1:20">
      <c r="A106" s="4">
        <v>46266</v>
      </c>
      <c r="B106" t="s">
        <v>98</v>
      </c>
      <c r="C106" t="s">
        <v>99</v>
      </c>
      <c r="D106" t="s">
        <v>100</v>
      </c>
      <c r="E106" t="s">
        <v>101</v>
      </c>
      <c r="F106" t="s">
        <v>102</v>
      </c>
      <c r="G106" t="s">
        <v>103</v>
      </c>
      <c r="H106" t="s">
        <v>20</v>
      </c>
      <c r="I106" t="s">
        <v>104</v>
      </c>
      <c r="J106" t="s">
        <v>105</v>
      </c>
      <c r="L106" t="s">
        <v>29</v>
      </c>
      <c r="M106" t="s">
        <v>46</v>
      </c>
      <c r="N106" t="s">
        <v>108</v>
      </c>
      <c r="P106" t="s">
        <v>109</v>
      </c>
      <c r="Q106">
        <v>9</v>
      </c>
      <c r="R106" s="5">
        <f t="shared" si="3"/>
        <v>0</v>
      </c>
    </row>
    <row r="107" spans="1:20">
      <c r="A107" s="4">
        <v>46296</v>
      </c>
      <c r="B107" t="s">
        <v>98</v>
      </c>
      <c r="C107" t="s">
        <v>99</v>
      </c>
      <c r="D107" t="s">
        <v>100</v>
      </c>
      <c r="E107" t="s">
        <v>101</v>
      </c>
      <c r="F107" t="s">
        <v>102</v>
      </c>
      <c r="G107" t="s">
        <v>103</v>
      </c>
      <c r="H107" t="s">
        <v>20</v>
      </c>
      <c r="I107" t="s">
        <v>104</v>
      </c>
      <c r="J107" t="s">
        <v>105</v>
      </c>
      <c r="L107" t="s">
        <v>29</v>
      </c>
      <c r="M107" t="s">
        <v>46</v>
      </c>
      <c r="N107" t="s">
        <v>108</v>
      </c>
      <c r="P107" t="s">
        <v>109</v>
      </c>
      <c r="Q107">
        <v>9</v>
      </c>
      <c r="R107" s="5">
        <f t="shared" si="3"/>
        <v>0</v>
      </c>
    </row>
    <row r="108" spans="1:20">
      <c r="A108" s="4">
        <v>46327</v>
      </c>
      <c r="B108" t="s">
        <v>98</v>
      </c>
      <c r="C108" t="s">
        <v>99</v>
      </c>
      <c r="D108" t="s">
        <v>100</v>
      </c>
      <c r="E108" t="s">
        <v>101</v>
      </c>
      <c r="F108" t="s">
        <v>102</v>
      </c>
      <c r="G108" t="s">
        <v>103</v>
      </c>
      <c r="H108" t="s">
        <v>20</v>
      </c>
      <c r="I108" t="s">
        <v>104</v>
      </c>
      <c r="J108" t="s">
        <v>105</v>
      </c>
      <c r="L108" t="s">
        <v>29</v>
      </c>
      <c r="M108" t="s">
        <v>46</v>
      </c>
      <c r="N108" t="s">
        <v>108</v>
      </c>
      <c r="P108" t="s">
        <v>109</v>
      </c>
      <c r="Q108">
        <v>9</v>
      </c>
      <c r="R108" s="5">
        <f t="shared" si="3"/>
        <v>0</v>
      </c>
    </row>
    <row r="109" spans="1:20">
      <c r="A109" s="4">
        <v>46357</v>
      </c>
      <c r="B109" t="s">
        <v>98</v>
      </c>
      <c r="C109" t="s">
        <v>99</v>
      </c>
      <c r="D109" t="s">
        <v>100</v>
      </c>
      <c r="E109" t="s">
        <v>101</v>
      </c>
      <c r="F109" t="s">
        <v>102</v>
      </c>
      <c r="G109" t="s">
        <v>103</v>
      </c>
      <c r="H109" t="s">
        <v>20</v>
      </c>
      <c r="I109" t="s">
        <v>104</v>
      </c>
      <c r="J109" t="s">
        <v>105</v>
      </c>
      <c r="L109" t="s">
        <v>29</v>
      </c>
      <c r="M109" t="s">
        <v>46</v>
      </c>
      <c r="N109" t="s">
        <v>108</v>
      </c>
      <c r="P109" t="s">
        <v>109</v>
      </c>
      <c r="Q109">
        <v>9</v>
      </c>
      <c r="R109" s="5">
        <f t="shared" si="3"/>
        <v>0</v>
      </c>
    </row>
    <row r="110" spans="1:20">
      <c r="A110" s="4">
        <v>46023</v>
      </c>
      <c r="B110" t="s">
        <v>98</v>
      </c>
      <c r="C110" t="s">
        <v>99</v>
      </c>
      <c r="D110" t="s">
        <v>100</v>
      </c>
      <c r="E110" t="s">
        <v>101</v>
      </c>
      <c r="F110" t="s">
        <v>102</v>
      </c>
      <c r="G110" t="s">
        <v>103</v>
      </c>
      <c r="H110" t="s">
        <v>20</v>
      </c>
      <c r="I110" t="s">
        <v>104</v>
      </c>
      <c r="J110" t="s">
        <v>105</v>
      </c>
      <c r="L110" t="s">
        <v>30</v>
      </c>
      <c r="M110" t="s">
        <v>47</v>
      </c>
      <c r="N110" t="s">
        <v>110</v>
      </c>
      <c r="P110" t="s">
        <v>111</v>
      </c>
      <c r="Q110">
        <v>0</v>
      </c>
      <c r="R110" s="5">
        <f t="shared" si="3"/>
        <v>0</v>
      </c>
      <c r="S110" t="s">
        <v>59</v>
      </c>
      <c r="T110" t="s">
        <v>74</v>
      </c>
    </row>
    <row r="111" spans="1:20">
      <c r="A111" s="4">
        <v>46054</v>
      </c>
      <c r="B111" t="s">
        <v>98</v>
      </c>
      <c r="C111" t="s">
        <v>99</v>
      </c>
      <c r="D111" t="s">
        <v>100</v>
      </c>
      <c r="E111" t="s">
        <v>101</v>
      </c>
      <c r="F111" t="s">
        <v>102</v>
      </c>
      <c r="G111" t="s">
        <v>103</v>
      </c>
      <c r="H111" t="s">
        <v>20</v>
      </c>
      <c r="I111" t="s">
        <v>104</v>
      </c>
      <c r="J111" t="s">
        <v>105</v>
      </c>
      <c r="L111" t="s">
        <v>30</v>
      </c>
      <c r="M111" t="s">
        <v>47</v>
      </c>
      <c r="N111" t="s">
        <v>110</v>
      </c>
      <c r="P111" t="s">
        <v>111</v>
      </c>
      <c r="Q111">
        <v>0</v>
      </c>
      <c r="R111" s="5">
        <f t="shared" si="3"/>
        <v>0</v>
      </c>
    </row>
    <row r="112" spans="1:20">
      <c r="A112" s="4">
        <v>46082</v>
      </c>
      <c r="B112" t="s">
        <v>98</v>
      </c>
      <c r="C112" t="s">
        <v>99</v>
      </c>
      <c r="D112" t="s">
        <v>100</v>
      </c>
      <c r="E112" t="s">
        <v>101</v>
      </c>
      <c r="F112" t="s">
        <v>102</v>
      </c>
      <c r="G112" t="s">
        <v>103</v>
      </c>
      <c r="H112" t="s">
        <v>20</v>
      </c>
      <c r="I112" t="s">
        <v>104</v>
      </c>
      <c r="J112" t="s">
        <v>105</v>
      </c>
      <c r="L112" t="s">
        <v>30</v>
      </c>
      <c r="M112" t="s">
        <v>47</v>
      </c>
      <c r="N112" t="s">
        <v>110</v>
      </c>
      <c r="P112" t="s">
        <v>111</v>
      </c>
      <c r="Q112">
        <v>0</v>
      </c>
      <c r="R112" s="5">
        <f t="shared" si="3"/>
        <v>0</v>
      </c>
    </row>
    <row r="113" spans="1:20">
      <c r="A113" s="4">
        <v>46113</v>
      </c>
      <c r="B113" t="s">
        <v>98</v>
      </c>
      <c r="C113" t="s">
        <v>99</v>
      </c>
      <c r="D113" t="s">
        <v>100</v>
      </c>
      <c r="E113" t="s">
        <v>101</v>
      </c>
      <c r="F113" t="s">
        <v>102</v>
      </c>
      <c r="G113" t="s">
        <v>103</v>
      </c>
      <c r="H113" t="s">
        <v>20</v>
      </c>
      <c r="I113" t="s">
        <v>104</v>
      </c>
      <c r="J113" t="s">
        <v>105</v>
      </c>
      <c r="L113" t="s">
        <v>30</v>
      </c>
      <c r="M113" t="s">
        <v>47</v>
      </c>
      <c r="N113" t="s">
        <v>110</v>
      </c>
      <c r="P113" t="s">
        <v>111</v>
      </c>
      <c r="Q113">
        <v>0</v>
      </c>
      <c r="R113" s="5">
        <f t="shared" si="3"/>
        <v>0</v>
      </c>
    </row>
    <row r="114" spans="1:20">
      <c r="A114" s="4">
        <v>46143</v>
      </c>
      <c r="B114" t="s">
        <v>98</v>
      </c>
      <c r="C114" t="s">
        <v>99</v>
      </c>
      <c r="D114" t="s">
        <v>100</v>
      </c>
      <c r="E114" t="s">
        <v>101</v>
      </c>
      <c r="F114" t="s">
        <v>102</v>
      </c>
      <c r="G114" t="s">
        <v>103</v>
      </c>
      <c r="H114" t="s">
        <v>20</v>
      </c>
      <c r="I114" t="s">
        <v>104</v>
      </c>
      <c r="J114" t="s">
        <v>105</v>
      </c>
      <c r="L114" t="s">
        <v>30</v>
      </c>
      <c r="M114" t="s">
        <v>47</v>
      </c>
      <c r="N114" t="s">
        <v>110</v>
      </c>
      <c r="P114" t="s">
        <v>111</v>
      </c>
      <c r="Q114">
        <v>0</v>
      </c>
      <c r="R114" s="5">
        <f t="shared" si="3"/>
        <v>0</v>
      </c>
    </row>
    <row r="115" spans="1:20">
      <c r="A115" s="4">
        <v>46174</v>
      </c>
      <c r="B115" t="s">
        <v>98</v>
      </c>
      <c r="C115" t="s">
        <v>99</v>
      </c>
      <c r="D115" t="s">
        <v>100</v>
      </c>
      <c r="E115" t="s">
        <v>101</v>
      </c>
      <c r="F115" t="s">
        <v>102</v>
      </c>
      <c r="G115" t="s">
        <v>103</v>
      </c>
      <c r="H115" t="s">
        <v>20</v>
      </c>
      <c r="I115" t="s">
        <v>104</v>
      </c>
      <c r="J115" t="s">
        <v>105</v>
      </c>
      <c r="L115" t="s">
        <v>30</v>
      </c>
      <c r="M115" t="s">
        <v>47</v>
      </c>
      <c r="N115" t="s">
        <v>110</v>
      </c>
      <c r="P115" t="s">
        <v>111</v>
      </c>
      <c r="Q115">
        <v>0</v>
      </c>
      <c r="R115" s="5">
        <f t="shared" si="3"/>
        <v>0</v>
      </c>
    </row>
    <row r="116" spans="1:20">
      <c r="A116" s="4">
        <v>46204</v>
      </c>
      <c r="B116" t="s">
        <v>98</v>
      </c>
      <c r="C116" t="s">
        <v>99</v>
      </c>
      <c r="D116" t="s">
        <v>100</v>
      </c>
      <c r="E116" t="s">
        <v>101</v>
      </c>
      <c r="F116" t="s">
        <v>102</v>
      </c>
      <c r="G116" t="s">
        <v>103</v>
      </c>
      <c r="H116" t="s">
        <v>20</v>
      </c>
      <c r="I116" t="s">
        <v>104</v>
      </c>
      <c r="J116" t="s">
        <v>105</v>
      </c>
      <c r="L116" t="s">
        <v>30</v>
      </c>
      <c r="M116" t="s">
        <v>47</v>
      </c>
      <c r="N116" t="s">
        <v>110</v>
      </c>
      <c r="P116" t="s">
        <v>111</v>
      </c>
      <c r="Q116">
        <v>1</v>
      </c>
      <c r="R116" s="5">
        <f t="shared" si="3"/>
        <v>0</v>
      </c>
    </row>
    <row r="117" spans="1:20">
      <c r="A117" s="4">
        <v>46235</v>
      </c>
      <c r="B117" t="s">
        <v>98</v>
      </c>
      <c r="C117" t="s">
        <v>99</v>
      </c>
      <c r="D117" t="s">
        <v>100</v>
      </c>
      <c r="E117" t="s">
        <v>101</v>
      </c>
      <c r="F117" t="s">
        <v>102</v>
      </c>
      <c r="G117" t="s">
        <v>103</v>
      </c>
      <c r="H117" t="s">
        <v>20</v>
      </c>
      <c r="I117" t="s">
        <v>104</v>
      </c>
      <c r="J117" t="s">
        <v>105</v>
      </c>
      <c r="L117" t="s">
        <v>30</v>
      </c>
      <c r="M117" t="s">
        <v>47</v>
      </c>
      <c r="N117" t="s">
        <v>110</v>
      </c>
      <c r="P117" t="s">
        <v>111</v>
      </c>
      <c r="Q117">
        <v>1</v>
      </c>
      <c r="R117" s="5">
        <f t="shared" si="3"/>
        <v>0</v>
      </c>
    </row>
    <row r="118" spans="1:20">
      <c r="A118" s="4">
        <v>46266</v>
      </c>
      <c r="B118" t="s">
        <v>98</v>
      </c>
      <c r="C118" t="s">
        <v>99</v>
      </c>
      <c r="D118" t="s">
        <v>100</v>
      </c>
      <c r="E118" t="s">
        <v>101</v>
      </c>
      <c r="F118" t="s">
        <v>102</v>
      </c>
      <c r="G118" t="s">
        <v>103</v>
      </c>
      <c r="H118" t="s">
        <v>20</v>
      </c>
      <c r="I118" t="s">
        <v>104</v>
      </c>
      <c r="J118" t="s">
        <v>105</v>
      </c>
      <c r="L118" t="s">
        <v>30</v>
      </c>
      <c r="M118" t="s">
        <v>47</v>
      </c>
      <c r="N118" t="s">
        <v>110</v>
      </c>
      <c r="P118" t="s">
        <v>111</v>
      </c>
      <c r="Q118">
        <v>1</v>
      </c>
      <c r="R118" s="5">
        <f t="shared" si="3"/>
        <v>0</v>
      </c>
    </row>
    <row r="119" spans="1:20">
      <c r="A119" s="4">
        <v>46296</v>
      </c>
      <c r="B119" t="s">
        <v>98</v>
      </c>
      <c r="C119" t="s">
        <v>99</v>
      </c>
      <c r="D119" t="s">
        <v>100</v>
      </c>
      <c r="E119" t="s">
        <v>101</v>
      </c>
      <c r="F119" t="s">
        <v>102</v>
      </c>
      <c r="G119" t="s">
        <v>103</v>
      </c>
      <c r="H119" t="s">
        <v>20</v>
      </c>
      <c r="I119" t="s">
        <v>104</v>
      </c>
      <c r="J119" t="s">
        <v>105</v>
      </c>
      <c r="L119" t="s">
        <v>30</v>
      </c>
      <c r="M119" t="s">
        <v>47</v>
      </c>
      <c r="N119" t="s">
        <v>110</v>
      </c>
      <c r="P119" t="s">
        <v>111</v>
      </c>
      <c r="Q119">
        <v>1</v>
      </c>
      <c r="R119" s="5">
        <f t="shared" si="3"/>
        <v>0</v>
      </c>
    </row>
    <row r="120" spans="1:20">
      <c r="A120" s="4">
        <v>46327</v>
      </c>
      <c r="B120" t="s">
        <v>98</v>
      </c>
      <c r="C120" t="s">
        <v>99</v>
      </c>
      <c r="D120" t="s">
        <v>100</v>
      </c>
      <c r="E120" t="s">
        <v>101</v>
      </c>
      <c r="F120" t="s">
        <v>102</v>
      </c>
      <c r="G120" t="s">
        <v>103</v>
      </c>
      <c r="H120" t="s">
        <v>20</v>
      </c>
      <c r="I120" t="s">
        <v>104</v>
      </c>
      <c r="J120" t="s">
        <v>105</v>
      </c>
      <c r="L120" t="s">
        <v>30</v>
      </c>
      <c r="M120" t="s">
        <v>47</v>
      </c>
      <c r="N120" t="s">
        <v>110</v>
      </c>
      <c r="P120" t="s">
        <v>111</v>
      </c>
      <c r="Q120">
        <v>1</v>
      </c>
      <c r="R120" s="5">
        <f t="shared" si="3"/>
        <v>0</v>
      </c>
    </row>
    <row r="121" spans="1:20">
      <c r="A121" s="4">
        <v>46357</v>
      </c>
      <c r="B121" t="s">
        <v>98</v>
      </c>
      <c r="C121" t="s">
        <v>99</v>
      </c>
      <c r="D121" t="s">
        <v>100</v>
      </c>
      <c r="E121" t="s">
        <v>101</v>
      </c>
      <c r="F121" t="s">
        <v>102</v>
      </c>
      <c r="G121" t="s">
        <v>103</v>
      </c>
      <c r="H121" t="s">
        <v>20</v>
      </c>
      <c r="I121" t="s">
        <v>104</v>
      </c>
      <c r="J121" t="s">
        <v>105</v>
      </c>
      <c r="L121" t="s">
        <v>30</v>
      </c>
      <c r="M121" t="s">
        <v>47</v>
      </c>
      <c r="N121" t="s">
        <v>110</v>
      </c>
      <c r="P121" t="s">
        <v>111</v>
      </c>
      <c r="Q121">
        <v>1</v>
      </c>
      <c r="R121" s="5">
        <f t="shared" si="3"/>
        <v>0</v>
      </c>
    </row>
    <row r="122" spans="1:20">
      <c r="A122" s="4">
        <v>46023</v>
      </c>
      <c r="B122" t="s">
        <v>98</v>
      </c>
      <c r="C122" t="s">
        <v>99</v>
      </c>
      <c r="D122" t="s">
        <v>100</v>
      </c>
      <c r="E122" t="s">
        <v>101</v>
      </c>
      <c r="F122" t="s">
        <v>102</v>
      </c>
      <c r="G122" t="s">
        <v>103</v>
      </c>
      <c r="H122" t="s">
        <v>20</v>
      </c>
      <c r="I122" t="s">
        <v>104</v>
      </c>
      <c r="J122" t="s">
        <v>105</v>
      </c>
      <c r="L122" t="s">
        <v>31</v>
      </c>
      <c r="M122" t="s">
        <v>114</v>
      </c>
      <c r="N122" t="s">
        <v>112</v>
      </c>
      <c r="P122" t="s">
        <v>113</v>
      </c>
      <c r="Q122">
        <v>1</v>
      </c>
      <c r="R122" s="5">
        <f t="shared" si="3"/>
        <v>0</v>
      </c>
      <c r="S122" t="s">
        <v>60</v>
      </c>
      <c r="T122" t="s">
        <v>75</v>
      </c>
    </row>
    <row r="123" spans="1:20">
      <c r="A123" s="4">
        <v>46054</v>
      </c>
      <c r="B123" t="s">
        <v>98</v>
      </c>
      <c r="C123" t="s">
        <v>99</v>
      </c>
      <c r="D123" t="s">
        <v>100</v>
      </c>
      <c r="E123" t="s">
        <v>101</v>
      </c>
      <c r="F123" t="s">
        <v>102</v>
      </c>
      <c r="G123" t="s">
        <v>103</v>
      </c>
      <c r="H123" t="s">
        <v>20</v>
      </c>
      <c r="I123" t="s">
        <v>104</v>
      </c>
      <c r="J123" t="s">
        <v>105</v>
      </c>
      <c r="L123" t="s">
        <v>31</v>
      </c>
      <c r="M123" t="s">
        <v>114</v>
      </c>
      <c r="N123" t="s">
        <v>112</v>
      </c>
      <c r="P123" t="s">
        <v>113</v>
      </c>
      <c r="Q123">
        <v>1</v>
      </c>
      <c r="R123" s="5">
        <f t="shared" si="3"/>
        <v>0</v>
      </c>
    </row>
    <row r="124" spans="1:20">
      <c r="A124" s="4">
        <v>46082</v>
      </c>
      <c r="B124" t="s">
        <v>98</v>
      </c>
      <c r="C124" t="s">
        <v>99</v>
      </c>
      <c r="D124" t="s">
        <v>100</v>
      </c>
      <c r="E124" t="s">
        <v>101</v>
      </c>
      <c r="F124" t="s">
        <v>102</v>
      </c>
      <c r="G124" t="s">
        <v>103</v>
      </c>
      <c r="H124" t="s">
        <v>20</v>
      </c>
      <c r="I124" t="s">
        <v>104</v>
      </c>
      <c r="J124" t="s">
        <v>105</v>
      </c>
      <c r="L124" t="s">
        <v>31</v>
      </c>
      <c r="M124" t="s">
        <v>114</v>
      </c>
      <c r="N124" t="s">
        <v>112</v>
      </c>
      <c r="P124" t="s">
        <v>113</v>
      </c>
      <c r="Q124">
        <v>1</v>
      </c>
      <c r="R124" s="5">
        <f t="shared" si="3"/>
        <v>0</v>
      </c>
    </row>
    <row r="125" spans="1:20">
      <c r="A125" s="4">
        <v>46113</v>
      </c>
      <c r="B125" t="s">
        <v>98</v>
      </c>
      <c r="C125" t="s">
        <v>99</v>
      </c>
      <c r="D125" t="s">
        <v>100</v>
      </c>
      <c r="E125" t="s">
        <v>101</v>
      </c>
      <c r="F125" t="s">
        <v>102</v>
      </c>
      <c r="G125" t="s">
        <v>103</v>
      </c>
      <c r="H125" t="s">
        <v>20</v>
      </c>
      <c r="I125" t="s">
        <v>104</v>
      </c>
      <c r="J125" t="s">
        <v>105</v>
      </c>
      <c r="L125" t="s">
        <v>31</v>
      </c>
      <c r="M125" t="s">
        <v>114</v>
      </c>
      <c r="N125" t="s">
        <v>112</v>
      </c>
      <c r="P125" t="s">
        <v>113</v>
      </c>
      <c r="Q125">
        <v>1</v>
      </c>
      <c r="R125" s="5">
        <f t="shared" si="3"/>
        <v>0</v>
      </c>
    </row>
    <row r="126" spans="1:20">
      <c r="A126" s="4">
        <v>46143</v>
      </c>
      <c r="B126" t="s">
        <v>98</v>
      </c>
      <c r="C126" t="s">
        <v>99</v>
      </c>
      <c r="D126" t="s">
        <v>100</v>
      </c>
      <c r="E126" t="s">
        <v>101</v>
      </c>
      <c r="F126" t="s">
        <v>102</v>
      </c>
      <c r="G126" t="s">
        <v>103</v>
      </c>
      <c r="H126" t="s">
        <v>20</v>
      </c>
      <c r="I126" t="s">
        <v>104</v>
      </c>
      <c r="J126" t="s">
        <v>105</v>
      </c>
      <c r="L126" t="s">
        <v>31</v>
      </c>
      <c r="M126" t="s">
        <v>114</v>
      </c>
      <c r="N126" t="s">
        <v>112</v>
      </c>
      <c r="P126" t="s">
        <v>113</v>
      </c>
      <c r="Q126">
        <v>1</v>
      </c>
      <c r="R126" s="5">
        <f t="shared" si="3"/>
        <v>0</v>
      </c>
    </row>
    <row r="127" spans="1:20">
      <c r="A127" s="4">
        <v>46174</v>
      </c>
      <c r="B127" t="s">
        <v>98</v>
      </c>
      <c r="C127" t="s">
        <v>99</v>
      </c>
      <c r="D127" t="s">
        <v>100</v>
      </c>
      <c r="E127" t="s">
        <v>101</v>
      </c>
      <c r="F127" t="s">
        <v>102</v>
      </c>
      <c r="G127" t="s">
        <v>103</v>
      </c>
      <c r="H127" t="s">
        <v>20</v>
      </c>
      <c r="I127" t="s">
        <v>104</v>
      </c>
      <c r="J127" t="s">
        <v>105</v>
      </c>
      <c r="L127" t="s">
        <v>31</v>
      </c>
      <c r="M127" t="s">
        <v>114</v>
      </c>
      <c r="N127" t="s">
        <v>112</v>
      </c>
      <c r="P127" t="s">
        <v>113</v>
      </c>
      <c r="Q127">
        <v>1</v>
      </c>
      <c r="R127" s="5">
        <f t="shared" si="3"/>
        <v>0</v>
      </c>
    </row>
    <row r="128" spans="1:20">
      <c r="A128" s="4">
        <v>46204</v>
      </c>
      <c r="B128" t="s">
        <v>98</v>
      </c>
      <c r="C128" t="s">
        <v>99</v>
      </c>
      <c r="D128" t="s">
        <v>100</v>
      </c>
      <c r="E128" t="s">
        <v>101</v>
      </c>
      <c r="F128" t="s">
        <v>102</v>
      </c>
      <c r="G128" t="s">
        <v>103</v>
      </c>
      <c r="H128" t="s">
        <v>20</v>
      </c>
      <c r="I128" t="s">
        <v>104</v>
      </c>
      <c r="J128" t="s">
        <v>105</v>
      </c>
      <c r="L128" t="s">
        <v>31</v>
      </c>
      <c r="M128" t="s">
        <v>114</v>
      </c>
      <c r="N128" t="s">
        <v>112</v>
      </c>
      <c r="P128" t="s">
        <v>113</v>
      </c>
      <c r="Q128">
        <v>1</v>
      </c>
      <c r="R128" s="5">
        <f t="shared" si="3"/>
        <v>0</v>
      </c>
    </row>
    <row r="129" spans="1:20">
      <c r="A129" s="4">
        <v>46235</v>
      </c>
      <c r="B129" t="s">
        <v>98</v>
      </c>
      <c r="C129" t="s">
        <v>99</v>
      </c>
      <c r="D129" t="s">
        <v>100</v>
      </c>
      <c r="E129" t="s">
        <v>101</v>
      </c>
      <c r="F129" t="s">
        <v>102</v>
      </c>
      <c r="G129" t="s">
        <v>103</v>
      </c>
      <c r="H129" t="s">
        <v>20</v>
      </c>
      <c r="I129" t="s">
        <v>104</v>
      </c>
      <c r="J129" t="s">
        <v>105</v>
      </c>
      <c r="L129" t="s">
        <v>31</v>
      </c>
      <c r="M129" t="s">
        <v>114</v>
      </c>
      <c r="N129" t="s">
        <v>112</v>
      </c>
      <c r="P129" t="s">
        <v>113</v>
      </c>
      <c r="Q129">
        <v>1</v>
      </c>
      <c r="R129" s="5">
        <f t="shared" si="3"/>
        <v>0</v>
      </c>
    </row>
    <row r="130" spans="1:20">
      <c r="A130" s="4">
        <v>46266</v>
      </c>
      <c r="B130" t="s">
        <v>98</v>
      </c>
      <c r="C130" t="s">
        <v>99</v>
      </c>
      <c r="D130" t="s">
        <v>100</v>
      </c>
      <c r="E130" t="s">
        <v>101</v>
      </c>
      <c r="F130" t="s">
        <v>102</v>
      </c>
      <c r="G130" t="s">
        <v>103</v>
      </c>
      <c r="H130" t="s">
        <v>20</v>
      </c>
      <c r="I130" t="s">
        <v>104</v>
      </c>
      <c r="J130" t="s">
        <v>105</v>
      </c>
      <c r="L130" t="s">
        <v>31</v>
      </c>
      <c r="M130" t="s">
        <v>114</v>
      </c>
      <c r="N130" t="s">
        <v>112</v>
      </c>
      <c r="P130" t="s">
        <v>113</v>
      </c>
      <c r="Q130">
        <v>1</v>
      </c>
      <c r="R130" s="5">
        <f t="shared" si="3"/>
        <v>0</v>
      </c>
    </row>
    <row r="131" spans="1:20">
      <c r="A131" s="4">
        <v>46296</v>
      </c>
      <c r="B131" t="s">
        <v>98</v>
      </c>
      <c r="C131" t="s">
        <v>99</v>
      </c>
      <c r="D131" t="s">
        <v>100</v>
      </c>
      <c r="E131" t="s">
        <v>101</v>
      </c>
      <c r="F131" t="s">
        <v>102</v>
      </c>
      <c r="G131" t="s">
        <v>103</v>
      </c>
      <c r="H131" t="s">
        <v>20</v>
      </c>
      <c r="I131" t="s">
        <v>104</v>
      </c>
      <c r="J131" t="s">
        <v>105</v>
      </c>
      <c r="L131" t="s">
        <v>31</v>
      </c>
      <c r="M131" t="s">
        <v>114</v>
      </c>
      <c r="N131" t="s">
        <v>112</v>
      </c>
      <c r="P131" t="s">
        <v>113</v>
      </c>
      <c r="Q131">
        <v>1</v>
      </c>
      <c r="R131" s="5">
        <f t="shared" si="3"/>
        <v>0</v>
      </c>
    </row>
    <row r="132" spans="1:20">
      <c r="A132" s="4">
        <v>46327</v>
      </c>
      <c r="B132" t="s">
        <v>98</v>
      </c>
      <c r="C132" t="s">
        <v>99</v>
      </c>
      <c r="D132" t="s">
        <v>100</v>
      </c>
      <c r="E132" t="s">
        <v>101</v>
      </c>
      <c r="F132" t="s">
        <v>102</v>
      </c>
      <c r="G132" t="s">
        <v>103</v>
      </c>
      <c r="H132" t="s">
        <v>20</v>
      </c>
      <c r="I132" t="s">
        <v>104</v>
      </c>
      <c r="J132" t="s">
        <v>105</v>
      </c>
      <c r="L132" t="s">
        <v>31</v>
      </c>
      <c r="M132" t="s">
        <v>114</v>
      </c>
      <c r="N132" t="s">
        <v>112</v>
      </c>
      <c r="P132" t="s">
        <v>113</v>
      </c>
      <c r="Q132">
        <v>1</v>
      </c>
      <c r="R132" s="5">
        <f t="shared" si="3"/>
        <v>0</v>
      </c>
    </row>
    <row r="133" spans="1:20">
      <c r="A133" s="4">
        <v>46357</v>
      </c>
      <c r="B133" t="s">
        <v>98</v>
      </c>
      <c r="C133" t="s">
        <v>99</v>
      </c>
      <c r="D133" t="s">
        <v>100</v>
      </c>
      <c r="E133" t="s">
        <v>101</v>
      </c>
      <c r="F133" t="s">
        <v>102</v>
      </c>
      <c r="G133" t="s">
        <v>103</v>
      </c>
      <c r="H133" t="s">
        <v>20</v>
      </c>
      <c r="I133" t="s">
        <v>104</v>
      </c>
      <c r="J133" t="s">
        <v>105</v>
      </c>
      <c r="L133" t="s">
        <v>31</v>
      </c>
      <c r="M133" t="s">
        <v>114</v>
      </c>
      <c r="N133" t="s">
        <v>112</v>
      </c>
      <c r="P133" t="s">
        <v>113</v>
      </c>
      <c r="Q133">
        <v>1</v>
      </c>
      <c r="R133" s="5">
        <f t="shared" si="3"/>
        <v>0</v>
      </c>
    </row>
    <row r="134" spans="1:20">
      <c r="A134" s="4">
        <v>46023</v>
      </c>
      <c r="B134" t="s">
        <v>98</v>
      </c>
      <c r="C134" t="s">
        <v>99</v>
      </c>
      <c r="D134" t="s">
        <v>100</v>
      </c>
      <c r="E134" t="s">
        <v>101</v>
      </c>
      <c r="F134" t="s">
        <v>102</v>
      </c>
      <c r="G134" t="s">
        <v>103</v>
      </c>
      <c r="H134" t="s">
        <v>20</v>
      </c>
      <c r="I134" t="s">
        <v>104</v>
      </c>
      <c r="J134" t="s">
        <v>105</v>
      </c>
      <c r="L134" t="s">
        <v>32</v>
      </c>
      <c r="M134" t="s">
        <v>115</v>
      </c>
      <c r="N134" t="s">
        <v>116</v>
      </c>
      <c r="P134" t="s">
        <v>117</v>
      </c>
      <c r="Q134">
        <v>1</v>
      </c>
      <c r="R134" s="5">
        <f t="shared" si="3"/>
        <v>0</v>
      </c>
      <c r="S134" t="s">
        <v>61</v>
      </c>
      <c r="T134" t="s">
        <v>76</v>
      </c>
    </row>
    <row r="135" spans="1:20">
      <c r="A135" s="4">
        <v>46054</v>
      </c>
      <c r="B135" t="s">
        <v>98</v>
      </c>
      <c r="C135" t="s">
        <v>99</v>
      </c>
      <c r="D135" t="s">
        <v>100</v>
      </c>
      <c r="E135" t="s">
        <v>101</v>
      </c>
      <c r="F135" t="s">
        <v>102</v>
      </c>
      <c r="G135" t="s">
        <v>103</v>
      </c>
      <c r="H135" t="s">
        <v>20</v>
      </c>
      <c r="I135" t="s">
        <v>104</v>
      </c>
      <c r="J135" t="s">
        <v>105</v>
      </c>
      <c r="L135" t="s">
        <v>32</v>
      </c>
      <c r="M135" t="s">
        <v>115</v>
      </c>
      <c r="N135" t="s">
        <v>116</v>
      </c>
      <c r="P135" t="s">
        <v>117</v>
      </c>
      <c r="Q135">
        <v>1</v>
      </c>
      <c r="R135" s="5">
        <f t="shared" si="3"/>
        <v>0</v>
      </c>
    </row>
    <row r="136" spans="1:20">
      <c r="A136" s="4">
        <v>46082</v>
      </c>
      <c r="B136" t="s">
        <v>98</v>
      </c>
      <c r="C136" t="s">
        <v>99</v>
      </c>
      <c r="D136" t="s">
        <v>100</v>
      </c>
      <c r="E136" t="s">
        <v>101</v>
      </c>
      <c r="F136" t="s">
        <v>102</v>
      </c>
      <c r="G136" t="s">
        <v>103</v>
      </c>
      <c r="H136" t="s">
        <v>20</v>
      </c>
      <c r="I136" t="s">
        <v>104</v>
      </c>
      <c r="J136" t="s">
        <v>105</v>
      </c>
      <c r="L136" t="s">
        <v>32</v>
      </c>
      <c r="M136" t="s">
        <v>115</v>
      </c>
      <c r="N136" t="s">
        <v>116</v>
      </c>
      <c r="P136" t="s">
        <v>117</v>
      </c>
      <c r="Q136">
        <v>1</v>
      </c>
      <c r="R136" s="5">
        <f t="shared" si="3"/>
        <v>0</v>
      </c>
    </row>
    <row r="137" spans="1:20">
      <c r="A137" s="4">
        <v>46113</v>
      </c>
      <c r="B137" t="s">
        <v>98</v>
      </c>
      <c r="C137" t="s">
        <v>99</v>
      </c>
      <c r="D137" t="s">
        <v>100</v>
      </c>
      <c r="E137" t="s">
        <v>101</v>
      </c>
      <c r="F137" t="s">
        <v>102</v>
      </c>
      <c r="G137" t="s">
        <v>103</v>
      </c>
      <c r="H137" t="s">
        <v>20</v>
      </c>
      <c r="I137" t="s">
        <v>104</v>
      </c>
      <c r="J137" t="s">
        <v>105</v>
      </c>
      <c r="L137" t="s">
        <v>32</v>
      </c>
      <c r="M137" t="s">
        <v>115</v>
      </c>
      <c r="N137" t="s">
        <v>116</v>
      </c>
      <c r="P137" t="s">
        <v>117</v>
      </c>
      <c r="Q137">
        <v>1</v>
      </c>
      <c r="R137" s="5">
        <f t="shared" si="3"/>
        <v>0</v>
      </c>
    </row>
    <row r="138" spans="1:20">
      <c r="A138" s="4">
        <v>46143</v>
      </c>
      <c r="B138" t="s">
        <v>98</v>
      </c>
      <c r="C138" t="s">
        <v>99</v>
      </c>
      <c r="D138" t="s">
        <v>100</v>
      </c>
      <c r="E138" t="s">
        <v>101</v>
      </c>
      <c r="F138" t="s">
        <v>102</v>
      </c>
      <c r="G138" t="s">
        <v>103</v>
      </c>
      <c r="H138" t="s">
        <v>20</v>
      </c>
      <c r="I138" t="s">
        <v>104</v>
      </c>
      <c r="J138" t="s">
        <v>105</v>
      </c>
      <c r="L138" t="s">
        <v>32</v>
      </c>
      <c r="M138" t="s">
        <v>115</v>
      </c>
      <c r="N138" t="s">
        <v>116</v>
      </c>
      <c r="P138" t="s">
        <v>117</v>
      </c>
      <c r="Q138">
        <v>1</v>
      </c>
      <c r="R138" s="5">
        <f t="shared" si="3"/>
        <v>0</v>
      </c>
    </row>
    <row r="139" spans="1:20">
      <c r="A139" s="4">
        <v>46174</v>
      </c>
      <c r="B139" t="s">
        <v>98</v>
      </c>
      <c r="C139" t="s">
        <v>99</v>
      </c>
      <c r="D139" t="s">
        <v>100</v>
      </c>
      <c r="E139" t="s">
        <v>101</v>
      </c>
      <c r="F139" t="s">
        <v>102</v>
      </c>
      <c r="G139" t="s">
        <v>103</v>
      </c>
      <c r="H139" t="s">
        <v>20</v>
      </c>
      <c r="I139" t="s">
        <v>104</v>
      </c>
      <c r="J139" t="s">
        <v>105</v>
      </c>
      <c r="L139" t="s">
        <v>32</v>
      </c>
      <c r="M139" t="s">
        <v>115</v>
      </c>
      <c r="N139" t="s">
        <v>116</v>
      </c>
      <c r="P139" t="s">
        <v>117</v>
      </c>
      <c r="Q139">
        <v>1</v>
      </c>
      <c r="R139" s="5">
        <f t="shared" ref="R139:R202" si="4">IFERROR(O139/Q139,0%)</f>
        <v>0</v>
      </c>
    </row>
    <row r="140" spans="1:20">
      <c r="A140" s="4">
        <v>46204</v>
      </c>
      <c r="B140" t="s">
        <v>98</v>
      </c>
      <c r="C140" t="s">
        <v>99</v>
      </c>
      <c r="D140" t="s">
        <v>100</v>
      </c>
      <c r="E140" t="s">
        <v>101</v>
      </c>
      <c r="F140" t="s">
        <v>102</v>
      </c>
      <c r="G140" t="s">
        <v>103</v>
      </c>
      <c r="H140" t="s">
        <v>20</v>
      </c>
      <c r="I140" t="s">
        <v>104</v>
      </c>
      <c r="J140" t="s">
        <v>105</v>
      </c>
      <c r="L140" t="s">
        <v>32</v>
      </c>
      <c r="M140" t="s">
        <v>115</v>
      </c>
      <c r="N140" t="s">
        <v>116</v>
      </c>
      <c r="P140" t="s">
        <v>117</v>
      </c>
      <c r="Q140">
        <v>1</v>
      </c>
      <c r="R140" s="5">
        <f t="shared" si="4"/>
        <v>0</v>
      </c>
    </row>
    <row r="141" spans="1:20">
      <c r="A141" s="4">
        <v>46235</v>
      </c>
      <c r="B141" t="s">
        <v>98</v>
      </c>
      <c r="C141" t="s">
        <v>99</v>
      </c>
      <c r="D141" t="s">
        <v>100</v>
      </c>
      <c r="E141" t="s">
        <v>101</v>
      </c>
      <c r="F141" t="s">
        <v>102</v>
      </c>
      <c r="G141" t="s">
        <v>103</v>
      </c>
      <c r="H141" t="s">
        <v>20</v>
      </c>
      <c r="I141" t="s">
        <v>104</v>
      </c>
      <c r="J141" t="s">
        <v>105</v>
      </c>
      <c r="L141" t="s">
        <v>32</v>
      </c>
      <c r="M141" t="s">
        <v>115</v>
      </c>
      <c r="N141" t="s">
        <v>116</v>
      </c>
      <c r="P141" t="s">
        <v>117</v>
      </c>
      <c r="Q141">
        <v>1</v>
      </c>
      <c r="R141" s="5">
        <f t="shared" si="4"/>
        <v>0</v>
      </c>
    </row>
    <row r="142" spans="1:20">
      <c r="A142" s="4">
        <v>46266</v>
      </c>
      <c r="B142" t="s">
        <v>98</v>
      </c>
      <c r="C142" t="s">
        <v>99</v>
      </c>
      <c r="D142" t="s">
        <v>100</v>
      </c>
      <c r="E142" t="s">
        <v>101</v>
      </c>
      <c r="F142" t="s">
        <v>102</v>
      </c>
      <c r="G142" t="s">
        <v>103</v>
      </c>
      <c r="H142" t="s">
        <v>20</v>
      </c>
      <c r="I142" t="s">
        <v>104</v>
      </c>
      <c r="J142" t="s">
        <v>105</v>
      </c>
      <c r="L142" t="s">
        <v>32</v>
      </c>
      <c r="M142" t="s">
        <v>115</v>
      </c>
      <c r="N142" t="s">
        <v>116</v>
      </c>
      <c r="P142" t="s">
        <v>117</v>
      </c>
      <c r="Q142">
        <v>1</v>
      </c>
      <c r="R142" s="5">
        <f t="shared" si="4"/>
        <v>0</v>
      </c>
    </row>
    <row r="143" spans="1:20">
      <c r="A143" s="4">
        <v>46296</v>
      </c>
      <c r="B143" t="s">
        <v>98</v>
      </c>
      <c r="C143" t="s">
        <v>99</v>
      </c>
      <c r="D143" t="s">
        <v>100</v>
      </c>
      <c r="E143" t="s">
        <v>101</v>
      </c>
      <c r="F143" t="s">
        <v>102</v>
      </c>
      <c r="G143" t="s">
        <v>103</v>
      </c>
      <c r="H143" t="s">
        <v>20</v>
      </c>
      <c r="I143" t="s">
        <v>104</v>
      </c>
      <c r="J143" t="s">
        <v>105</v>
      </c>
      <c r="L143" t="s">
        <v>32</v>
      </c>
      <c r="M143" t="s">
        <v>115</v>
      </c>
      <c r="N143" t="s">
        <v>116</v>
      </c>
      <c r="P143" t="s">
        <v>117</v>
      </c>
      <c r="Q143">
        <v>1</v>
      </c>
      <c r="R143" s="5">
        <f t="shared" si="4"/>
        <v>0</v>
      </c>
    </row>
    <row r="144" spans="1:20">
      <c r="A144" s="4">
        <v>46327</v>
      </c>
      <c r="B144" t="s">
        <v>98</v>
      </c>
      <c r="C144" t="s">
        <v>99</v>
      </c>
      <c r="D144" t="s">
        <v>100</v>
      </c>
      <c r="E144" t="s">
        <v>101</v>
      </c>
      <c r="F144" t="s">
        <v>102</v>
      </c>
      <c r="G144" t="s">
        <v>103</v>
      </c>
      <c r="H144" t="s">
        <v>20</v>
      </c>
      <c r="I144" t="s">
        <v>104</v>
      </c>
      <c r="J144" t="s">
        <v>105</v>
      </c>
      <c r="L144" t="s">
        <v>32</v>
      </c>
      <c r="M144" t="s">
        <v>115</v>
      </c>
      <c r="N144" t="s">
        <v>116</v>
      </c>
      <c r="P144" t="s">
        <v>117</v>
      </c>
      <c r="Q144">
        <v>1</v>
      </c>
      <c r="R144" s="5">
        <f t="shared" si="4"/>
        <v>0</v>
      </c>
    </row>
    <row r="145" spans="1:20">
      <c r="A145" s="4">
        <v>46357</v>
      </c>
      <c r="B145" t="s">
        <v>98</v>
      </c>
      <c r="C145" t="s">
        <v>99</v>
      </c>
      <c r="D145" t="s">
        <v>100</v>
      </c>
      <c r="E145" t="s">
        <v>101</v>
      </c>
      <c r="F145" t="s">
        <v>102</v>
      </c>
      <c r="G145" t="s">
        <v>103</v>
      </c>
      <c r="H145" t="s">
        <v>20</v>
      </c>
      <c r="I145" t="s">
        <v>104</v>
      </c>
      <c r="J145" t="s">
        <v>105</v>
      </c>
      <c r="L145" t="s">
        <v>32</v>
      </c>
      <c r="M145" t="s">
        <v>115</v>
      </c>
      <c r="N145" t="s">
        <v>116</v>
      </c>
      <c r="P145" t="s">
        <v>117</v>
      </c>
      <c r="Q145">
        <v>1</v>
      </c>
      <c r="R145" s="5">
        <f t="shared" si="4"/>
        <v>0</v>
      </c>
    </row>
    <row r="146" spans="1:20">
      <c r="A146" s="4">
        <v>46023</v>
      </c>
      <c r="B146" t="s">
        <v>98</v>
      </c>
      <c r="C146" t="s">
        <v>99</v>
      </c>
      <c r="D146" t="s">
        <v>100</v>
      </c>
      <c r="E146" t="s">
        <v>101</v>
      </c>
      <c r="F146" t="s">
        <v>102</v>
      </c>
      <c r="G146" t="s">
        <v>103</v>
      </c>
      <c r="H146" t="s">
        <v>20</v>
      </c>
      <c r="I146" t="s">
        <v>104</v>
      </c>
      <c r="J146" t="s">
        <v>105</v>
      </c>
      <c r="L146" t="s">
        <v>33</v>
      </c>
      <c r="M146" t="s">
        <v>48</v>
      </c>
      <c r="N146" t="s">
        <v>118</v>
      </c>
      <c r="P146" t="s">
        <v>119</v>
      </c>
      <c r="Q146">
        <v>10</v>
      </c>
      <c r="R146" s="5">
        <f t="shared" si="4"/>
        <v>0</v>
      </c>
      <c r="S146" t="s">
        <v>62</v>
      </c>
      <c r="T146" t="s">
        <v>77</v>
      </c>
    </row>
    <row r="147" spans="1:20">
      <c r="A147" s="4">
        <v>46054</v>
      </c>
      <c r="B147" t="s">
        <v>98</v>
      </c>
      <c r="C147" t="s">
        <v>99</v>
      </c>
      <c r="D147" t="s">
        <v>100</v>
      </c>
      <c r="E147" t="s">
        <v>101</v>
      </c>
      <c r="F147" t="s">
        <v>102</v>
      </c>
      <c r="G147" t="s">
        <v>103</v>
      </c>
      <c r="H147" t="s">
        <v>20</v>
      </c>
      <c r="I147" t="s">
        <v>104</v>
      </c>
      <c r="J147" t="s">
        <v>105</v>
      </c>
      <c r="L147" t="s">
        <v>33</v>
      </c>
      <c r="M147" t="s">
        <v>48</v>
      </c>
      <c r="N147" t="s">
        <v>118</v>
      </c>
      <c r="P147" t="s">
        <v>119</v>
      </c>
      <c r="Q147">
        <v>10</v>
      </c>
      <c r="R147" s="5">
        <f t="shared" si="4"/>
        <v>0</v>
      </c>
    </row>
    <row r="148" spans="1:20">
      <c r="A148" s="4">
        <v>46082</v>
      </c>
      <c r="B148" t="s">
        <v>98</v>
      </c>
      <c r="C148" t="s">
        <v>99</v>
      </c>
      <c r="D148" t="s">
        <v>100</v>
      </c>
      <c r="E148" t="s">
        <v>101</v>
      </c>
      <c r="F148" t="s">
        <v>102</v>
      </c>
      <c r="G148" t="s">
        <v>103</v>
      </c>
      <c r="H148" t="s">
        <v>20</v>
      </c>
      <c r="I148" t="s">
        <v>104</v>
      </c>
      <c r="J148" t="s">
        <v>105</v>
      </c>
      <c r="L148" t="s">
        <v>33</v>
      </c>
      <c r="M148" t="s">
        <v>48</v>
      </c>
      <c r="N148" t="s">
        <v>118</v>
      </c>
      <c r="P148" t="s">
        <v>119</v>
      </c>
      <c r="Q148">
        <v>10</v>
      </c>
      <c r="R148" s="5">
        <f t="shared" si="4"/>
        <v>0</v>
      </c>
    </row>
    <row r="149" spans="1:20">
      <c r="A149" s="4">
        <v>46113</v>
      </c>
      <c r="B149" t="s">
        <v>98</v>
      </c>
      <c r="C149" t="s">
        <v>99</v>
      </c>
      <c r="D149" t="s">
        <v>100</v>
      </c>
      <c r="E149" t="s">
        <v>101</v>
      </c>
      <c r="F149" t="s">
        <v>102</v>
      </c>
      <c r="G149" t="s">
        <v>103</v>
      </c>
      <c r="H149" t="s">
        <v>20</v>
      </c>
      <c r="I149" t="s">
        <v>104</v>
      </c>
      <c r="J149" t="s">
        <v>105</v>
      </c>
      <c r="L149" t="s">
        <v>33</v>
      </c>
      <c r="M149" t="s">
        <v>48</v>
      </c>
      <c r="N149" t="s">
        <v>118</v>
      </c>
      <c r="P149" t="s">
        <v>119</v>
      </c>
      <c r="Q149">
        <v>10</v>
      </c>
      <c r="R149" s="5">
        <f t="shared" si="4"/>
        <v>0</v>
      </c>
    </row>
    <row r="150" spans="1:20">
      <c r="A150" s="4">
        <v>46143</v>
      </c>
      <c r="B150" t="s">
        <v>98</v>
      </c>
      <c r="C150" t="s">
        <v>99</v>
      </c>
      <c r="D150" t="s">
        <v>100</v>
      </c>
      <c r="E150" t="s">
        <v>101</v>
      </c>
      <c r="F150" t="s">
        <v>102</v>
      </c>
      <c r="G150" t="s">
        <v>103</v>
      </c>
      <c r="H150" t="s">
        <v>20</v>
      </c>
      <c r="I150" t="s">
        <v>104</v>
      </c>
      <c r="J150" t="s">
        <v>105</v>
      </c>
      <c r="L150" t="s">
        <v>33</v>
      </c>
      <c r="M150" t="s">
        <v>48</v>
      </c>
      <c r="N150" t="s">
        <v>118</v>
      </c>
      <c r="P150" t="s">
        <v>119</v>
      </c>
      <c r="Q150">
        <v>10</v>
      </c>
      <c r="R150" s="5">
        <f t="shared" si="4"/>
        <v>0</v>
      </c>
    </row>
    <row r="151" spans="1:20">
      <c r="A151" s="4">
        <v>46174</v>
      </c>
      <c r="B151" t="s">
        <v>98</v>
      </c>
      <c r="C151" t="s">
        <v>99</v>
      </c>
      <c r="D151" t="s">
        <v>100</v>
      </c>
      <c r="E151" t="s">
        <v>101</v>
      </c>
      <c r="F151" t="s">
        <v>102</v>
      </c>
      <c r="G151" t="s">
        <v>103</v>
      </c>
      <c r="H151" t="s">
        <v>20</v>
      </c>
      <c r="I151" t="s">
        <v>104</v>
      </c>
      <c r="J151" t="s">
        <v>105</v>
      </c>
      <c r="L151" t="s">
        <v>33</v>
      </c>
      <c r="M151" t="s">
        <v>48</v>
      </c>
      <c r="N151" t="s">
        <v>118</v>
      </c>
      <c r="P151" t="s">
        <v>119</v>
      </c>
      <c r="Q151">
        <v>10</v>
      </c>
      <c r="R151" s="5">
        <f t="shared" si="4"/>
        <v>0</v>
      </c>
    </row>
    <row r="152" spans="1:20">
      <c r="A152" s="4">
        <v>46204</v>
      </c>
      <c r="B152" t="s">
        <v>98</v>
      </c>
      <c r="C152" t="s">
        <v>99</v>
      </c>
      <c r="D152" t="s">
        <v>100</v>
      </c>
      <c r="E152" t="s">
        <v>101</v>
      </c>
      <c r="F152" t="s">
        <v>102</v>
      </c>
      <c r="G152" t="s">
        <v>103</v>
      </c>
      <c r="H152" t="s">
        <v>20</v>
      </c>
      <c r="I152" t="s">
        <v>104</v>
      </c>
      <c r="J152" t="s">
        <v>105</v>
      </c>
      <c r="L152" t="s">
        <v>33</v>
      </c>
      <c r="M152" t="s">
        <v>48</v>
      </c>
      <c r="N152" t="s">
        <v>118</v>
      </c>
      <c r="P152" t="s">
        <v>119</v>
      </c>
      <c r="Q152">
        <v>10</v>
      </c>
      <c r="R152" s="5">
        <f t="shared" si="4"/>
        <v>0</v>
      </c>
    </row>
    <row r="153" spans="1:20">
      <c r="A153" s="4">
        <v>46235</v>
      </c>
      <c r="B153" t="s">
        <v>98</v>
      </c>
      <c r="C153" t="s">
        <v>99</v>
      </c>
      <c r="D153" t="s">
        <v>100</v>
      </c>
      <c r="E153" t="s">
        <v>101</v>
      </c>
      <c r="F153" t="s">
        <v>102</v>
      </c>
      <c r="G153" t="s">
        <v>103</v>
      </c>
      <c r="H153" t="s">
        <v>20</v>
      </c>
      <c r="I153" t="s">
        <v>104</v>
      </c>
      <c r="J153" t="s">
        <v>105</v>
      </c>
      <c r="L153" t="s">
        <v>33</v>
      </c>
      <c r="M153" t="s">
        <v>48</v>
      </c>
      <c r="N153" t="s">
        <v>118</v>
      </c>
      <c r="P153" t="s">
        <v>119</v>
      </c>
      <c r="Q153">
        <v>10</v>
      </c>
      <c r="R153" s="5">
        <f t="shared" si="4"/>
        <v>0</v>
      </c>
    </row>
    <row r="154" spans="1:20">
      <c r="A154" s="4">
        <v>46266</v>
      </c>
      <c r="B154" t="s">
        <v>98</v>
      </c>
      <c r="C154" t="s">
        <v>99</v>
      </c>
      <c r="D154" t="s">
        <v>100</v>
      </c>
      <c r="E154" t="s">
        <v>101</v>
      </c>
      <c r="F154" t="s">
        <v>102</v>
      </c>
      <c r="G154" t="s">
        <v>103</v>
      </c>
      <c r="H154" t="s">
        <v>20</v>
      </c>
      <c r="I154" t="s">
        <v>104</v>
      </c>
      <c r="J154" t="s">
        <v>105</v>
      </c>
      <c r="L154" t="s">
        <v>33</v>
      </c>
      <c r="M154" t="s">
        <v>48</v>
      </c>
      <c r="N154" t="s">
        <v>118</v>
      </c>
      <c r="P154" t="s">
        <v>119</v>
      </c>
      <c r="Q154">
        <v>10</v>
      </c>
      <c r="R154" s="5">
        <f t="shared" si="4"/>
        <v>0</v>
      </c>
    </row>
    <row r="155" spans="1:20">
      <c r="A155" s="4">
        <v>46296</v>
      </c>
      <c r="B155" t="s">
        <v>98</v>
      </c>
      <c r="C155" t="s">
        <v>99</v>
      </c>
      <c r="D155" t="s">
        <v>100</v>
      </c>
      <c r="E155" t="s">
        <v>101</v>
      </c>
      <c r="F155" t="s">
        <v>102</v>
      </c>
      <c r="G155" t="s">
        <v>103</v>
      </c>
      <c r="H155" t="s">
        <v>20</v>
      </c>
      <c r="I155" t="s">
        <v>104</v>
      </c>
      <c r="J155" t="s">
        <v>105</v>
      </c>
      <c r="L155" t="s">
        <v>33</v>
      </c>
      <c r="M155" t="s">
        <v>48</v>
      </c>
      <c r="N155" t="s">
        <v>118</v>
      </c>
      <c r="P155" t="s">
        <v>119</v>
      </c>
      <c r="Q155">
        <v>10</v>
      </c>
      <c r="R155" s="5">
        <f t="shared" si="4"/>
        <v>0</v>
      </c>
    </row>
    <row r="156" spans="1:20">
      <c r="A156" s="4">
        <v>46327</v>
      </c>
      <c r="B156" t="s">
        <v>98</v>
      </c>
      <c r="C156" t="s">
        <v>99</v>
      </c>
      <c r="D156" t="s">
        <v>100</v>
      </c>
      <c r="E156" t="s">
        <v>101</v>
      </c>
      <c r="F156" t="s">
        <v>102</v>
      </c>
      <c r="G156" t="s">
        <v>103</v>
      </c>
      <c r="H156" t="s">
        <v>20</v>
      </c>
      <c r="I156" t="s">
        <v>104</v>
      </c>
      <c r="J156" t="s">
        <v>105</v>
      </c>
      <c r="L156" t="s">
        <v>33</v>
      </c>
      <c r="M156" t="s">
        <v>48</v>
      </c>
      <c r="N156" t="s">
        <v>118</v>
      </c>
      <c r="P156" t="s">
        <v>119</v>
      </c>
      <c r="Q156">
        <v>10</v>
      </c>
      <c r="R156" s="5">
        <f t="shared" si="4"/>
        <v>0</v>
      </c>
    </row>
    <row r="157" spans="1:20">
      <c r="A157" s="4">
        <v>46357</v>
      </c>
      <c r="B157" t="s">
        <v>98</v>
      </c>
      <c r="C157" t="s">
        <v>99</v>
      </c>
      <c r="D157" t="s">
        <v>100</v>
      </c>
      <c r="E157" t="s">
        <v>101</v>
      </c>
      <c r="F157" t="s">
        <v>102</v>
      </c>
      <c r="G157" t="s">
        <v>103</v>
      </c>
      <c r="H157" t="s">
        <v>20</v>
      </c>
      <c r="I157" t="s">
        <v>104</v>
      </c>
      <c r="J157" t="s">
        <v>105</v>
      </c>
      <c r="L157" t="s">
        <v>33</v>
      </c>
      <c r="M157" t="s">
        <v>48</v>
      </c>
      <c r="N157" t="s">
        <v>118</v>
      </c>
      <c r="P157" t="s">
        <v>119</v>
      </c>
      <c r="Q157">
        <v>10</v>
      </c>
      <c r="R157" s="5">
        <f t="shared" si="4"/>
        <v>0</v>
      </c>
    </row>
    <row r="158" spans="1:20">
      <c r="A158" s="4">
        <v>46023</v>
      </c>
      <c r="B158" t="s">
        <v>98</v>
      </c>
      <c r="C158" t="s">
        <v>99</v>
      </c>
      <c r="D158" t="s">
        <v>100</v>
      </c>
      <c r="E158" t="s">
        <v>101</v>
      </c>
      <c r="F158" t="s">
        <v>102</v>
      </c>
      <c r="G158" t="s">
        <v>103</v>
      </c>
      <c r="H158" t="s">
        <v>20</v>
      </c>
      <c r="I158" t="s">
        <v>104</v>
      </c>
      <c r="J158" t="s">
        <v>105</v>
      </c>
      <c r="L158" t="s">
        <v>34</v>
      </c>
      <c r="M158" t="s">
        <v>49</v>
      </c>
      <c r="N158" t="s">
        <v>120</v>
      </c>
      <c r="P158" t="s">
        <v>121</v>
      </c>
      <c r="Q158">
        <v>1</v>
      </c>
      <c r="R158" s="5">
        <f t="shared" si="4"/>
        <v>0</v>
      </c>
      <c r="S158" t="s">
        <v>63</v>
      </c>
      <c r="T158" t="s">
        <v>78</v>
      </c>
    </row>
    <row r="159" spans="1:20">
      <c r="A159" s="4">
        <v>46054</v>
      </c>
      <c r="B159" t="s">
        <v>98</v>
      </c>
      <c r="C159" t="s">
        <v>99</v>
      </c>
      <c r="D159" t="s">
        <v>100</v>
      </c>
      <c r="E159" t="s">
        <v>101</v>
      </c>
      <c r="F159" t="s">
        <v>102</v>
      </c>
      <c r="G159" t="s">
        <v>103</v>
      </c>
      <c r="H159" t="s">
        <v>20</v>
      </c>
      <c r="I159" t="s">
        <v>104</v>
      </c>
      <c r="J159" t="s">
        <v>105</v>
      </c>
      <c r="L159" t="s">
        <v>34</v>
      </c>
      <c r="M159" t="s">
        <v>49</v>
      </c>
      <c r="N159" t="s">
        <v>120</v>
      </c>
      <c r="P159" t="s">
        <v>121</v>
      </c>
      <c r="Q159">
        <v>1</v>
      </c>
      <c r="R159" s="5">
        <f t="shared" si="4"/>
        <v>0</v>
      </c>
    </row>
    <row r="160" spans="1:20">
      <c r="A160" s="4">
        <v>46082</v>
      </c>
      <c r="B160" t="s">
        <v>98</v>
      </c>
      <c r="C160" t="s">
        <v>99</v>
      </c>
      <c r="D160" t="s">
        <v>100</v>
      </c>
      <c r="E160" t="s">
        <v>101</v>
      </c>
      <c r="F160" t="s">
        <v>102</v>
      </c>
      <c r="G160" t="s">
        <v>103</v>
      </c>
      <c r="H160" t="s">
        <v>20</v>
      </c>
      <c r="I160" t="s">
        <v>104</v>
      </c>
      <c r="J160" t="s">
        <v>105</v>
      </c>
      <c r="L160" t="s">
        <v>34</v>
      </c>
      <c r="M160" t="s">
        <v>49</v>
      </c>
      <c r="N160" t="s">
        <v>120</v>
      </c>
      <c r="P160" t="s">
        <v>121</v>
      </c>
      <c r="Q160">
        <v>1</v>
      </c>
      <c r="R160" s="5">
        <f t="shared" si="4"/>
        <v>0</v>
      </c>
    </row>
    <row r="161" spans="1:20">
      <c r="A161" s="4">
        <v>46113</v>
      </c>
      <c r="B161" t="s">
        <v>98</v>
      </c>
      <c r="C161" t="s">
        <v>99</v>
      </c>
      <c r="D161" t="s">
        <v>100</v>
      </c>
      <c r="E161" t="s">
        <v>101</v>
      </c>
      <c r="F161" t="s">
        <v>102</v>
      </c>
      <c r="G161" t="s">
        <v>103</v>
      </c>
      <c r="H161" t="s">
        <v>20</v>
      </c>
      <c r="I161" t="s">
        <v>104</v>
      </c>
      <c r="J161" t="s">
        <v>105</v>
      </c>
      <c r="L161" t="s">
        <v>34</v>
      </c>
      <c r="M161" t="s">
        <v>49</v>
      </c>
      <c r="N161" t="s">
        <v>120</v>
      </c>
      <c r="P161" t="s">
        <v>121</v>
      </c>
      <c r="Q161">
        <v>1</v>
      </c>
      <c r="R161" s="5">
        <f t="shared" si="4"/>
        <v>0</v>
      </c>
    </row>
    <row r="162" spans="1:20">
      <c r="A162" s="4">
        <v>46143</v>
      </c>
      <c r="B162" t="s">
        <v>98</v>
      </c>
      <c r="C162" t="s">
        <v>99</v>
      </c>
      <c r="D162" t="s">
        <v>100</v>
      </c>
      <c r="E162" t="s">
        <v>101</v>
      </c>
      <c r="F162" t="s">
        <v>102</v>
      </c>
      <c r="G162" t="s">
        <v>103</v>
      </c>
      <c r="H162" t="s">
        <v>20</v>
      </c>
      <c r="I162" t="s">
        <v>104</v>
      </c>
      <c r="J162" t="s">
        <v>105</v>
      </c>
      <c r="L162" t="s">
        <v>34</v>
      </c>
      <c r="M162" t="s">
        <v>49</v>
      </c>
      <c r="N162" t="s">
        <v>120</v>
      </c>
      <c r="P162" t="s">
        <v>121</v>
      </c>
      <c r="Q162">
        <v>1</v>
      </c>
      <c r="R162" s="5">
        <f t="shared" si="4"/>
        <v>0</v>
      </c>
    </row>
    <row r="163" spans="1:20">
      <c r="A163" s="4">
        <v>46174</v>
      </c>
      <c r="B163" t="s">
        <v>98</v>
      </c>
      <c r="C163" t="s">
        <v>99</v>
      </c>
      <c r="D163" t="s">
        <v>100</v>
      </c>
      <c r="E163" t="s">
        <v>101</v>
      </c>
      <c r="F163" t="s">
        <v>102</v>
      </c>
      <c r="G163" t="s">
        <v>103</v>
      </c>
      <c r="H163" t="s">
        <v>20</v>
      </c>
      <c r="I163" t="s">
        <v>104</v>
      </c>
      <c r="J163" t="s">
        <v>105</v>
      </c>
      <c r="L163" t="s">
        <v>34</v>
      </c>
      <c r="M163" t="s">
        <v>49</v>
      </c>
      <c r="N163" t="s">
        <v>120</v>
      </c>
      <c r="P163" t="s">
        <v>121</v>
      </c>
      <c r="Q163">
        <v>1</v>
      </c>
      <c r="R163" s="5">
        <f t="shared" si="4"/>
        <v>0</v>
      </c>
    </row>
    <row r="164" spans="1:20">
      <c r="A164" s="4">
        <v>46204</v>
      </c>
      <c r="B164" t="s">
        <v>98</v>
      </c>
      <c r="C164" t="s">
        <v>99</v>
      </c>
      <c r="D164" t="s">
        <v>100</v>
      </c>
      <c r="E164" t="s">
        <v>101</v>
      </c>
      <c r="F164" t="s">
        <v>102</v>
      </c>
      <c r="G164" t="s">
        <v>103</v>
      </c>
      <c r="H164" t="s">
        <v>20</v>
      </c>
      <c r="I164" t="s">
        <v>104</v>
      </c>
      <c r="J164" t="s">
        <v>105</v>
      </c>
      <c r="L164" t="s">
        <v>34</v>
      </c>
      <c r="M164" t="s">
        <v>49</v>
      </c>
      <c r="N164" t="s">
        <v>120</v>
      </c>
      <c r="P164" t="s">
        <v>121</v>
      </c>
      <c r="Q164">
        <v>1</v>
      </c>
      <c r="R164" s="5">
        <f t="shared" si="4"/>
        <v>0</v>
      </c>
    </row>
    <row r="165" spans="1:20">
      <c r="A165" s="4">
        <v>46235</v>
      </c>
      <c r="B165" t="s">
        <v>98</v>
      </c>
      <c r="C165" t="s">
        <v>99</v>
      </c>
      <c r="D165" t="s">
        <v>100</v>
      </c>
      <c r="E165" t="s">
        <v>101</v>
      </c>
      <c r="F165" t="s">
        <v>102</v>
      </c>
      <c r="G165" t="s">
        <v>103</v>
      </c>
      <c r="H165" t="s">
        <v>20</v>
      </c>
      <c r="I165" t="s">
        <v>104</v>
      </c>
      <c r="J165" t="s">
        <v>105</v>
      </c>
      <c r="L165" t="s">
        <v>34</v>
      </c>
      <c r="M165" t="s">
        <v>49</v>
      </c>
      <c r="N165" t="s">
        <v>120</v>
      </c>
      <c r="P165" t="s">
        <v>121</v>
      </c>
      <c r="Q165">
        <v>1</v>
      </c>
      <c r="R165" s="5">
        <f t="shared" si="4"/>
        <v>0</v>
      </c>
    </row>
    <row r="166" spans="1:20">
      <c r="A166" s="4">
        <v>46266</v>
      </c>
      <c r="B166" t="s">
        <v>98</v>
      </c>
      <c r="C166" t="s">
        <v>99</v>
      </c>
      <c r="D166" t="s">
        <v>100</v>
      </c>
      <c r="E166" t="s">
        <v>101</v>
      </c>
      <c r="F166" t="s">
        <v>102</v>
      </c>
      <c r="G166" t="s">
        <v>103</v>
      </c>
      <c r="H166" t="s">
        <v>20</v>
      </c>
      <c r="I166" t="s">
        <v>104</v>
      </c>
      <c r="J166" t="s">
        <v>105</v>
      </c>
      <c r="L166" t="s">
        <v>34</v>
      </c>
      <c r="M166" t="s">
        <v>49</v>
      </c>
      <c r="N166" t="s">
        <v>120</v>
      </c>
      <c r="P166" t="s">
        <v>121</v>
      </c>
      <c r="Q166">
        <v>1</v>
      </c>
      <c r="R166" s="5">
        <f t="shared" si="4"/>
        <v>0</v>
      </c>
    </row>
    <row r="167" spans="1:20">
      <c r="A167" s="4">
        <v>46296</v>
      </c>
      <c r="B167" t="s">
        <v>98</v>
      </c>
      <c r="C167" t="s">
        <v>99</v>
      </c>
      <c r="D167" t="s">
        <v>100</v>
      </c>
      <c r="E167" t="s">
        <v>101</v>
      </c>
      <c r="F167" t="s">
        <v>102</v>
      </c>
      <c r="G167" t="s">
        <v>103</v>
      </c>
      <c r="H167" t="s">
        <v>20</v>
      </c>
      <c r="I167" t="s">
        <v>104</v>
      </c>
      <c r="J167" t="s">
        <v>105</v>
      </c>
      <c r="L167" t="s">
        <v>34</v>
      </c>
      <c r="M167" t="s">
        <v>49</v>
      </c>
      <c r="N167" t="s">
        <v>120</v>
      </c>
      <c r="P167" t="s">
        <v>121</v>
      </c>
      <c r="Q167">
        <v>1</v>
      </c>
      <c r="R167" s="5">
        <f t="shared" si="4"/>
        <v>0</v>
      </c>
    </row>
    <row r="168" spans="1:20">
      <c r="A168" s="4">
        <v>46327</v>
      </c>
      <c r="B168" t="s">
        <v>98</v>
      </c>
      <c r="C168" t="s">
        <v>99</v>
      </c>
      <c r="D168" t="s">
        <v>100</v>
      </c>
      <c r="E168" t="s">
        <v>101</v>
      </c>
      <c r="F168" t="s">
        <v>102</v>
      </c>
      <c r="G168" t="s">
        <v>103</v>
      </c>
      <c r="H168" t="s">
        <v>20</v>
      </c>
      <c r="I168" t="s">
        <v>104</v>
      </c>
      <c r="J168" t="s">
        <v>105</v>
      </c>
      <c r="L168" t="s">
        <v>34</v>
      </c>
      <c r="M168" t="s">
        <v>49</v>
      </c>
      <c r="N168" t="s">
        <v>120</v>
      </c>
      <c r="P168" t="s">
        <v>121</v>
      </c>
      <c r="Q168">
        <v>1</v>
      </c>
      <c r="R168" s="5">
        <f t="shared" si="4"/>
        <v>0</v>
      </c>
    </row>
    <row r="169" spans="1:20">
      <c r="A169" s="4">
        <v>46357</v>
      </c>
      <c r="B169" t="s">
        <v>98</v>
      </c>
      <c r="C169" t="s">
        <v>99</v>
      </c>
      <c r="D169" t="s">
        <v>100</v>
      </c>
      <c r="E169" t="s">
        <v>101</v>
      </c>
      <c r="F169" t="s">
        <v>102</v>
      </c>
      <c r="G169" t="s">
        <v>103</v>
      </c>
      <c r="H169" t="s">
        <v>20</v>
      </c>
      <c r="I169" t="s">
        <v>104</v>
      </c>
      <c r="J169" t="s">
        <v>105</v>
      </c>
      <c r="L169" t="s">
        <v>34</v>
      </c>
      <c r="M169" t="s">
        <v>49</v>
      </c>
      <c r="N169" t="s">
        <v>120</v>
      </c>
      <c r="P169" t="s">
        <v>121</v>
      </c>
      <c r="Q169">
        <v>1</v>
      </c>
      <c r="R169" s="5">
        <f t="shared" si="4"/>
        <v>0</v>
      </c>
    </row>
    <row r="170" spans="1:20">
      <c r="A170" s="4">
        <v>46023</v>
      </c>
      <c r="B170" t="s">
        <v>98</v>
      </c>
      <c r="C170" t="s">
        <v>99</v>
      </c>
      <c r="D170" t="s">
        <v>100</v>
      </c>
      <c r="E170" t="s">
        <v>101</v>
      </c>
      <c r="F170" t="s">
        <v>102</v>
      </c>
      <c r="G170" t="s">
        <v>103</v>
      </c>
      <c r="H170" t="s">
        <v>20</v>
      </c>
      <c r="I170" t="s">
        <v>104</v>
      </c>
      <c r="J170" t="s">
        <v>105</v>
      </c>
      <c r="L170" t="s">
        <v>35</v>
      </c>
      <c r="M170" t="s">
        <v>50</v>
      </c>
      <c r="N170" t="s">
        <v>122</v>
      </c>
      <c r="P170" t="s">
        <v>123</v>
      </c>
      <c r="Q170">
        <v>3</v>
      </c>
      <c r="R170" s="5">
        <f t="shared" si="4"/>
        <v>0</v>
      </c>
      <c r="S170" t="s">
        <v>64</v>
      </c>
      <c r="T170" t="s">
        <v>79</v>
      </c>
    </row>
    <row r="171" spans="1:20">
      <c r="A171" s="4">
        <v>46054</v>
      </c>
      <c r="B171" t="s">
        <v>98</v>
      </c>
      <c r="C171" t="s">
        <v>99</v>
      </c>
      <c r="D171" t="s">
        <v>100</v>
      </c>
      <c r="E171" t="s">
        <v>101</v>
      </c>
      <c r="F171" t="s">
        <v>102</v>
      </c>
      <c r="G171" t="s">
        <v>103</v>
      </c>
      <c r="H171" t="s">
        <v>20</v>
      </c>
      <c r="I171" t="s">
        <v>104</v>
      </c>
      <c r="J171" t="s">
        <v>105</v>
      </c>
      <c r="L171" t="s">
        <v>35</v>
      </c>
      <c r="M171" t="s">
        <v>50</v>
      </c>
      <c r="N171" t="s">
        <v>122</v>
      </c>
      <c r="P171" t="s">
        <v>123</v>
      </c>
      <c r="Q171">
        <v>3</v>
      </c>
      <c r="R171" s="5">
        <f t="shared" si="4"/>
        <v>0</v>
      </c>
    </row>
    <row r="172" spans="1:20">
      <c r="A172" s="4">
        <v>46082</v>
      </c>
      <c r="B172" t="s">
        <v>98</v>
      </c>
      <c r="C172" t="s">
        <v>99</v>
      </c>
      <c r="D172" t="s">
        <v>100</v>
      </c>
      <c r="E172" t="s">
        <v>101</v>
      </c>
      <c r="F172" t="s">
        <v>102</v>
      </c>
      <c r="G172" t="s">
        <v>103</v>
      </c>
      <c r="H172" t="s">
        <v>20</v>
      </c>
      <c r="I172" t="s">
        <v>104</v>
      </c>
      <c r="J172" t="s">
        <v>105</v>
      </c>
      <c r="L172" t="s">
        <v>35</v>
      </c>
      <c r="M172" t="s">
        <v>50</v>
      </c>
      <c r="N172" t="s">
        <v>122</v>
      </c>
      <c r="P172" t="s">
        <v>123</v>
      </c>
      <c r="Q172">
        <v>3</v>
      </c>
      <c r="R172" s="5">
        <f t="shared" si="4"/>
        <v>0</v>
      </c>
    </row>
    <row r="173" spans="1:20">
      <c r="A173" s="4">
        <v>46113</v>
      </c>
      <c r="B173" t="s">
        <v>98</v>
      </c>
      <c r="C173" t="s">
        <v>99</v>
      </c>
      <c r="D173" t="s">
        <v>100</v>
      </c>
      <c r="E173" t="s">
        <v>101</v>
      </c>
      <c r="F173" t="s">
        <v>102</v>
      </c>
      <c r="G173" t="s">
        <v>103</v>
      </c>
      <c r="H173" t="s">
        <v>20</v>
      </c>
      <c r="I173" t="s">
        <v>104</v>
      </c>
      <c r="J173" t="s">
        <v>105</v>
      </c>
      <c r="L173" t="s">
        <v>35</v>
      </c>
      <c r="M173" t="s">
        <v>50</v>
      </c>
      <c r="N173" t="s">
        <v>122</v>
      </c>
      <c r="P173" t="s">
        <v>123</v>
      </c>
      <c r="Q173">
        <v>3</v>
      </c>
      <c r="R173" s="5">
        <f t="shared" si="4"/>
        <v>0</v>
      </c>
    </row>
    <row r="174" spans="1:20">
      <c r="A174" s="4">
        <v>46143</v>
      </c>
      <c r="B174" t="s">
        <v>98</v>
      </c>
      <c r="C174" t="s">
        <v>99</v>
      </c>
      <c r="D174" t="s">
        <v>100</v>
      </c>
      <c r="E174" t="s">
        <v>101</v>
      </c>
      <c r="F174" t="s">
        <v>102</v>
      </c>
      <c r="G174" t="s">
        <v>103</v>
      </c>
      <c r="H174" t="s">
        <v>20</v>
      </c>
      <c r="I174" t="s">
        <v>104</v>
      </c>
      <c r="J174" t="s">
        <v>105</v>
      </c>
      <c r="L174" t="s">
        <v>35</v>
      </c>
      <c r="M174" t="s">
        <v>50</v>
      </c>
      <c r="N174" t="s">
        <v>122</v>
      </c>
      <c r="P174" t="s">
        <v>123</v>
      </c>
      <c r="Q174">
        <v>3</v>
      </c>
      <c r="R174" s="5">
        <f t="shared" si="4"/>
        <v>0</v>
      </c>
    </row>
    <row r="175" spans="1:20">
      <c r="A175" s="4">
        <v>46174</v>
      </c>
      <c r="B175" t="s">
        <v>98</v>
      </c>
      <c r="C175" t="s">
        <v>99</v>
      </c>
      <c r="D175" t="s">
        <v>100</v>
      </c>
      <c r="E175" t="s">
        <v>101</v>
      </c>
      <c r="F175" t="s">
        <v>102</v>
      </c>
      <c r="G175" t="s">
        <v>103</v>
      </c>
      <c r="H175" t="s">
        <v>20</v>
      </c>
      <c r="I175" t="s">
        <v>104</v>
      </c>
      <c r="J175" t="s">
        <v>105</v>
      </c>
      <c r="L175" t="s">
        <v>35</v>
      </c>
      <c r="M175" t="s">
        <v>50</v>
      </c>
      <c r="N175" t="s">
        <v>122</v>
      </c>
      <c r="P175" t="s">
        <v>123</v>
      </c>
      <c r="Q175">
        <v>3</v>
      </c>
      <c r="R175" s="5">
        <f t="shared" si="4"/>
        <v>0</v>
      </c>
    </row>
    <row r="176" spans="1:20">
      <c r="A176" s="4">
        <v>46204</v>
      </c>
      <c r="B176" t="s">
        <v>98</v>
      </c>
      <c r="C176" t="s">
        <v>99</v>
      </c>
      <c r="D176" t="s">
        <v>100</v>
      </c>
      <c r="E176" t="s">
        <v>101</v>
      </c>
      <c r="F176" t="s">
        <v>102</v>
      </c>
      <c r="G176" t="s">
        <v>103</v>
      </c>
      <c r="H176" t="s">
        <v>20</v>
      </c>
      <c r="I176" t="s">
        <v>104</v>
      </c>
      <c r="J176" t="s">
        <v>105</v>
      </c>
      <c r="L176" t="s">
        <v>35</v>
      </c>
      <c r="M176" t="s">
        <v>50</v>
      </c>
      <c r="N176" t="s">
        <v>122</v>
      </c>
      <c r="P176" t="s">
        <v>123</v>
      </c>
      <c r="Q176">
        <v>3</v>
      </c>
      <c r="R176" s="5">
        <f t="shared" si="4"/>
        <v>0</v>
      </c>
    </row>
    <row r="177" spans="1:20">
      <c r="A177" s="4">
        <v>46235</v>
      </c>
      <c r="B177" t="s">
        <v>98</v>
      </c>
      <c r="C177" t="s">
        <v>99</v>
      </c>
      <c r="D177" t="s">
        <v>100</v>
      </c>
      <c r="E177" t="s">
        <v>101</v>
      </c>
      <c r="F177" t="s">
        <v>102</v>
      </c>
      <c r="G177" t="s">
        <v>103</v>
      </c>
      <c r="H177" t="s">
        <v>20</v>
      </c>
      <c r="I177" t="s">
        <v>104</v>
      </c>
      <c r="J177" t="s">
        <v>105</v>
      </c>
      <c r="L177" t="s">
        <v>35</v>
      </c>
      <c r="M177" t="s">
        <v>50</v>
      </c>
      <c r="N177" t="s">
        <v>122</v>
      </c>
      <c r="P177" t="s">
        <v>123</v>
      </c>
      <c r="Q177">
        <v>3</v>
      </c>
      <c r="R177" s="5">
        <f t="shared" si="4"/>
        <v>0</v>
      </c>
    </row>
    <row r="178" spans="1:20">
      <c r="A178" s="4">
        <v>46266</v>
      </c>
      <c r="B178" t="s">
        <v>98</v>
      </c>
      <c r="C178" t="s">
        <v>99</v>
      </c>
      <c r="D178" t="s">
        <v>100</v>
      </c>
      <c r="E178" t="s">
        <v>101</v>
      </c>
      <c r="F178" t="s">
        <v>102</v>
      </c>
      <c r="G178" t="s">
        <v>103</v>
      </c>
      <c r="H178" t="s">
        <v>20</v>
      </c>
      <c r="I178" t="s">
        <v>104</v>
      </c>
      <c r="J178" t="s">
        <v>105</v>
      </c>
      <c r="L178" t="s">
        <v>35</v>
      </c>
      <c r="M178" t="s">
        <v>50</v>
      </c>
      <c r="N178" t="s">
        <v>122</v>
      </c>
      <c r="P178" t="s">
        <v>123</v>
      </c>
      <c r="Q178">
        <v>3</v>
      </c>
      <c r="R178" s="5">
        <f t="shared" si="4"/>
        <v>0</v>
      </c>
    </row>
    <row r="179" spans="1:20">
      <c r="A179" s="4">
        <v>46296</v>
      </c>
      <c r="B179" t="s">
        <v>98</v>
      </c>
      <c r="C179" t="s">
        <v>99</v>
      </c>
      <c r="D179" t="s">
        <v>100</v>
      </c>
      <c r="E179" t="s">
        <v>101</v>
      </c>
      <c r="F179" t="s">
        <v>102</v>
      </c>
      <c r="G179" t="s">
        <v>103</v>
      </c>
      <c r="H179" t="s">
        <v>20</v>
      </c>
      <c r="I179" t="s">
        <v>104</v>
      </c>
      <c r="J179" t="s">
        <v>105</v>
      </c>
      <c r="L179" t="s">
        <v>35</v>
      </c>
      <c r="M179" t="s">
        <v>50</v>
      </c>
      <c r="N179" t="s">
        <v>122</v>
      </c>
      <c r="P179" t="s">
        <v>123</v>
      </c>
      <c r="Q179">
        <v>3</v>
      </c>
      <c r="R179" s="5">
        <f t="shared" si="4"/>
        <v>0</v>
      </c>
    </row>
    <row r="180" spans="1:20">
      <c r="A180" s="4">
        <v>46327</v>
      </c>
      <c r="B180" t="s">
        <v>98</v>
      </c>
      <c r="C180" t="s">
        <v>99</v>
      </c>
      <c r="D180" t="s">
        <v>100</v>
      </c>
      <c r="E180" t="s">
        <v>101</v>
      </c>
      <c r="F180" t="s">
        <v>102</v>
      </c>
      <c r="G180" t="s">
        <v>103</v>
      </c>
      <c r="H180" t="s">
        <v>20</v>
      </c>
      <c r="I180" t="s">
        <v>104</v>
      </c>
      <c r="J180" t="s">
        <v>105</v>
      </c>
      <c r="L180" t="s">
        <v>35</v>
      </c>
      <c r="M180" t="s">
        <v>50</v>
      </c>
      <c r="N180" t="s">
        <v>122</v>
      </c>
      <c r="P180" t="s">
        <v>123</v>
      </c>
      <c r="Q180">
        <v>3</v>
      </c>
      <c r="R180" s="5">
        <f t="shared" si="4"/>
        <v>0</v>
      </c>
    </row>
    <row r="181" spans="1:20">
      <c r="A181" s="4">
        <v>46357</v>
      </c>
      <c r="B181" t="s">
        <v>98</v>
      </c>
      <c r="C181" t="s">
        <v>99</v>
      </c>
      <c r="D181" t="s">
        <v>100</v>
      </c>
      <c r="E181" t="s">
        <v>101</v>
      </c>
      <c r="F181" t="s">
        <v>102</v>
      </c>
      <c r="G181" t="s">
        <v>103</v>
      </c>
      <c r="H181" t="s">
        <v>20</v>
      </c>
      <c r="I181" t="s">
        <v>104</v>
      </c>
      <c r="J181" t="s">
        <v>105</v>
      </c>
      <c r="L181" t="s">
        <v>35</v>
      </c>
      <c r="M181" t="s">
        <v>50</v>
      </c>
      <c r="N181" t="s">
        <v>122</v>
      </c>
      <c r="P181" t="s">
        <v>123</v>
      </c>
      <c r="Q181">
        <v>3</v>
      </c>
      <c r="R181" s="5">
        <f t="shared" si="4"/>
        <v>0</v>
      </c>
    </row>
    <row r="182" spans="1:20">
      <c r="A182" s="4">
        <v>46023</v>
      </c>
      <c r="B182" t="s">
        <v>98</v>
      </c>
      <c r="C182" t="s">
        <v>99</v>
      </c>
      <c r="D182" t="s">
        <v>100</v>
      </c>
      <c r="E182" t="s">
        <v>101</v>
      </c>
      <c r="F182" t="s">
        <v>102</v>
      </c>
      <c r="G182" t="s">
        <v>103</v>
      </c>
      <c r="H182" t="s">
        <v>20</v>
      </c>
      <c r="I182" t="s">
        <v>104</v>
      </c>
      <c r="J182" t="s">
        <v>105</v>
      </c>
      <c r="L182" t="s">
        <v>36</v>
      </c>
      <c r="M182" t="s">
        <v>51</v>
      </c>
      <c r="N182" t="s">
        <v>125</v>
      </c>
      <c r="P182" t="s">
        <v>124</v>
      </c>
      <c r="Q182">
        <v>1</v>
      </c>
      <c r="R182" s="5">
        <f t="shared" si="4"/>
        <v>0</v>
      </c>
      <c r="S182" t="s">
        <v>65</v>
      </c>
      <c r="T182" t="s">
        <v>80</v>
      </c>
    </row>
    <row r="183" spans="1:20">
      <c r="A183" s="4">
        <v>46054</v>
      </c>
      <c r="B183" t="s">
        <v>98</v>
      </c>
      <c r="C183" t="s">
        <v>99</v>
      </c>
      <c r="D183" t="s">
        <v>100</v>
      </c>
      <c r="E183" t="s">
        <v>101</v>
      </c>
      <c r="F183" t="s">
        <v>102</v>
      </c>
      <c r="G183" t="s">
        <v>103</v>
      </c>
      <c r="H183" t="s">
        <v>20</v>
      </c>
      <c r="I183" t="s">
        <v>104</v>
      </c>
      <c r="J183" t="s">
        <v>105</v>
      </c>
      <c r="L183" t="s">
        <v>36</v>
      </c>
      <c r="M183" t="s">
        <v>51</v>
      </c>
      <c r="N183" t="s">
        <v>125</v>
      </c>
      <c r="P183" t="s">
        <v>124</v>
      </c>
      <c r="Q183">
        <v>1</v>
      </c>
      <c r="R183" s="5">
        <f t="shared" si="4"/>
        <v>0</v>
      </c>
      <c r="S183" t="s">
        <v>65</v>
      </c>
      <c r="T183" t="s">
        <v>80</v>
      </c>
    </row>
    <row r="184" spans="1:20">
      <c r="A184" s="4">
        <v>46082</v>
      </c>
      <c r="B184" t="s">
        <v>98</v>
      </c>
      <c r="C184" t="s">
        <v>99</v>
      </c>
      <c r="D184" t="s">
        <v>100</v>
      </c>
      <c r="E184" t="s">
        <v>101</v>
      </c>
      <c r="F184" t="s">
        <v>102</v>
      </c>
      <c r="G184" t="s">
        <v>103</v>
      </c>
      <c r="H184" t="s">
        <v>20</v>
      </c>
      <c r="I184" t="s">
        <v>104</v>
      </c>
      <c r="J184" t="s">
        <v>105</v>
      </c>
      <c r="L184" t="s">
        <v>36</v>
      </c>
      <c r="M184" t="s">
        <v>51</v>
      </c>
      <c r="N184" t="s">
        <v>125</v>
      </c>
      <c r="P184" t="s">
        <v>124</v>
      </c>
      <c r="Q184">
        <v>1</v>
      </c>
      <c r="R184" s="5">
        <f t="shared" si="4"/>
        <v>0</v>
      </c>
      <c r="S184" t="s">
        <v>65</v>
      </c>
      <c r="T184" t="s">
        <v>80</v>
      </c>
    </row>
    <row r="185" spans="1:20">
      <c r="A185" s="4">
        <v>46113</v>
      </c>
      <c r="B185" t="s">
        <v>98</v>
      </c>
      <c r="C185" t="s">
        <v>99</v>
      </c>
      <c r="D185" t="s">
        <v>100</v>
      </c>
      <c r="E185" t="s">
        <v>101</v>
      </c>
      <c r="F185" t="s">
        <v>102</v>
      </c>
      <c r="G185" t="s">
        <v>103</v>
      </c>
      <c r="H185" t="s">
        <v>20</v>
      </c>
      <c r="I185" t="s">
        <v>104</v>
      </c>
      <c r="J185" t="s">
        <v>105</v>
      </c>
      <c r="L185" t="s">
        <v>36</v>
      </c>
      <c r="M185" t="s">
        <v>51</v>
      </c>
      <c r="N185" t="s">
        <v>125</v>
      </c>
      <c r="P185" t="s">
        <v>124</v>
      </c>
      <c r="Q185">
        <v>1</v>
      </c>
      <c r="R185" s="5">
        <f t="shared" si="4"/>
        <v>0</v>
      </c>
      <c r="S185" t="s">
        <v>65</v>
      </c>
      <c r="T185" t="s">
        <v>80</v>
      </c>
    </row>
    <row r="186" spans="1:20">
      <c r="A186" s="4">
        <v>46143</v>
      </c>
      <c r="B186" t="s">
        <v>98</v>
      </c>
      <c r="C186" t="s">
        <v>99</v>
      </c>
      <c r="D186" t="s">
        <v>100</v>
      </c>
      <c r="E186" t="s">
        <v>101</v>
      </c>
      <c r="F186" t="s">
        <v>102</v>
      </c>
      <c r="G186" t="s">
        <v>103</v>
      </c>
      <c r="H186" t="s">
        <v>20</v>
      </c>
      <c r="I186" t="s">
        <v>104</v>
      </c>
      <c r="J186" t="s">
        <v>105</v>
      </c>
      <c r="L186" t="s">
        <v>36</v>
      </c>
      <c r="M186" t="s">
        <v>51</v>
      </c>
      <c r="N186" t="s">
        <v>125</v>
      </c>
      <c r="P186" t="s">
        <v>124</v>
      </c>
      <c r="Q186">
        <v>1</v>
      </c>
      <c r="R186" s="5">
        <f t="shared" si="4"/>
        <v>0</v>
      </c>
      <c r="S186" t="s">
        <v>65</v>
      </c>
      <c r="T186" t="s">
        <v>80</v>
      </c>
    </row>
    <row r="187" spans="1:20">
      <c r="A187" s="4">
        <v>46174</v>
      </c>
      <c r="B187" t="s">
        <v>98</v>
      </c>
      <c r="C187" t="s">
        <v>99</v>
      </c>
      <c r="D187" t="s">
        <v>100</v>
      </c>
      <c r="E187" t="s">
        <v>101</v>
      </c>
      <c r="F187" t="s">
        <v>102</v>
      </c>
      <c r="G187" t="s">
        <v>103</v>
      </c>
      <c r="H187" t="s">
        <v>20</v>
      </c>
      <c r="I187" t="s">
        <v>104</v>
      </c>
      <c r="J187" t="s">
        <v>105</v>
      </c>
      <c r="L187" t="s">
        <v>36</v>
      </c>
      <c r="M187" t="s">
        <v>51</v>
      </c>
      <c r="N187" t="s">
        <v>125</v>
      </c>
      <c r="P187" t="s">
        <v>124</v>
      </c>
      <c r="Q187">
        <v>1</v>
      </c>
      <c r="R187" s="5">
        <f t="shared" si="4"/>
        <v>0</v>
      </c>
      <c r="S187" t="s">
        <v>65</v>
      </c>
      <c r="T187" t="s">
        <v>80</v>
      </c>
    </row>
    <row r="188" spans="1:20">
      <c r="A188" s="4">
        <v>46204</v>
      </c>
      <c r="B188" t="s">
        <v>98</v>
      </c>
      <c r="C188" t="s">
        <v>99</v>
      </c>
      <c r="D188" t="s">
        <v>100</v>
      </c>
      <c r="E188" t="s">
        <v>101</v>
      </c>
      <c r="F188" t="s">
        <v>102</v>
      </c>
      <c r="G188" t="s">
        <v>103</v>
      </c>
      <c r="H188" t="s">
        <v>20</v>
      </c>
      <c r="I188" t="s">
        <v>104</v>
      </c>
      <c r="J188" t="s">
        <v>105</v>
      </c>
      <c r="L188" t="s">
        <v>36</v>
      </c>
      <c r="M188" t="s">
        <v>51</v>
      </c>
      <c r="N188" t="s">
        <v>125</v>
      </c>
      <c r="P188" t="s">
        <v>124</v>
      </c>
      <c r="Q188">
        <v>1</v>
      </c>
      <c r="R188" s="5">
        <f t="shared" si="4"/>
        <v>0</v>
      </c>
      <c r="S188" t="s">
        <v>65</v>
      </c>
      <c r="T188" t="s">
        <v>80</v>
      </c>
    </row>
    <row r="189" spans="1:20">
      <c r="A189" s="4">
        <v>46235</v>
      </c>
      <c r="B189" t="s">
        <v>98</v>
      </c>
      <c r="C189" t="s">
        <v>99</v>
      </c>
      <c r="D189" t="s">
        <v>100</v>
      </c>
      <c r="E189" t="s">
        <v>101</v>
      </c>
      <c r="F189" t="s">
        <v>102</v>
      </c>
      <c r="G189" t="s">
        <v>103</v>
      </c>
      <c r="H189" t="s">
        <v>20</v>
      </c>
      <c r="I189" t="s">
        <v>104</v>
      </c>
      <c r="J189" t="s">
        <v>105</v>
      </c>
      <c r="L189" t="s">
        <v>36</v>
      </c>
      <c r="M189" t="s">
        <v>51</v>
      </c>
      <c r="N189" t="s">
        <v>125</v>
      </c>
      <c r="P189" t="s">
        <v>124</v>
      </c>
      <c r="Q189">
        <v>1</v>
      </c>
      <c r="R189" s="5">
        <f t="shared" si="4"/>
        <v>0</v>
      </c>
      <c r="S189" t="s">
        <v>65</v>
      </c>
      <c r="T189" t="s">
        <v>80</v>
      </c>
    </row>
    <row r="190" spans="1:20">
      <c r="A190" s="4">
        <v>46266</v>
      </c>
      <c r="B190" t="s">
        <v>98</v>
      </c>
      <c r="C190" t="s">
        <v>99</v>
      </c>
      <c r="D190" t="s">
        <v>100</v>
      </c>
      <c r="E190" t="s">
        <v>101</v>
      </c>
      <c r="F190" t="s">
        <v>102</v>
      </c>
      <c r="G190" t="s">
        <v>103</v>
      </c>
      <c r="H190" t="s">
        <v>20</v>
      </c>
      <c r="I190" t="s">
        <v>104</v>
      </c>
      <c r="J190" t="s">
        <v>105</v>
      </c>
      <c r="L190" t="s">
        <v>36</v>
      </c>
      <c r="M190" t="s">
        <v>51</v>
      </c>
      <c r="N190" t="s">
        <v>125</v>
      </c>
      <c r="P190" t="s">
        <v>124</v>
      </c>
      <c r="Q190">
        <v>1</v>
      </c>
      <c r="R190" s="5">
        <f t="shared" si="4"/>
        <v>0</v>
      </c>
      <c r="S190" t="s">
        <v>65</v>
      </c>
      <c r="T190" t="s">
        <v>80</v>
      </c>
    </row>
    <row r="191" spans="1:20">
      <c r="A191" s="4">
        <v>46296</v>
      </c>
      <c r="B191" t="s">
        <v>98</v>
      </c>
      <c r="C191" t="s">
        <v>99</v>
      </c>
      <c r="D191" t="s">
        <v>100</v>
      </c>
      <c r="E191" t="s">
        <v>101</v>
      </c>
      <c r="F191" t="s">
        <v>102</v>
      </c>
      <c r="G191" t="s">
        <v>103</v>
      </c>
      <c r="H191" t="s">
        <v>20</v>
      </c>
      <c r="I191" t="s">
        <v>104</v>
      </c>
      <c r="J191" t="s">
        <v>105</v>
      </c>
      <c r="L191" t="s">
        <v>36</v>
      </c>
      <c r="M191" t="s">
        <v>51</v>
      </c>
      <c r="N191" t="s">
        <v>125</v>
      </c>
      <c r="P191" t="s">
        <v>124</v>
      </c>
      <c r="Q191">
        <v>1</v>
      </c>
      <c r="R191" s="5">
        <f t="shared" si="4"/>
        <v>0</v>
      </c>
      <c r="S191" t="s">
        <v>65</v>
      </c>
      <c r="T191" t="s">
        <v>80</v>
      </c>
    </row>
    <row r="192" spans="1:20">
      <c r="A192" s="4">
        <v>46327</v>
      </c>
      <c r="B192" t="s">
        <v>98</v>
      </c>
      <c r="C192" t="s">
        <v>99</v>
      </c>
      <c r="D192" t="s">
        <v>100</v>
      </c>
      <c r="E192" t="s">
        <v>101</v>
      </c>
      <c r="F192" t="s">
        <v>102</v>
      </c>
      <c r="G192" t="s">
        <v>103</v>
      </c>
      <c r="H192" t="s">
        <v>20</v>
      </c>
      <c r="I192" t="s">
        <v>104</v>
      </c>
      <c r="J192" t="s">
        <v>105</v>
      </c>
      <c r="L192" t="s">
        <v>36</v>
      </c>
      <c r="M192" t="s">
        <v>51</v>
      </c>
      <c r="N192" t="s">
        <v>125</v>
      </c>
      <c r="P192" t="s">
        <v>124</v>
      </c>
      <c r="Q192">
        <v>1</v>
      </c>
      <c r="R192" s="5">
        <f t="shared" si="4"/>
        <v>0</v>
      </c>
      <c r="S192" t="s">
        <v>65</v>
      </c>
      <c r="T192" t="s">
        <v>80</v>
      </c>
    </row>
    <row r="193" spans="1:20">
      <c r="A193" s="4">
        <v>46357</v>
      </c>
      <c r="B193" t="s">
        <v>98</v>
      </c>
      <c r="C193" t="s">
        <v>99</v>
      </c>
      <c r="D193" t="s">
        <v>100</v>
      </c>
      <c r="E193" t="s">
        <v>101</v>
      </c>
      <c r="F193" t="s">
        <v>102</v>
      </c>
      <c r="G193" t="s">
        <v>103</v>
      </c>
      <c r="H193" t="s">
        <v>20</v>
      </c>
      <c r="I193" t="s">
        <v>104</v>
      </c>
      <c r="J193" t="s">
        <v>105</v>
      </c>
      <c r="L193" t="s">
        <v>36</v>
      </c>
      <c r="M193" t="s">
        <v>51</v>
      </c>
      <c r="N193" t="s">
        <v>125</v>
      </c>
      <c r="P193" t="s">
        <v>124</v>
      </c>
      <c r="Q193">
        <v>1</v>
      </c>
      <c r="R193" s="5">
        <f t="shared" si="4"/>
        <v>0</v>
      </c>
      <c r="S193" t="s">
        <v>65</v>
      </c>
      <c r="T193" t="s">
        <v>80</v>
      </c>
    </row>
    <row r="194" spans="1:20">
      <c r="A194" s="4">
        <v>46023</v>
      </c>
      <c r="B194" t="s">
        <v>98</v>
      </c>
      <c r="C194" t="s">
        <v>99</v>
      </c>
      <c r="D194" t="s">
        <v>100</v>
      </c>
      <c r="E194" t="s">
        <v>101</v>
      </c>
      <c r="F194" t="s">
        <v>102</v>
      </c>
      <c r="G194" t="s">
        <v>103</v>
      </c>
      <c r="H194" t="s">
        <v>20</v>
      </c>
      <c r="I194" t="s">
        <v>104</v>
      </c>
      <c r="J194" t="s">
        <v>105</v>
      </c>
      <c r="L194" t="s">
        <v>37</v>
      </c>
      <c r="M194" s="3" t="s">
        <v>127</v>
      </c>
      <c r="N194" s="3" t="s">
        <v>129</v>
      </c>
      <c r="P194" s="3" t="s">
        <v>130</v>
      </c>
      <c r="Q194">
        <v>0</v>
      </c>
      <c r="R194" s="5">
        <f t="shared" si="4"/>
        <v>0</v>
      </c>
      <c r="S194" s="3" t="s">
        <v>66</v>
      </c>
      <c r="T194" s="3" t="s">
        <v>81</v>
      </c>
    </row>
    <row r="195" spans="1:20">
      <c r="A195" s="4">
        <v>46054</v>
      </c>
      <c r="B195" t="s">
        <v>98</v>
      </c>
      <c r="C195" t="s">
        <v>99</v>
      </c>
      <c r="D195" t="s">
        <v>100</v>
      </c>
      <c r="E195" t="s">
        <v>101</v>
      </c>
      <c r="F195" t="s">
        <v>102</v>
      </c>
      <c r="G195" t="s">
        <v>103</v>
      </c>
      <c r="H195" t="s">
        <v>20</v>
      </c>
      <c r="I195" t="s">
        <v>104</v>
      </c>
      <c r="J195" t="s">
        <v>105</v>
      </c>
      <c r="L195" t="s">
        <v>37</v>
      </c>
      <c r="M195" s="3" t="s">
        <v>127</v>
      </c>
      <c r="N195" s="3" t="s">
        <v>129</v>
      </c>
      <c r="P195" s="3" t="s">
        <v>130</v>
      </c>
      <c r="Q195">
        <v>0</v>
      </c>
      <c r="R195" s="5">
        <f t="shared" si="4"/>
        <v>0</v>
      </c>
      <c r="S195" s="3" t="s">
        <v>66</v>
      </c>
      <c r="T195" s="3" t="s">
        <v>81</v>
      </c>
    </row>
    <row r="196" spans="1:20">
      <c r="A196" s="4">
        <v>46082</v>
      </c>
      <c r="B196" t="s">
        <v>98</v>
      </c>
      <c r="C196" t="s">
        <v>99</v>
      </c>
      <c r="D196" t="s">
        <v>100</v>
      </c>
      <c r="E196" t="s">
        <v>101</v>
      </c>
      <c r="F196" t="s">
        <v>102</v>
      </c>
      <c r="G196" t="s">
        <v>103</v>
      </c>
      <c r="H196" t="s">
        <v>20</v>
      </c>
      <c r="I196" t="s">
        <v>104</v>
      </c>
      <c r="J196" t="s">
        <v>105</v>
      </c>
      <c r="L196" t="s">
        <v>37</v>
      </c>
      <c r="M196" s="3" t="s">
        <v>127</v>
      </c>
      <c r="N196" s="3" t="s">
        <v>129</v>
      </c>
      <c r="P196" s="3" t="s">
        <v>130</v>
      </c>
      <c r="Q196">
        <v>0</v>
      </c>
      <c r="R196" s="5">
        <f t="shared" si="4"/>
        <v>0</v>
      </c>
      <c r="S196" s="3" t="s">
        <v>66</v>
      </c>
      <c r="T196" s="3" t="s">
        <v>81</v>
      </c>
    </row>
    <row r="197" spans="1:20">
      <c r="A197" s="4">
        <v>46113</v>
      </c>
      <c r="B197" t="s">
        <v>98</v>
      </c>
      <c r="C197" t="s">
        <v>99</v>
      </c>
      <c r="D197" t="s">
        <v>100</v>
      </c>
      <c r="E197" t="s">
        <v>101</v>
      </c>
      <c r="F197" t="s">
        <v>102</v>
      </c>
      <c r="G197" t="s">
        <v>103</v>
      </c>
      <c r="H197" t="s">
        <v>20</v>
      </c>
      <c r="I197" t="s">
        <v>104</v>
      </c>
      <c r="J197" t="s">
        <v>105</v>
      </c>
      <c r="L197" t="s">
        <v>37</v>
      </c>
      <c r="M197" s="3" t="s">
        <v>127</v>
      </c>
      <c r="N197" s="3" t="s">
        <v>129</v>
      </c>
      <c r="P197" s="3" t="s">
        <v>130</v>
      </c>
      <c r="Q197">
        <v>0</v>
      </c>
      <c r="R197" s="5">
        <f t="shared" si="4"/>
        <v>0</v>
      </c>
      <c r="S197" s="3" t="s">
        <v>66</v>
      </c>
      <c r="T197" s="3" t="s">
        <v>81</v>
      </c>
    </row>
    <row r="198" spans="1:20">
      <c r="A198" s="4">
        <v>46143</v>
      </c>
      <c r="B198" t="s">
        <v>98</v>
      </c>
      <c r="C198" t="s">
        <v>99</v>
      </c>
      <c r="D198" t="s">
        <v>100</v>
      </c>
      <c r="E198" t="s">
        <v>101</v>
      </c>
      <c r="F198" t="s">
        <v>102</v>
      </c>
      <c r="G198" t="s">
        <v>103</v>
      </c>
      <c r="H198" t="s">
        <v>20</v>
      </c>
      <c r="I198" t="s">
        <v>104</v>
      </c>
      <c r="J198" t="s">
        <v>105</v>
      </c>
      <c r="L198" t="s">
        <v>37</v>
      </c>
      <c r="M198" s="3" t="s">
        <v>127</v>
      </c>
      <c r="N198" s="3" t="s">
        <v>129</v>
      </c>
      <c r="P198" s="3" t="s">
        <v>130</v>
      </c>
      <c r="Q198">
        <v>0</v>
      </c>
      <c r="R198" s="5">
        <f t="shared" si="4"/>
        <v>0</v>
      </c>
      <c r="S198" s="3" t="s">
        <v>66</v>
      </c>
      <c r="T198" s="3" t="s">
        <v>81</v>
      </c>
    </row>
    <row r="199" spans="1:20">
      <c r="A199" s="4">
        <v>46174</v>
      </c>
      <c r="B199" t="s">
        <v>98</v>
      </c>
      <c r="C199" t="s">
        <v>99</v>
      </c>
      <c r="D199" t="s">
        <v>100</v>
      </c>
      <c r="E199" t="s">
        <v>101</v>
      </c>
      <c r="F199" t="s">
        <v>102</v>
      </c>
      <c r="G199" t="s">
        <v>103</v>
      </c>
      <c r="H199" t="s">
        <v>20</v>
      </c>
      <c r="I199" t="s">
        <v>104</v>
      </c>
      <c r="J199" t="s">
        <v>105</v>
      </c>
      <c r="L199" t="s">
        <v>37</v>
      </c>
      <c r="M199" s="3" t="s">
        <v>127</v>
      </c>
      <c r="N199" s="3" t="s">
        <v>129</v>
      </c>
      <c r="P199" s="3" t="s">
        <v>130</v>
      </c>
      <c r="Q199">
        <v>0</v>
      </c>
      <c r="R199" s="5">
        <f t="shared" si="4"/>
        <v>0</v>
      </c>
      <c r="S199" s="3" t="s">
        <v>66</v>
      </c>
      <c r="T199" s="3" t="s">
        <v>81</v>
      </c>
    </row>
    <row r="200" spans="1:20">
      <c r="A200" s="4">
        <v>46204</v>
      </c>
      <c r="B200" t="s">
        <v>98</v>
      </c>
      <c r="C200" t="s">
        <v>99</v>
      </c>
      <c r="D200" t="s">
        <v>100</v>
      </c>
      <c r="E200" t="s">
        <v>101</v>
      </c>
      <c r="F200" t="s">
        <v>102</v>
      </c>
      <c r="G200" t="s">
        <v>103</v>
      </c>
      <c r="H200" t="s">
        <v>20</v>
      </c>
      <c r="I200" t="s">
        <v>104</v>
      </c>
      <c r="J200" t="s">
        <v>105</v>
      </c>
      <c r="L200" t="s">
        <v>37</v>
      </c>
      <c r="M200" s="3" t="s">
        <v>127</v>
      </c>
      <c r="N200" s="3" t="s">
        <v>129</v>
      </c>
      <c r="P200" s="3" t="s">
        <v>130</v>
      </c>
      <c r="Q200">
        <v>4</v>
      </c>
      <c r="R200" s="5">
        <f t="shared" si="4"/>
        <v>0</v>
      </c>
      <c r="S200" s="3" t="s">
        <v>66</v>
      </c>
      <c r="T200" s="3" t="s">
        <v>81</v>
      </c>
    </row>
    <row r="201" spans="1:20">
      <c r="A201" s="4">
        <v>46235</v>
      </c>
      <c r="B201" t="s">
        <v>98</v>
      </c>
      <c r="C201" t="s">
        <v>99</v>
      </c>
      <c r="D201" t="s">
        <v>100</v>
      </c>
      <c r="E201" t="s">
        <v>101</v>
      </c>
      <c r="F201" t="s">
        <v>102</v>
      </c>
      <c r="G201" t="s">
        <v>103</v>
      </c>
      <c r="H201" t="s">
        <v>20</v>
      </c>
      <c r="I201" t="s">
        <v>104</v>
      </c>
      <c r="J201" t="s">
        <v>105</v>
      </c>
      <c r="L201" t="s">
        <v>37</v>
      </c>
      <c r="M201" s="3" t="s">
        <v>127</v>
      </c>
      <c r="N201" s="3" t="s">
        <v>129</v>
      </c>
      <c r="P201" s="3" t="s">
        <v>130</v>
      </c>
      <c r="Q201">
        <v>4</v>
      </c>
      <c r="R201" s="5">
        <f t="shared" si="4"/>
        <v>0</v>
      </c>
      <c r="S201" s="3" t="s">
        <v>66</v>
      </c>
      <c r="T201" s="3" t="s">
        <v>81</v>
      </c>
    </row>
    <row r="202" spans="1:20">
      <c r="A202" s="4">
        <v>46266</v>
      </c>
      <c r="B202" t="s">
        <v>98</v>
      </c>
      <c r="C202" t="s">
        <v>99</v>
      </c>
      <c r="D202" t="s">
        <v>100</v>
      </c>
      <c r="E202" t="s">
        <v>101</v>
      </c>
      <c r="F202" t="s">
        <v>102</v>
      </c>
      <c r="G202" t="s">
        <v>103</v>
      </c>
      <c r="H202" t="s">
        <v>20</v>
      </c>
      <c r="I202" t="s">
        <v>104</v>
      </c>
      <c r="J202" t="s">
        <v>105</v>
      </c>
      <c r="L202" t="s">
        <v>37</v>
      </c>
      <c r="M202" s="3" t="s">
        <v>127</v>
      </c>
      <c r="N202" s="3" t="s">
        <v>129</v>
      </c>
      <c r="P202" s="3" t="s">
        <v>130</v>
      </c>
      <c r="Q202">
        <v>4</v>
      </c>
      <c r="R202" s="5">
        <f t="shared" si="4"/>
        <v>0</v>
      </c>
      <c r="S202" s="3" t="s">
        <v>66</v>
      </c>
      <c r="T202" s="3" t="s">
        <v>81</v>
      </c>
    </row>
    <row r="203" spans="1:20">
      <c r="A203" s="4">
        <v>46296</v>
      </c>
      <c r="B203" t="s">
        <v>98</v>
      </c>
      <c r="C203" t="s">
        <v>99</v>
      </c>
      <c r="D203" t="s">
        <v>100</v>
      </c>
      <c r="E203" t="s">
        <v>101</v>
      </c>
      <c r="F203" t="s">
        <v>102</v>
      </c>
      <c r="G203" t="s">
        <v>103</v>
      </c>
      <c r="H203" t="s">
        <v>20</v>
      </c>
      <c r="I203" t="s">
        <v>104</v>
      </c>
      <c r="J203" t="s">
        <v>105</v>
      </c>
      <c r="L203" t="s">
        <v>37</v>
      </c>
      <c r="M203" s="3" t="s">
        <v>127</v>
      </c>
      <c r="N203" s="3" t="s">
        <v>129</v>
      </c>
      <c r="P203" s="3" t="s">
        <v>130</v>
      </c>
      <c r="Q203">
        <v>4</v>
      </c>
      <c r="R203" s="5">
        <f t="shared" ref="R203:R217" si="5">IFERROR(O203/Q203,0%)</f>
        <v>0</v>
      </c>
      <c r="S203" s="3" t="s">
        <v>66</v>
      </c>
      <c r="T203" s="3" t="s">
        <v>81</v>
      </c>
    </row>
    <row r="204" spans="1:20">
      <c r="A204" s="4">
        <v>46327</v>
      </c>
      <c r="B204" t="s">
        <v>98</v>
      </c>
      <c r="C204" t="s">
        <v>99</v>
      </c>
      <c r="D204" t="s">
        <v>100</v>
      </c>
      <c r="E204" t="s">
        <v>101</v>
      </c>
      <c r="F204" t="s">
        <v>102</v>
      </c>
      <c r="G204" t="s">
        <v>103</v>
      </c>
      <c r="H204" t="s">
        <v>20</v>
      </c>
      <c r="I204" t="s">
        <v>104</v>
      </c>
      <c r="J204" t="s">
        <v>105</v>
      </c>
      <c r="L204" t="s">
        <v>37</v>
      </c>
      <c r="M204" s="3" t="s">
        <v>127</v>
      </c>
      <c r="N204" s="3" t="s">
        <v>129</v>
      </c>
      <c r="P204" s="3" t="s">
        <v>130</v>
      </c>
      <c r="Q204">
        <v>4</v>
      </c>
      <c r="R204" s="5">
        <f t="shared" si="5"/>
        <v>0</v>
      </c>
      <c r="S204" s="3" t="s">
        <v>66</v>
      </c>
      <c r="T204" s="3" t="s">
        <v>81</v>
      </c>
    </row>
    <row r="205" spans="1:20">
      <c r="A205" s="4">
        <v>46357</v>
      </c>
      <c r="B205" t="s">
        <v>98</v>
      </c>
      <c r="C205" t="s">
        <v>99</v>
      </c>
      <c r="D205" t="s">
        <v>100</v>
      </c>
      <c r="E205" t="s">
        <v>101</v>
      </c>
      <c r="F205" t="s">
        <v>102</v>
      </c>
      <c r="G205" t="s">
        <v>103</v>
      </c>
      <c r="H205" t="s">
        <v>20</v>
      </c>
      <c r="I205" t="s">
        <v>104</v>
      </c>
      <c r="J205" t="s">
        <v>105</v>
      </c>
      <c r="L205" t="s">
        <v>37</v>
      </c>
      <c r="M205" s="3" t="s">
        <v>127</v>
      </c>
      <c r="N205" s="3" t="s">
        <v>129</v>
      </c>
      <c r="P205" s="3" t="s">
        <v>130</v>
      </c>
      <c r="Q205">
        <v>4</v>
      </c>
      <c r="R205" s="5">
        <f t="shared" si="5"/>
        <v>0</v>
      </c>
      <c r="S205" s="3" t="s">
        <v>66</v>
      </c>
      <c r="T205" s="3" t="s">
        <v>81</v>
      </c>
    </row>
    <row r="206" spans="1:20">
      <c r="A206" s="4">
        <v>46023</v>
      </c>
      <c r="B206" t="s">
        <v>98</v>
      </c>
      <c r="C206" t="s">
        <v>99</v>
      </c>
      <c r="D206" t="s">
        <v>100</v>
      </c>
      <c r="E206" t="s">
        <v>101</v>
      </c>
      <c r="F206" t="s">
        <v>102</v>
      </c>
      <c r="G206" t="s">
        <v>103</v>
      </c>
      <c r="H206" t="s">
        <v>20</v>
      </c>
      <c r="I206" t="s">
        <v>104</v>
      </c>
      <c r="J206" t="s">
        <v>105</v>
      </c>
      <c r="L206" s="3" t="s">
        <v>126</v>
      </c>
      <c r="M206" t="s">
        <v>128</v>
      </c>
      <c r="N206" s="3" t="s">
        <v>131</v>
      </c>
      <c r="P206" s="3" t="s">
        <v>132</v>
      </c>
      <c r="Q206">
        <v>4</v>
      </c>
      <c r="R206" s="5">
        <f t="shared" si="5"/>
        <v>0</v>
      </c>
      <c r="S206" s="3" t="s">
        <v>66</v>
      </c>
      <c r="T206" s="3" t="s">
        <v>81</v>
      </c>
    </row>
    <row r="207" spans="1:20">
      <c r="A207" s="4">
        <v>46054</v>
      </c>
      <c r="B207" t="s">
        <v>98</v>
      </c>
      <c r="C207" t="s">
        <v>99</v>
      </c>
      <c r="D207" t="s">
        <v>100</v>
      </c>
      <c r="E207" t="s">
        <v>101</v>
      </c>
      <c r="F207" t="s">
        <v>102</v>
      </c>
      <c r="G207" t="s">
        <v>103</v>
      </c>
      <c r="H207" t="s">
        <v>20</v>
      </c>
      <c r="I207" t="s">
        <v>104</v>
      </c>
      <c r="J207" t="s">
        <v>105</v>
      </c>
      <c r="L207" s="3" t="s">
        <v>126</v>
      </c>
      <c r="M207" t="s">
        <v>128</v>
      </c>
      <c r="N207" s="3" t="s">
        <v>131</v>
      </c>
      <c r="P207" s="3" t="s">
        <v>132</v>
      </c>
      <c r="Q207">
        <v>4</v>
      </c>
      <c r="R207" s="5">
        <f t="shared" si="5"/>
        <v>0</v>
      </c>
      <c r="S207" s="3" t="s">
        <v>66</v>
      </c>
      <c r="T207" s="3" t="s">
        <v>81</v>
      </c>
    </row>
    <row r="208" spans="1:20">
      <c r="A208" s="4">
        <v>46082</v>
      </c>
      <c r="B208" t="s">
        <v>98</v>
      </c>
      <c r="C208" t="s">
        <v>99</v>
      </c>
      <c r="D208" t="s">
        <v>100</v>
      </c>
      <c r="E208" t="s">
        <v>101</v>
      </c>
      <c r="F208" t="s">
        <v>102</v>
      </c>
      <c r="G208" t="s">
        <v>103</v>
      </c>
      <c r="H208" t="s">
        <v>20</v>
      </c>
      <c r="I208" t="s">
        <v>104</v>
      </c>
      <c r="J208" t="s">
        <v>105</v>
      </c>
      <c r="L208" s="3" t="s">
        <v>126</v>
      </c>
      <c r="M208" t="s">
        <v>128</v>
      </c>
      <c r="N208" s="3" t="s">
        <v>131</v>
      </c>
      <c r="P208" s="3" t="s">
        <v>132</v>
      </c>
      <c r="Q208">
        <v>4</v>
      </c>
      <c r="R208" s="5">
        <f t="shared" si="5"/>
        <v>0</v>
      </c>
      <c r="S208" s="3" t="s">
        <v>66</v>
      </c>
      <c r="T208" s="3" t="s">
        <v>81</v>
      </c>
    </row>
    <row r="209" spans="1:20">
      <c r="A209" s="4">
        <v>46113</v>
      </c>
      <c r="B209" t="s">
        <v>98</v>
      </c>
      <c r="C209" t="s">
        <v>99</v>
      </c>
      <c r="D209" t="s">
        <v>100</v>
      </c>
      <c r="E209" t="s">
        <v>101</v>
      </c>
      <c r="F209" t="s">
        <v>102</v>
      </c>
      <c r="G209" t="s">
        <v>103</v>
      </c>
      <c r="H209" t="s">
        <v>20</v>
      </c>
      <c r="I209" t="s">
        <v>104</v>
      </c>
      <c r="J209" t="s">
        <v>105</v>
      </c>
      <c r="L209" s="3" t="s">
        <v>126</v>
      </c>
      <c r="M209" t="s">
        <v>128</v>
      </c>
      <c r="N209" s="3" t="s">
        <v>131</v>
      </c>
      <c r="P209" s="3" t="s">
        <v>132</v>
      </c>
      <c r="Q209">
        <v>4</v>
      </c>
      <c r="R209" s="5">
        <f t="shared" si="5"/>
        <v>0</v>
      </c>
      <c r="S209" s="3" t="s">
        <v>66</v>
      </c>
      <c r="T209" s="3" t="s">
        <v>81</v>
      </c>
    </row>
    <row r="210" spans="1:20">
      <c r="A210" s="4">
        <v>46143</v>
      </c>
      <c r="B210" t="s">
        <v>98</v>
      </c>
      <c r="C210" t="s">
        <v>99</v>
      </c>
      <c r="D210" t="s">
        <v>100</v>
      </c>
      <c r="E210" t="s">
        <v>101</v>
      </c>
      <c r="F210" t="s">
        <v>102</v>
      </c>
      <c r="G210" t="s">
        <v>103</v>
      </c>
      <c r="H210" t="s">
        <v>20</v>
      </c>
      <c r="I210" t="s">
        <v>104</v>
      </c>
      <c r="J210" t="s">
        <v>105</v>
      </c>
      <c r="L210" s="3" t="s">
        <v>126</v>
      </c>
      <c r="M210" t="s">
        <v>128</v>
      </c>
      <c r="N210" s="3" t="s">
        <v>131</v>
      </c>
      <c r="P210" s="3" t="s">
        <v>132</v>
      </c>
      <c r="Q210">
        <v>4</v>
      </c>
      <c r="R210" s="5">
        <f t="shared" si="5"/>
        <v>0</v>
      </c>
      <c r="S210" s="3" t="s">
        <v>66</v>
      </c>
      <c r="T210" s="3" t="s">
        <v>81</v>
      </c>
    </row>
    <row r="211" spans="1:20">
      <c r="A211" s="4">
        <v>46174</v>
      </c>
      <c r="B211" t="s">
        <v>98</v>
      </c>
      <c r="C211" t="s">
        <v>99</v>
      </c>
      <c r="D211" t="s">
        <v>100</v>
      </c>
      <c r="E211" t="s">
        <v>101</v>
      </c>
      <c r="F211" t="s">
        <v>102</v>
      </c>
      <c r="G211" t="s">
        <v>103</v>
      </c>
      <c r="H211" t="s">
        <v>20</v>
      </c>
      <c r="I211" t="s">
        <v>104</v>
      </c>
      <c r="J211" t="s">
        <v>105</v>
      </c>
      <c r="L211" s="3" t="s">
        <v>126</v>
      </c>
      <c r="M211" t="s">
        <v>128</v>
      </c>
      <c r="N211" s="3" t="s">
        <v>131</v>
      </c>
      <c r="P211" s="3" t="s">
        <v>132</v>
      </c>
      <c r="Q211">
        <v>4</v>
      </c>
      <c r="R211" s="5">
        <f t="shared" si="5"/>
        <v>0</v>
      </c>
      <c r="S211" s="3" t="s">
        <v>66</v>
      </c>
      <c r="T211" s="3" t="s">
        <v>81</v>
      </c>
    </row>
    <row r="212" spans="1:20">
      <c r="A212" s="4">
        <v>46204</v>
      </c>
      <c r="B212" t="s">
        <v>98</v>
      </c>
      <c r="C212" t="s">
        <v>99</v>
      </c>
      <c r="D212" t="s">
        <v>100</v>
      </c>
      <c r="E212" t="s">
        <v>101</v>
      </c>
      <c r="F212" t="s">
        <v>102</v>
      </c>
      <c r="G212" t="s">
        <v>103</v>
      </c>
      <c r="H212" t="s">
        <v>20</v>
      </c>
      <c r="I212" t="s">
        <v>104</v>
      </c>
      <c r="J212" t="s">
        <v>105</v>
      </c>
      <c r="L212" s="3" t="s">
        <v>126</v>
      </c>
      <c r="M212" t="s">
        <v>128</v>
      </c>
      <c r="N212" s="3" t="s">
        <v>131</v>
      </c>
      <c r="P212" s="3" t="s">
        <v>132</v>
      </c>
      <c r="Q212">
        <v>4</v>
      </c>
      <c r="R212" s="5">
        <f t="shared" si="5"/>
        <v>0</v>
      </c>
      <c r="S212" s="3" t="s">
        <v>66</v>
      </c>
      <c r="T212" s="3" t="s">
        <v>81</v>
      </c>
    </row>
    <row r="213" spans="1:20">
      <c r="A213" s="4">
        <v>46235</v>
      </c>
      <c r="B213" t="s">
        <v>98</v>
      </c>
      <c r="C213" t="s">
        <v>99</v>
      </c>
      <c r="D213" t="s">
        <v>100</v>
      </c>
      <c r="E213" t="s">
        <v>101</v>
      </c>
      <c r="F213" t="s">
        <v>102</v>
      </c>
      <c r="G213" t="s">
        <v>103</v>
      </c>
      <c r="H213" t="s">
        <v>20</v>
      </c>
      <c r="I213" t="s">
        <v>104</v>
      </c>
      <c r="J213" t="s">
        <v>105</v>
      </c>
      <c r="L213" s="3" t="s">
        <v>126</v>
      </c>
      <c r="M213" t="s">
        <v>128</v>
      </c>
      <c r="N213" s="3" t="s">
        <v>131</v>
      </c>
      <c r="P213" s="3" t="s">
        <v>132</v>
      </c>
      <c r="Q213">
        <v>4</v>
      </c>
      <c r="R213" s="5">
        <f t="shared" si="5"/>
        <v>0</v>
      </c>
      <c r="S213" s="3" t="s">
        <v>66</v>
      </c>
      <c r="T213" s="3" t="s">
        <v>81</v>
      </c>
    </row>
    <row r="214" spans="1:20">
      <c r="A214" s="4">
        <v>46266</v>
      </c>
      <c r="B214" t="s">
        <v>98</v>
      </c>
      <c r="C214" t="s">
        <v>99</v>
      </c>
      <c r="D214" t="s">
        <v>100</v>
      </c>
      <c r="E214" t="s">
        <v>101</v>
      </c>
      <c r="F214" t="s">
        <v>102</v>
      </c>
      <c r="G214" t="s">
        <v>103</v>
      </c>
      <c r="H214" t="s">
        <v>20</v>
      </c>
      <c r="I214" t="s">
        <v>104</v>
      </c>
      <c r="J214" t="s">
        <v>105</v>
      </c>
      <c r="L214" s="3" t="s">
        <v>126</v>
      </c>
      <c r="M214" t="s">
        <v>128</v>
      </c>
      <c r="N214" s="3" t="s">
        <v>131</v>
      </c>
      <c r="P214" s="3" t="s">
        <v>132</v>
      </c>
      <c r="Q214">
        <v>4</v>
      </c>
      <c r="R214" s="5">
        <f t="shared" si="5"/>
        <v>0</v>
      </c>
      <c r="S214" s="3" t="s">
        <v>66</v>
      </c>
      <c r="T214" s="3" t="s">
        <v>81</v>
      </c>
    </row>
    <row r="215" spans="1:20">
      <c r="A215" s="4">
        <v>46296</v>
      </c>
      <c r="B215" t="s">
        <v>98</v>
      </c>
      <c r="C215" t="s">
        <v>99</v>
      </c>
      <c r="D215" t="s">
        <v>100</v>
      </c>
      <c r="E215" t="s">
        <v>101</v>
      </c>
      <c r="F215" t="s">
        <v>102</v>
      </c>
      <c r="G215" t="s">
        <v>103</v>
      </c>
      <c r="H215" t="s">
        <v>20</v>
      </c>
      <c r="I215" t="s">
        <v>104</v>
      </c>
      <c r="J215" t="s">
        <v>105</v>
      </c>
      <c r="L215" s="3" t="s">
        <v>126</v>
      </c>
      <c r="M215" t="s">
        <v>128</v>
      </c>
      <c r="N215" s="3" t="s">
        <v>131</v>
      </c>
      <c r="P215" s="3" t="s">
        <v>132</v>
      </c>
      <c r="Q215">
        <v>4</v>
      </c>
      <c r="R215" s="5">
        <f t="shared" si="5"/>
        <v>0</v>
      </c>
      <c r="S215" s="3" t="s">
        <v>66</v>
      </c>
      <c r="T215" s="3" t="s">
        <v>81</v>
      </c>
    </row>
    <row r="216" spans="1:20">
      <c r="A216" s="4">
        <v>46327</v>
      </c>
      <c r="B216" t="s">
        <v>98</v>
      </c>
      <c r="C216" t="s">
        <v>99</v>
      </c>
      <c r="D216" t="s">
        <v>100</v>
      </c>
      <c r="E216" t="s">
        <v>101</v>
      </c>
      <c r="F216" t="s">
        <v>102</v>
      </c>
      <c r="G216" t="s">
        <v>103</v>
      </c>
      <c r="H216" t="s">
        <v>20</v>
      </c>
      <c r="I216" t="s">
        <v>104</v>
      </c>
      <c r="J216" t="s">
        <v>105</v>
      </c>
      <c r="L216" s="3" t="s">
        <v>126</v>
      </c>
      <c r="M216" t="s">
        <v>128</v>
      </c>
      <c r="N216" s="3" t="s">
        <v>131</v>
      </c>
      <c r="P216" s="3" t="s">
        <v>132</v>
      </c>
      <c r="Q216">
        <v>4</v>
      </c>
      <c r="R216" s="5">
        <f t="shared" si="5"/>
        <v>0</v>
      </c>
      <c r="S216" s="3" t="s">
        <v>66</v>
      </c>
      <c r="T216" s="3" t="s">
        <v>81</v>
      </c>
    </row>
    <row r="217" spans="1:20">
      <c r="A217" s="4">
        <v>46357</v>
      </c>
      <c r="B217" t="s">
        <v>98</v>
      </c>
      <c r="C217" t="s">
        <v>99</v>
      </c>
      <c r="D217" t="s">
        <v>100</v>
      </c>
      <c r="E217" t="s">
        <v>101</v>
      </c>
      <c r="F217" t="s">
        <v>102</v>
      </c>
      <c r="G217" t="s">
        <v>103</v>
      </c>
      <c r="H217" t="s">
        <v>20</v>
      </c>
      <c r="I217" t="s">
        <v>104</v>
      </c>
      <c r="J217" t="s">
        <v>105</v>
      </c>
      <c r="L217" s="3" t="s">
        <v>126</v>
      </c>
      <c r="M217" t="s">
        <v>128</v>
      </c>
      <c r="N217" s="3" t="s">
        <v>131</v>
      </c>
      <c r="P217" s="3" t="s">
        <v>132</v>
      </c>
      <c r="Q217">
        <v>4</v>
      </c>
      <c r="R217" s="5">
        <f t="shared" si="5"/>
        <v>0</v>
      </c>
      <c r="S217" s="3" t="s">
        <v>66</v>
      </c>
      <c r="T217" s="3" t="s">
        <v>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bernal</dc:creator>
  <cp:lastModifiedBy>ivan bernal</cp:lastModifiedBy>
  <dcterms:created xsi:type="dcterms:W3CDTF">2026-04-08T03:33:24Z</dcterms:created>
  <dcterms:modified xsi:type="dcterms:W3CDTF">2026-04-08T16:50:30Z</dcterms:modified>
</cp:coreProperties>
</file>